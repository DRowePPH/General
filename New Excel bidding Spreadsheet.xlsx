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AD ME" sheetId="1" state="visible" r:id="rId3"/>
    <sheet name="INPUTS" sheetId="2" state="visible" r:id="rId4"/>
    <sheet name="LABOUR RATES" sheetId="3" state="visible" r:id="rId5"/>
    <sheet name="PLUMBING EST" sheetId="4" state="visible" r:id="rId6"/>
    <sheet name="HVAC EST" sheetId="5" state="visible" r:id="rId7"/>
    <sheet name="SUBS &amp; GC" sheetId="6" state="visible" r:id="rId8"/>
    <sheet name="BID SUMMARY" sheetId="7" state="visible" r:id="rId9"/>
    <sheet name="BUDGET" sheetId="8" state="visible" r:id="rId10"/>
    <sheet name="SCHEDULE OF VALUES" sheetId="9" state="visible" r:id="rId11"/>
    <sheet name="KNOWIFY REVIEW" sheetId="10" state="visible" r:id="rId12"/>
    <sheet name="KNOWIFY PHASES" sheetId="11" state="visible" r:id="rId13"/>
    <sheet name="KNOWIFY TIME" sheetId="12" state="visible" r:id="rId14"/>
    <sheet name="AUDIT NOTES" sheetId="13" state="visible" r:id="rId15"/>
  </sheets>
  <definedNames>
    <definedName function="false" hidden="true" localSheetId="4" name="_xlnm._FilterDatabase" vbProcedure="false">'HVAC EST'!$A$6:$S$156</definedName>
    <definedName function="false" hidden="true" localSheetId="3" name="_xlnm._FilterDatabase" vbProcedure="false">'PLUMBING EST'!$A$6:$S$156</definedName>
    <definedName function="false" hidden="true" localSheetId="8" name="_xlnm._FilterDatabase" vbProcedure="false">'SCHEDULE OF VALUES'!$A$8:$N$324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Phase the work happens in. Material on 03 Rough-in / 04 Finishing rows rolls into 05 Material Supply on BUDGET and SOV, the same way Knowify jobs are set up.</t>
        </r>
      </text>
    </comment>
    <comment ref="E24" authorId="0">
      <text>
        <r>
          <rPr>
            <sz val="10"/>
            <rFont val="Arial"/>
            <family val="2"/>
          </rPr>
          <t xml:space="preserve">EXAMPLE quantity: 123 units from PRJ INFO, $800 ea and 12 hrs ea from the original 'Insuite Piping - $800 ea @ 12 HRS ea' label. Replace with your takeoff.</t>
        </r>
      </text>
    </comment>
    <comment ref="I6" authorId="0">
      <text>
        <r>
          <rPr>
            <sz val="10"/>
            <rFont val="Arial"/>
            <family val="2"/>
          </rPr>
          <t xml:space="preserve">Lump material adjustment ($). Negative numbers allowed.</t>
        </r>
      </text>
    </comment>
    <comment ref="J6" authorId="0">
      <text>
        <r>
          <rPr>
            <sz val="10"/>
            <rFont val="Arial"/>
            <family val="2"/>
          </rPr>
          <t xml:space="preserve">Lump hours adjustment. Negative numbers allowed.</t>
        </r>
      </text>
    </comment>
    <comment ref="Q6" authorId="0">
      <text>
        <r>
          <rPr>
            <sz val="10"/>
            <rFont val="Arial"/>
            <family val="2"/>
          </rPr>
          <t xml:space="preserve">Labour actual / labour budget for this Div + Phase on the Knowify job pasted, using closed phases that used at least half their budget, and phases already at or over budget. A warning light, not a correction factor.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Phase the work happens in. Material on 03 Rough-in / 04 Finishing rows rolls into 05 Material Supply on BUDGET and SOV, the same way Knowify jobs are set up.</t>
        </r>
      </text>
    </comment>
    <comment ref="I6" authorId="0">
      <text>
        <r>
          <rPr>
            <sz val="10"/>
            <rFont val="Arial"/>
            <family val="2"/>
          </rPr>
          <t xml:space="preserve">Lump material adjustment ($). Negative numbers allowed.</t>
        </r>
      </text>
    </comment>
    <comment ref="J6" authorId="0">
      <text>
        <r>
          <rPr>
            <sz val="10"/>
            <rFont val="Arial"/>
            <family val="2"/>
          </rPr>
          <t xml:space="preserve">Lump hours adjustment. Negative numbers allowed.</t>
        </r>
      </text>
    </comment>
    <comment ref="Q6" authorId="0">
      <text>
        <r>
          <rPr>
            <sz val="10"/>
            <rFont val="Arial"/>
            <family val="2"/>
          </rPr>
          <t xml:space="preserve">Labour actual / labour budget for this Div + Phase on the Knowify job pasted, using closed phases that used at least half their budget, and phases already at or over budget. A warning light, not a correction factor.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Confirmed: field supervision here is separate from the Foreman &amp; PM share of the crew mix.</t>
        </r>
      </text>
    </comment>
    <comment ref="B38" authorId="0">
      <text>
        <r>
          <rPr>
            <sz val="10"/>
            <rFont val="Arial"/>
            <family val="2"/>
          </rPr>
          <t xml:space="preserve">Knowify charges the Health &amp; Safety Coordinator's time to the job (237 hrs on 405 Marie Place).</t>
        </r>
      </text>
    </comment>
    <comment ref="G37" authorId="0">
      <text>
        <r>
          <rPr>
            <sz val="10"/>
            <rFont val="Arial"/>
            <family val="2"/>
          </rPr>
          <t xml:space="preserve">$7,500/month from original PRJ INFO D53. Confirmed: the $22/hr overhead covers salaried staff company wide; this is the PM assigned to this job, so it is not a double count. Auto-splits by direct cost across divisions.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9" authorId="0">
      <text>
        <r>
          <rPr>
            <sz val="10"/>
            <rFont val="Arial"/>
            <family val="2"/>
          </rPr>
          <t xml:space="preserve">Contract for this division / its total phase cost. Spreads margin, consumables and contingency evenly.</t>
        </r>
      </text>
    </comment>
    <comment ref="P88" authorId="0">
      <text>
        <r>
          <rPr>
            <sz val="10"/>
            <rFont val="Arial"/>
            <family val="2"/>
          </rPr>
          <t xml:space="preserve">Contract for this division / its total phase cost. Spreads margin, consumables and contingency evenly.</t>
        </r>
      </text>
    </comment>
    <comment ref="P167" authorId="0">
      <text>
        <r>
          <rPr>
            <sz val="10"/>
            <rFont val="Arial"/>
            <family val="2"/>
          </rPr>
          <t xml:space="preserve">Contract for this division / its total phase cost. Spreads margin, consumables and contingency evenly.</t>
        </r>
      </text>
    </comment>
    <comment ref="P246" authorId="0">
      <text>
        <r>
          <rPr>
            <sz val="10"/>
            <rFont val="Arial"/>
            <family val="2"/>
          </rPr>
          <t xml:space="preserve">Contract for this division / its total phase cost. Spreads margin, consumables and contingency evenly.</t>
        </r>
      </text>
    </comment>
  </commentList>
</comments>
</file>

<file path=xl/sharedStrings.xml><?xml version="1.0" encoding="utf-8"?>
<sst xmlns="http://schemas.openxmlformats.org/spreadsheetml/2006/main" count="2340" uniqueCount="1263">
  <si>
    <t xml:space="preserve">New Excel Bidding Spreadsheet: How It Works</t>
  </si>
  <si>
    <t xml:space="preserve">Rebuilt from 'Template-Empty - WORK IN PROGRESS.xlsm'. Full transparent cost first, margin added on top.</t>
  </si>
  <si>
    <t xml:space="preserve">FLOW</t>
  </si>
  <si>
    <t xml:space="preserve">1. INPUTS</t>
  </si>
  <si>
    <t xml:space="preserve">Project info, durations, PST, consumables, contingency, target margin per division, levels, your typical COGS %.</t>
  </si>
  <si>
    <t xml:space="preserve">2. LABOUR RATES</t>
  </si>
  <si>
    <t xml:space="preserve">Crew mix per trade (same layout as the original PRJ INFO rates block), shown beside Knowify actual rates and mix.</t>
  </si>
  <si>
    <t xml:space="preserve">3. PLUMBING EST / HVAC EST</t>
  </si>
  <si>
    <t xml:space="preserve">One row per item: Qty x Material $/unit and Qty x Hrs/unit. Same columns on both sheets so HVAC ties back exactly like Plumbing.</t>
  </si>
  <si>
    <t xml:space="preserve">4. SUBS &amp; GC</t>
  </si>
  <si>
    <t xml:space="preserve">Subtrade quotes and general conditions. Allocate by % to each division, or leave % blank to auto-split by direct cost.</t>
  </si>
  <si>
    <t xml:space="preserve">5. BID SUMMARY</t>
  </si>
  <si>
    <t xml:space="preserve">Cost by type and division, then margin. COGS mix vs your Knowify job and vs your typical %. Holds every tie-out check.</t>
  </si>
  <si>
    <t xml:space="preserve">6. BUDGET</t>
  </si>
  <si>
    <t xml:space="preserve">Cost budget per division and phase. Phases match Knowify, so the field budget and the actuals line up.</t>
  </si>
  <si>
    <t xml:space="preserve">7. SCHEDULE OF VALUES</t>
  </si>
  <si>
    <t xml:space="preserve">Contract split into Knowify-style lines (e.g. 'P - BLDG A - L1 Plumbing Rough-in (Labour)'), with the Knowify cost budget for each line.</t>
  </si>
  <si>
    <t xml:space="preserve">8. KNOWIFY PHASES / TIME</t>
  </si>
  <si>
    <t xml:space="preserve">Paste the 'Actual vs Budget - Phases' and 'Time' sheets from a Knowify Job Summary export, cell A1, exactly as exported.</t>
  </si>
  <si>
    <t xml:space="preserve">9. KNOWIFY REVIEW</t>
  </si>
  <si>
    <t xml:space="preserve">Reads the two paste tabs: margin after overhead, cost mix, actual crew rates and mix, and how each phase ran vs its budget.</t>
  </si>
  <si>
    <t xml:space="preserve">10. AUDIT NOTES</t>
  </si>
  <si>
    <t xml:space="preserve">Formula problems found in the original template, decisions made, and open questions.</t>
  </si>
  <si>
    <t xml:space="preserve">COLOUR LEGEND</t>
  </si>
  <si>
    <t xml:space="preserve">Blue text, light yellow fill</t>
  </si>
  <si>
    <t xml:space="preserve">Input. Type here.</t>
  </si>
  <si>
    <t xml:space="preserve">Bright yellow fill</t>
  </si>
  <si>
    <t xml:space="preserve">Key assumption. Review on every bid.</t>
  </si>
  <si>
    <t xml:space="preserve">Black text</t>
  </si>
  <si>
    <t xml:space="preserve">Formula. Do not type over.</t>
  </si>
  <si>
    <t xml:space="preserve">Green text</t>
  </si>
  <si>
    <t xml:space="preserve">Link from another tab.</t>
  </si>
  <si>
    <t xml:space="preserve">MARGIN vs MARKUP</t>
  </si>
  <si>
    <t xml:space="preserve">This workbook prices with MARGIN: Contract = Total Cost / (1 - Margin %).</t>
  </si>
  <si>
    <t xml:space="preserve">Example: cost $100,000 at 15% margin = $117,647 contract, $17,647 gross profit (17.6% markup).</t>
  </si>
  <si>
    <t xml:space="preserve">The original template used 15% MARKUP: $100,000 x 1.15 = $115,000, which is only a 13.0% margin.</t>
  </si>
  <si>
    <t xml:space="preserve">PHASES (match Knowify)</t>
  </si>
  <si>
    <t xml:space="preserve">Tag each estimate row with the phase the WORK happens in. Rough-in and finishing rows carry both labour and material.</t>
  </si>
  <si>
    <t xml:space="preserve">Labour on 03 Rough-in and 04 Finishing is split by level on the SOV; their material rolls into 05 Material Supply automatically,</t>
  </si>
  <si>
    <t xml:space="preserve">the same way Knowify jobs are set up (level lines are labour only, material supply is its own line).</t>
  </si>
  <si>
    <t xml:space="preserve">UPDATING KNOWIFY DATA</t>
  </si>
  <si>
    <t xml:space="preserve">1. In Knowify, open the job &gt; Summary &gt; Project Summary report and download the Excel file.</t>
  </si>
  <si>
    <t xml:space="preserve">2. In that file, select the used cells of 'Actual vs Budget - Phases' (A1 to column V, last row). Copy.</t>
  </si>
  <si>
    <t xml:space="preserve">3. Paste into cell A1 of KNOWIFY PHASES (clear old data first). Do the same for the 'Time' sheet into KNOWIFY TIME.</t>
  </si>
  <si>
    <t xml:space="preserve">4. On KNOWIFY REVIEW, type the job name, contract (Total Amount) and committed cost from the export's Summary sheet.</t>
  </si>
  <si>
    <t xml:space="preserve">5. If a role or phase shows 'Unmapped', add it to the mapping tables on the right of KNOWIFY REVIEW.</t>
  </si>
  <si>
    <t xml:space="preserve">INPUTS</t>
  </si>
  <si>
    <t xml:space="preserve">Blue cells are inputs. Bright yellow = key assumption to review on every bid.</t>
  </si>
  <si>
    <t xml:space="preserve">PROJECT INFORMATION</t>
  </si>
  <si>
    <t xml:space="preserve">Project Name</t>
  </si>
  <si>
    <t xml:space="preserve">Quote Number</t>
  </si>
  <si>
    <t xml:space="preserve">Project Type</t>
  </si>
  <si>
    <t xml:space="preserve">Multi-Family</t>
  </si>
  <si>
    <t xml:space="preserve">Owner</t>
  </si>
  <si>
    <t xml:space="preserve">General Contractor</t>
  </si>
  <si>
    <t xml:space="preserve">Architect</t>
  </si>
  <si>
    <t xml:space="preserve">Mech. Engineer</t>
  </si>
  <si>
    <t xml:space="preserve">Site Address</t>
  </si>
  <si>
    <t xml:space="preserve">2650 East 41st Ave</t>
  </si>
  <si>
    <t xml:space="preserve">City</t>
  </si>
  <si>
    <t xml:space="preserve">Vancouver</t>
  </si>
  <si>
    <t xml:space="preserve">Proposal Date</t>
  </si>
  <si>
    <t xml:space="preserve">Proposal Rev</t>
  </si>
  <si>
    <t xml:space="preserve">Prepared By</t>
  </si>
  <si>
    <t xml:space="preserve">Paris Mechanical Ltd</t>
  </si>
  <si>
    <t xml:space="preserve">Drawings</t>
  </si>
  <si>
    <t xml:space="preserve">Issued For Tender</t>
  </si>
  <si>
    <t xml:space="preserve">Gross Floor Area (sq ft)</t>
  </si>
  <si>
    <t xml:space="preserve">Number of Units</t>
  </si>
  <si>
    <t xml:space="preserve">KEY ASSUMPTIONS</t>
  </si>
  <si>
    <t xml:space="preserve">P&amp;H project duration (months)</t>
  </si>
  <si>
    <t xml:space="preserve">From original PRJ INFO H34.</t>
  </si>
  <si>
    <t xml:space="preserve">HVAC project duration (months)</t>
  </si>
  <si>
    <t xml:space="preserve">From original PRJ INFO H43.</t>
  </si>
  <si>
    <t xml:space="preserve">PST on materials</t>
  </si>
  <si>
    <t xml:space="preserve">BC PST 7%. From original PRJ INFO H52. Applied to material rows marked Y.</t>
  </si>
  <si>
    <t xml:space="preserve">GST (shown on proposal only, not a cost)</t>
  </si>
  <si>
    <t xml:space="preserve">From original PRJ INFO H51. GST is recoverable, so it is not in cost.</t>
  </si>
  <si>
    <t xml:space="preserve">Consumables (% of material)</t>
  </si>
  <si>
    <t xml:space="preserve">Original used 2% of material (P&amp;H SUMMARY H46, HVAC SUMMARY D30).</t>
  </si>
  <si>
    <t xml:space="preserve">Contingency (% of direct cost)</t>
  </si>
  <si>
    <t xml:space="preserve">Optional risk allowance. Kept as its own line so it stays visible.</t>
  </si>
  <si>
    <t xml:space="preserve">Warranty reserve (% of fixture &amp; equipment supply)</t>
  </si>
  <si>
    <t xml:space="preserve">Original: 2 years x 1% of equipment+fixtures (PRJ SUMMARY rows 75-78).</t>
  </si>
  <si>
    <t xml:space="preserve">Contract rounding (round up to nearest $)</t>
  </si>
  <si>
    <t xml:space="preserve">Original rounded each division up to the nearest $100.</t>
  </si>
  <si>
    <t xml:space="preserve">Holdback (BC Builders Lien Act)</t>
  </si>
  <si>
    <t xml:space="preserve">Used on the SOV for progress billing.</t>
  </si>
  <si>
    <t xml:space="preserve">TARGET MARGIN BY DIVISION</t>
  </si>
  <si>
    <t xml:space="preserve">Division</t>
  </si>
  <si>
    <t xml:space="preserve">Code</t>
  </si>
  <si>
    <t xml:space="preserve">Target Margin %</t>
  </si>
  <si>
    <t xml:space="preserve">Equivalent Markup %</t>
  </si>
  <si>
    <t xml:space="preserve">Crew</t>
  </si>
  <si>
    <t xml:space="preserve">Plumbing</t>
  </si>
  <si>
    <t xml:space="preserve">P</t>
  </si>
  <si>
    <t xml:space="preserve">P&amp;H</t>
  </si>
  <si>
    <t xml:space="preserve">Margin = profit / contract. 15% is a placeholder: set your real target.</t>
  </si>
  <si>
    <t xml:space="preserve">Hydronic</t>
  </si>
  <si>
    <t xml:space="preserve">H</t>
  </si>
  <si>
    <t xml:space="preserve">Division names feed the SOV line names (Knowify uses 'HVAC'</t>
  </si>
  <si>
    <t xml:space="preserve">Ventilation</t>
  </si>
  <si>
    <t xml:space="preserve">V</t>
  </si>
  <si>
    <t xml:space="preserve">HVAC</t>
  </si>
  <si>
    <t xml:space="preserve">for ventilation; rename here if you prefer that).</t>
  </si>
  <si>
    <t xml:space="preserve">Air Conditioning</t>
  </si>
  <si>
    <t xml:space="preserve">AC</t>
  </si>
  <si>
    <t xml:space="preserve">LEVELS (SOV splits rough-in and finishing labour by level)</t>
  </si>
  <si>
    <t xml:space="preserve">Tag (e.g. BLDG A - L1)</t>
  </si>
  <si>
    <t xml:space="preserve">Floor</t>
  </si>
  <si>
    <t xml:space="preserve">Units</t>
  </si>
  <si>
    <t xml:space="preserve">SOV Weight %</t>
  </si>
  <si>
    <t xml:space="preserve">U/G</t>
  </si>
  <si>
    <t xml:space="preserve">Ground Work</t>
  </si>
  <si>
    <t xml:space="preserve">Units per level from original PRJ INFO C6:C10.</t>
  </si>
  <si>
    <t xml:space="preserve">P-02</t>
  </si>
  <si>
    <t xml:space="preserve">Parking 2</t>
  </si>
  <si>
    <t xml:space="preserve">Weight defaults to units share. Type over it to give parking,</t>
  </si>
  <si>
    <t xml:space="preserve">PRKG</t>
  </si>
  <si>
    <t xml:space="preserve">Parking 1</t>
  </si>
  <si>
    <t xml:space="preserve">U/G or roof a share. Weights must total 100%.</t>
  </si>
  <si>
    <t xml:space="preserve">L-01</t>
  </si>
  <si>
    <t xml:space="preserve">Level 1</t>
  </si>
  <si>
    <t xml:space="preserve">Multi-building jobs: use tags like 'BLDG A - L1' to match Knowify.</t>
  </si>
  <si>
    <t xml:space="preserve">L-02</t>
  </si>
  <si>
    <t xml:space="preserve">Level 2</t>
  </si>
  <si>
    <t xml:space="preserve">L-03</t>
  </si>
  <si>
    <t xml:space="preserve">Level 3</t>
  </si>
  <si>
    <t xml:space="preserve">L-04</t>
  </si>
  <si>
    <t xml:space="preserve">Level 4</t>
  </si>
  <si>
    <t xml:space="preserve">L-05</t>
  </si>
  <si>
    <t xml:space="preserve">Level 5</t>
  </si>
  <si>
    <t xml:space="preserve">L-06</t>
  </si>
  <si>
    <t xml:space="preserve">Level 6</t>
  </si>
  <si>
    <t xml:space="preserve">L-07</t>
  </si>
  <si>
    <t xml:space="preserve">Level 7</t>
  </si>
  <si>
    <t xml:space="preserve">L-08</t>
  </si>
  <si>
    <t xml:space="preserve">Level 8</t>
  </si>
  <si>
    <t xml:space="preserve">L-09</t>
  </si>
  <si>
    <t xml:space="preserve">Level 9</t>
  </si>
  <si>
    <t xml:space="preserve">L-10</t>
  </si>
  <si>
    <t xml:space="preserve">Level 10</t>
  </si>
  <si>
    <t xml:space="preserve">ROOF</t>
  </si>
  <si>
    <t xml:space="preserve">Roof</t>
  </si>
  <si>
    <t xml:space="preserve">TOTAL</t>
  </si>
  <si>
    <t xml:space="preserve">PHASES (drop-down list used on every tab; matches Knowify setup)</t>
  </si>
  <si>
    <t xml:space="preserve">01 Shop Drawings, Permits &amp; Mobilization</t>
  </si>
  <si>
    <t xml:space="preserve">Rename freely but keep 9 rows and keep the order:</t>
  </si>
  <si>
    <t xml:space="preserve">02 Foundation &amp; Underground</t>
  </si>
  <si>
    <t xml:space="preserve">03/04 are split by level; 05 collects 03/04 material.</t>
  </si>
  <si>
    <t xml:space="preserve">03 Rough-in (Labour)</t>
  </si>
  <si>
    <t xml:space="preserve">04 Finishing (Labour)</t>
  </si>
  <si>
    <t xml:space="preserve">05 Material Supply</t>
  </si>
  <si>
    <t xml:space="preserve">06 Fixtures &amp; Equipment Supply</t>
  </si>
  <si>
    <t xml:space="preserve">07 Testing, TAB &amp; Commissioning</t>
  </si>
  <si>
    <t xml:space="preserve">08 Completion &amp; Final Documents</t>
  </si>
  <si>
    <t xml:space="preserve">09 Office, Supervision &amp; General</t>
  </si>
  <si>
    <t xml:space="preserve">YOUR TYPICAL COST OF GOODS (% of total cost)</t>
  </si>
  <si>
    <t xml:space="preserve">Cost Type</t>
  </si>
  <si>
    <t xml:space="preserve">Typical % of Total Cost</t>
  </si>
  <si>
    <t xml:space="preserve">Labour (wage + burden)</t>
  </si>
  <si>
    <t xml:space="preserve">Leave blank if unknown; BID SUMMARY compares only filled rows.</t>
  </si>
  <si>
    <t xml:space="preserve">Overhead</t>
  </si>
  <si>
    <t xml:space="preserve">Material: pipe, fittings, valves (incl. PST + consumables)</t>
  </si>
  <si>
    <t xml:space="preserve">26% of total COGS: from estimator (Oct 2026). On 405 Marie Place, material</t>
  </si>
  <si>
    <t xml:space="preserve">Fixtures &amp; Equipment Supply</t>
  </si>
  <si>
    <t xml:space="preserve">excluding fixtures &amp; equipment supply was 25.9% of cost.</t>
  </si>
  <si>
    <t xml:space="preserve">Subtrades</t>
  </si>
  <si>
    <t xml:space="preserve">General Conditions</t>
  </si>
  <si>
    <t xml:space="preserve">Contingency</t>
  </si>
  <si>
    <t xml:space="preserve">LABOUR RATES (crew mix)</t>
  </si>
  <si>
    <t xml:space="preserve">Same layout as the original PRJ INFO rates block. Both trades tie back the same way.</t>
  </si>
  <si>
    <t xml:space="preserve">UPDATED 2026-06-29</t>
  </si>
  <si>
    <t xml:space="preserve">PLUMBING &amp; HYDRONIC CREW</t>
  </si>
  <si>
    <t xml:space="preserve">Classification</t>
  </si>
  <si>
    <t xml:space="preserve">Burdened Rate $/hr</t>
  </si>
  <si>
    <t xml:space="preserve">Crew Mix %</t>
  </si>
  <si>
    <t xml:space="preserve">Weighted $/hr</t>
  </si>
  <si>
    <t xml:space="preserve">Hours</t>
  </si>
  <si>
    <t xml:space="preserve">Cost by Wage Breakdown</t>
  </si>
  <si>
    <t xml:space="preserve">Knowify Actual $/hr</t>
  </si>
  <si>
    <t xml:space="preserve">Knowify Actual Mix</t>
  </si>
  <si>
    <t xml:space="preserve">Apprentice Lvl 1-2</t>
  </si>
  <si>
    <t xml:space="preserve">Rates are fully burdened (confirmed): from original PRJ INFO D36:D40.</t>
  </si>
  <si>
    <t xml:space="preserve">Apprentice Lvl 3-6</t>
  </si>
  <si>
    <t xml:space="preserve">Crew mix from original PRJ INFO E36:E40.</t>
  </si>
  <si>
    <t xml:space="preserve">Apprentice Lvl 7-8</t>
  </si>
  <si>
    <t xml:space="preserve">Overhead $22/hr from original PRJ INFO H35/H44 (salaried staff, company wide).</t>
  </si>
  <si>
    <t xml:space="preserve">Journeyman Lvl 1-2</t>
  </si>
  <si>
    <t xml:space="preserve">Knowify columns: company-wide actuals from KNOWIFY TIME (all trades together).</t>
  </si>
  <si>
    <t xml:space="preserve">Foreman &amp; PM</t>
  </si>
  <si>
    <t xml:space="preserve">Knowify mix excludes 'Unmapped' roles, so it can total under 100%.</t>
  </si>
  <si>
    <t xml:space="preserve">Weighted average burdened wage</t>
  </si>
  <si>
    <t xml:space="preserve">Overhead $/hr (salaried staff, shop, office, insurance)</t>
  </si>
  <si>
    <t xml:space="preserve">FULLY LOADED RATE $/hr</t>
  </si>
  <si>
    <t xml:space="preserve">Crew mix = 100% and hours x rate ties to breakdown</t>
  </si>
  <si>
    <t xml:space="preserve">Estimated hours (from estimate tabs)</t>
  </si>
  <si>
    <t xml:space="preserve">HVAC CREW (ventilation &amp; A/C)</t>
  </si>
  <si>
    <t xml:space="preserve">RATE COMPARISON (per hour)</t>
  </si>
  <si>
    <t xml:space="preserve">Rate Basis</t>
  </si>
  <si>
    <t xml:space="preserve">$/hr</t>
  </si>
  <si>
    <t xml:space="preserve">P&amp;H Est. Hours</t>
  </si>
  <si>
    <t xml:space="preserve">Labour (+OH) Cost</t>
  </si>
  <si>
    <t xml:space="preserve">Original template line items (Apprentice 1-2 only)</t>
  </si>
  <si>
    <t xml:space="preserve">If Knowify's cost per hour is well below the template rate, either Knowify</t>
  </si>
  <si>
    <t xml:space="preserve">Original template 'Budget with' (simple average)</t>
  </si>
  <si>
    <t xml:space="preserve">is missing burden, or the template rates are high. Settle which is true</t>
  </si>
  <si>
    <t xml:space="preserve">Crew-mix weighted burdened wage (this template)</t>
  </si>
  <si>
    <t xml:space="preserve">before trusting either for bids.</t>
  </si>
  <si>
    <t xml:space="preserve">Fully loaded: weighted wage + overhead</t>
  </si>
  <si>
    <t xml:space="preserve">Knowify actual average cost per hour (job pasted)</t>
  </si>
  <si>
    <t xml:space="preserve">Knowify actual + overhead</t>
  </si>
  <si>
    <t xml:space="preserve">PLUMBING EST</t>
  </si>
  <si>
    <t xml:space="preserve">Plumbing (P) and Hydronic (H). Seed unit costs and hours from the original EQUIPMENT sheet.</t>
  </si>
  <si>
    <t xml:space="preserve">TOTALS</t>
  </si>
  <si>
    <t xml:space="preserve">Labour $ = Hours x crew-mix weighted burdened wage. Overhead $ = Hours x overhead $/hr. P/H rows use the P&amp;H crew, V/AC rows use the HVAC crew. Q:R show how the same Div + Phase ran vs budget on the Knowify job pasted (1.30x = 30% over).</t>
  </si>
  <si>
    <t xml:space="preserve">Item Code</t>
  </si>
  <si>
    <t xml:space="preserve">Div</t>
  </si>
  <si>
    <t xml:space="preserve">Phase</t>
  </si>
  <si>
    <t xml:space="preserve">Description</t>
  </si>
  <si>
    <t xml:space="preserve">Qty</t>
  </si>
  <si>
    <t xml:space="preserve">Unit</t>
  </si>
  <si>
    <t xml:space="preserve">Material $/Unit</t>
  </si>
  <si>
    <t xml:space="preserve">Hrs/Unit</t>
  </si>
  <si>
    <t xml:space="preserve">Add Material $</t>
  </si>
  <si>
    <t xml:space="preserve">Add Hrs</t>
  </si>
  <si>
    <t xml:space="preserve">PST? (Y/N)</t>
  </si>
  <si>
    <t xml:space="preserve">Material $ (incl PST)</t>
  </si>
  <si>
    <t xml:space="preserve">Labour $ (wage+burden)</t>
  </si>
  <si>
    <t xml:space="preserve">Overhead $</t>
  </si>
  <si>
    <t xml:space="preserve">TOTAL COST $</t>
  </si>
  <si>
    <t xml:space="preserve">Knowify Labour Actual/Budget</t>
  </si>
  <si>
    <t xml:space="preserve">Knowify Material Actual/Budget</t>
  </si>
  <si>
    <t xml:space="preserve">History Flag</t>
  </si>
  <si>
    <t xml:space="preserve">P-UG-SUMP</t>
  </si>
  <si>
    <t xml:space="preserve">Sumps &amp; Interceptors</t>
  </si>
  <si>
    <t xml:space="preserve">ea</t>
  </si>
  <si>
    <t xml:space="preserve">Y</t>
  </si>
  <si>
    <t xml:space="preserve">P-UG-STRM</t>
  </si>
  <si>
    <t xml:space="preserve">Storm Water &amp; Drain Tile</t>
  </si>
  <si>
    <t xml:space="preserve">lf</t>
  </si>
  <si>
    <t xml:space="preserve">P-UG-SAN</t>
  </si>
  <si>
    <t xml:space="preserve">Sanitary (underground)</t>
  </si>
  <si>
    <t xml:space="preserve">P-UG-DW</t>
  </si>
  <si>
    <t xml:space="preserve">Domestic Water (underground)</t>
  </si>
  <si>
    <t xml:space="preserve">P-RI-STRM</t>
  </si>
  <si>
    <t xml:space="preserve">DWV Storm Water</t>
  </si>
  <si>
    <t xml:space="preserve">P-RI-SAN</t>
  </si>
  <si>
    <t xml:space="preserve">DWV Sanitary (Drainage/Vents)</t>
  </si>
  <si>
    <t xml:space="preserve">P-RI-WR2</t>
  </si>
  <si>
    <t xml:space="preserve">2-Piece Bathroom (WC, LAV)</t>
  </si>
  <si>
    <t xml:space="preserve">P-RI-WR3T</t>
  </si>
  <si>
    <t xml:space="preserve">3-Piece Bathroom (WC, LAV, TUB)</t>
  </si>
  <si>
    <t xml:space="preserve">P-RI-WR3S</t>
  </si>
  <si>
    <t xml:space="preserve">3-Piece Bathroom (WC, LAV, SH)</t>
  </si>
  <si>
    <t xml:space="preserve">P-RI-WR4T</t>
  </si>
  <si>
    <t xml:space="preserve">4-Piece Bathroom (WC, 2LAV, TUB)</t>
  </si>
  <si>
    <t xml:space="preserve">P-RI-WR4S</t>
  </si>
  <si>
    <t xml:space="preserve">4-Piece Bathroom (WC, 2LAV, SH)</t>
  </si>
  <si>
    <t xml:space="preserve">P-RI-WR4TS</t>
  </si>
  <si>
    <t xml:space="preserve">4-Piece Bathroom (WC, LAV, TUB &amp; SH)</t>
  </si>
  <si>
    <t xml:space="preserve">P-RI-WR5</t>
  </si>
  <si>
    <t xml:space="preserve">5-Piece Bathroom (WC, 2LAV, TUB &amp; SH)</t>
  </si>
  <si>
    <t xml:space="preserve">P-RI-LAUN</t>
  </si>
  <si>
    <t xml:space="preserve">Laundry - 4" Wet Vent</t>
  </si>
  <si>
    <t xml:space="preserve">P-RI-KS3</t>
  </si>
  <si>
    <t xml:space="preserve">Kitchen Sink - 3" Vent</t>
  </si>
  <si>
    <t xml:space="preserve">P-RI-KS4</t>
  </si>
  <si>
    <t xml:space="preserve">Kitchen Sink - 4" Vent</t>
  </si>
  <si>
    <t xml:space="preserve">P-RI-DWD</t>
  </si>
  <si>
    <t xml:space="preserve">Domestic Water Distribution Piping</t>
  </si>
  <si>
    <t xml:space="preserve">P-RI-DWS</t>
  </si>
  <si>
    <t xml:space="preserve">Domestic Water Insuite Piping</t>
  </si>
  <si>
    <t xml:space="preserve">suite</t>
  </si>
  <si>
    <t xml:space="preserve">P-RI-IRR</t>
  </si>
  <si>
    <t xml:space="preserve">Irrigation</t>
  </si>
  <si>
    <t xml:space="preserve">LS</t>
  </si>
  <si>
    <t xml:space="preserve">P-RI-COND</t>
  </si>
  <si>
    <t xml:space="preserve">Condensate Drains (if by Plumbing)</t>
  </si>
  <si>
    <t xml:space="preserve">P-RI-GAS</t>
  </si>
  <si>
    <t xml:space="preserve">Gas &amp; Boiler Vents</t>
  </si>
  <si>
    <t xml:space="preserve">P-RI-DRN</t>
  </si>
  <si>
    <t xml:space="preserve">Drains &amp; Hose Bibs (rough-in)</t>
  </si>
  <si>
    <t xml:space="preserve">P-RI-WER</t>
  </si>
  <si>
    <t xml:space="preserve">Water Entry Room</t>
  </si>
  <si>
    <t xml:space="preserve">P-RI-FLSH</t>
  </si>
  <si>
    <t xml:space="preserve">Roof Flashings</t>
  </si>
  <si>
    <t xml:space="preserve">P-RI-CAN</t>
  </si>
  <si>
    <t xml:space="preserve">Canning / Cutting / Layout</t>
  </si>
  <si>
    <t xml:space="preserve">P-RI-CLN</t>
  </si>
  <si>
    <t xml:space="preserve">Clean-up</t>
  </si>
  <si>
    <t xml:space="preserve">P-FN-FIX</t>
  </si>
  <si>
    <t xml:space="preserve">Set Plumbing Fixtures</t>
  </si>
  <si>
    <t xml:space="preserve">P-FN-AP</t>
  </si>
  <si>
    <t xml:space="preserve">Install Access Panels</t>
  </si>
  <si>
    <t xml:space="preserve">P-FN-LBL</t>
  </si>
  <si>
    <t xml:space="preserve">Pipe Labelling</t>
  </si>
  <si>
    <t xml:space="preserve">P-EQ-FIX</t>
  </si>
  <si>
    <t xml:space="preserve">Plumbing Fixtures &amp; Access Panels Supply</t>
  </si>
  <si>
    <t xml:space="preserve">P-EQ-DRN</t>
  </si>
  <si>
    <t xml:space="preserve">Drains Supply (FD, AD, RD, HB, TD, TP)</t>
  </si>
  <si>
    <t xml:space="preserve">P-EQ-EQP</t>
  </si>
  <si>
    <t xml:space="preserve">Mech Room &amp; Equipment Supply (DHW, pumps, tanks)</t>
  </si>
  <si>
    <t xml:space="preserve">P-TS-TEST</t>
  </si>
  <si>
    <t xml:space="preserve">Testing</t>
  </si>
  <si>
    <t xml:space="preserve">P-CL-DOCS</t>
  </si>
  <si>
    <t xml:space="preserve">As-builts, O&amp;M, Closeout</t>
  </si>
  <si>
    <t xml:space="preserve">H-UG-PIPE</t>
  </si>
  <si>
    <t xml:space="preserve">Hydronic U/G Piping</t>
  </si>
  <si>
    <t xml:space="preserve">H-RI-DIST</t>
  </si>
  <si>
    <t xml:space="preserve">Heating Distribution Piping</t>
  </si>
  <si>
    <t xml:space="preserve">H-RI-MAN</t>
  </si>
  <si>
    <t xml:space="preserve">Manifolds</t>
  </si>
  <si>
    <t xml:space="preserve">H-RI-SUITE</t>
  </si>
  <si>
    <t xml:space="preserve">Hydronic Insuite Piping</t>
  </si>
  <si>
    <t xml:space="preserve">H-RI-GLY</t>
  </si>
  <si>
    <t xml:space="preserve">Glycol Loop</t>
  </si>
  <si>
    <t xml:space="preserve">H-RI-CAN</t>
  </si>
  <si>
    <t xml:space="preserve">H-RI-CLN</t>
  </si>
  <si>
    <t xml:space="preserve">H-FN-AP</t>
  </si>
  <si>
    <t xml:space="preserve">H-FN-LBL</t>
  </si>
  <si>
    <t xml:space="preserve">H-EQ-MECH</t>
  </si>
  <si>
    <t xml:space="preserve">Mechanical Room</t>
  </si>
  <si>
    <t xml:space="preserve">H-EQ-EQP</t>
  </si>
  <si>
    <t xml:space="preserve">Hydronic Equipment (boilers, pumps, HX)</t>
  </si>
  <si>
    <t xml:space="preserve">H-TS-TEST</t>
  </si>
  <si>
    <t xml:space="preserve">HVAC EST</t>
  </si>
  <si>
    <t xml:space="preserve">Ventilation (V) and Air Conditioning (AC). Identical columns and formulas to PLUMBING EST.</t>
  </si>
  <si>
    <t xml:space="preserve">V-RI-DUCT</t>
  </si>
  <si>
    <t xml:space="preserve">Distribution Ductwork</t>
  </si>
  <si>
    <t xml:space="preserve">lb</t>
  </si>
  <si>
    <t xml:space="preserve">V-RI-SUITE</t>
  </si>
  <si>
    <t xml:space="preserve">Insuite Ductwork</t>
  </si>
  <si>
    <t xml:space="preserve">V-RI-COND</t>
  </si>
  <si>
    <t xml:space="preserve">Condensate Drains (if by HVAC)</t>
  </si>
  <si>
    <t xml:space="preserve">V-RI-INS</t>
  </si>
  <si>
    <t xml:space="preserve">Thermal Insulation (in-house)</t>
  </si>
  <si>
    <t xml:space="preserve">V-RI-CAN</t>
  </si>
  <si>
    <t xml:space="preserve">V-RI-CLN</t>
  </si>
  <si>
    <t xml:space="preserve">V-FN-GRL</t>
  </si>
  <si>
    <t xml:space="preserve">Grilles &amp; Ventilation Terminations</t>
  </si>
  <si>
    <t xml:space="preserve">V-FN-AP</t>
  </si>
  <si>
    <t xml:space="preserve">V-FN-LBL</t>
  </si>
  <si>
    <t xml:space="preserve">Duct Labelling</t>
  </si>
  <si>
    <t xml:space="preserve">V-EQ-FAN</t>
  </si>
  <si>
    <t xml:space="preserve">Ventilation Equipment Supply (fans, ERVs)</t>
  </si>
  <si>
    <t xml:space="preserve">V-TS-TEST</t>
  </si>
  <si>
    <t xml:space="preserve">AC-RI-DUCT</t>
  </si>
  <si>
    <t xml:space="preserve">AC-RI-SUITE</t>
  </si>
  <si>
    <t xml:space="preserve">AC-RI-COND</t>
  </si>
  <si>
    <t xml:space="preserve">AC-RI-LINE</t>
  </si>
  <si>
    <t xml:space="preserve">Refrigeration Linesets</t>
  </si>
  <si>
    <t xml:space="preserve">AC-RI-PTAC</t>
  </si>
  <si>
    <t xml:space="preserve">PTAC Rough-in</t>
  </si>
  <si>
    <t xml:space="preserve">AC-RI-LS12</t>
  </si>
  <si>
    <t xml:space="preserve">AC-1.1/2 Lineset</t>
  </si>
  <si>
    <t xml:space="preserve">AC-RI-CAN</t>
  </si>
  <si>
    <t xml:space="preserve">AC-RI-CLN</t>
  </si>
  <si>
    <t xml:space="preserve">AC-FN-GRL</t>
  </si>
  <si>
    <t xml:space="preserve">Diffusers &amp; Registers</t>
  </si>
  <si>
    <t xml:space="preserve">AC-FN-AP</t>
  </si>
  <si>
    <t xml:space="preserve">AC-EQ-AHU</t>
  </si>
  <si>
    <t xml:space="preserve">AHUs &amp; Heat Pumps Supply</t>
  </si>
  <si>
    <t xml:space="preserve">AC-TS-TEST</t>
  </si>
  <si>
    <t xml:space="preserve">SUBTRADES &amp; GENERAL CONDITIONS</t>
  </si>
  <si>
    <t xml:space="preserve">Allocation %: enter a split per division, or leave all four blank to auto-split by direct cost.</t>
  </si>
  <si>
    <t xml:space="preserve">Direct cost by division</t>
  </si>
  <si>
    <t xml:space="preserve">Auto split share</t>
  </si>
  <si>
    <t xml:space="preserve">SUBTRADES (each becomes its own SOV line, as in Knowify)</t>
  </si>
  <si>
    <t xml:space="preserve">#</t>
  </si>
  <si>
    <t xml:space="preserve">Item</t>
  </si>
  <si>
    <t xml:space="preserve">Company / Basis</t>
  </si>
  <si>
    <t xml:space="preserve">Rate $</t>
  </si>
  <si>
    <t xml:space="preserve">Amount $</t>
  </si>
  <si>
    <t xml:space="preserve">% P</t>
  </si>
  <si>
    <t xml:space="preserve">% H</t>
  </si>
  <si>
    <t xml:space="preserve">% V</t>
  </si>
  <si>
    <t xml:space="preserve">% AC</t>
  </si>
  <si>
    <t xml:space="preserve">Plumbing $</t>
  </si>
  <si>
    <t xml:space="preserve">Hydronic $</t>
  </si>
  <si>
    <t xml:space="preserve">Ventilation $</t>
  </si>
  <si>
    <t xml:space="preserve">A/C $</t>
  </si>
  <si>
    <t xml:space="preserve">Check</t>
  </si>
  <si>
    <t xml:space="preserve">Insulation and Heat Trace</t>
  </si>
  <si>
    <t xml:space="preserve">Adler</t>
  </si>
  <si>
    <t xml:space="preserve">Duct Insulation</t>
  </si>
  <si>
    <t xml:space="preserve">Fire Sprinklers</t>
  </si>
  <si>
    <t xml:space="preserve">P&amp;H Controls</t>
  </si>
  <si>
    <t xml:space="preserve">HVAC Controls</t>
  </si>
  <si>
    <t xml:space="preserve">Olympic Controls</t>
  </si>
  <si>
    <t xml:space="preserve">TAB and Commissioning</t>
  </si>
  <si>
    <t xml:space="preserve">Western Mechanical</t>
  </si>
  <si>
    <t xml:space="preserve">A/C Commissioning</t>
  </si>
  <si>
    <t xml:space="preserve">Canning / Piping Plans</t>
  </si>
  <si>
    <t xml:space="preserve">Paris Mechanical</t>
  </si>
  <si>
    <t xml:space="preserve">Coring / Scanning</t>
  </si>
  <si>
    <t xml:space="preserve">Fixtures Caulking</t>
  </si>
  <si>
    <t xml:space="preserve">Water Balancing</t>
  </si>
  <si>
    <t xml:space="preserve">Sump Pumps</t>
  </si>
  <si>
    <t xml:space="preserve">Chemical Treatment</t>
  </si>
  <si>
    <t xml:space="preserve">P&amp;H Seismic / Schedule</t>
  </si>
  <si>
    <t xml:space="preserve">HVAC Seismic / Schedule</t>
  </si>
  <si>
    <t xml:space="preserve">As-built Drawings</t>
  </si>
  <si>
    <t xml:space="preserve">O&amp;M Manuals</t>
  </si>
  <si>
    <t xml:space="preserve">Plumbing Bond</t>
  </si>
  <si>
    <t xml:space="preserve">HVAC Bond</t>
  </si>
  <si>
    <t xml:space="preserve">Welding</t>
  </si>
  <si>
    <t xml:space="preserve">Gas Service / Other</t>
  </si>
  <si>
    <t xml:space="preserve">SUBTRADES TOTAL</t>
  </si>
  <si>
    <t xml:space="preserve">GENERAL CONDITIONS (Qty x Rate)</t>
  </si>
  <si>
    <t xml:space="preserve">Supervision - Plumbing</t>
  </si>
  <si>
    <t xml:space="preserve">months</t>
  </si>
  <si>
    <t xml:space="preserve">Supervision - Hydronic</t>
  </si>
  <si>
    <t xml:space="preserve">Supervision - Ventilation</t>
  </si>
  <si>
    <t xml:space="preserve">Supervision - A/C</t>
  </si>
  <si>
    <t xml:space="preserve">Office Project Manager (dedicated to this job)</t>
  </si>
  <si>
    <t xml:space="preserve">Dedicated office PM, per month</t>
  </si>
  <si>
    <t xml:space="preserve">Health &amp; Safety</t>
  </si>
  <si>
    <t xml:space="preserve">Bonus - Plumbing</t>
  </si>
  <si>
    <t xml:space="preserve">Bonus - Hydronic</t>
  </si>
  <si>
    <t xml:space="preserve">Bonus - Ventilation</t>
  </si>
  <si>
    <t xml:space="preserve">Bonus - A/C</t>
  </si>
  <si>
    <t xml:space="preserve">Bonus - Office</t>
  </si>
  <si>
    <t xml:space="preserve">Shop Drawings</t>
  </si>
  <si>
    <t xml:space="preserve">Plumbing &amp; Gas Permit</t>
  </si>
  <si>
    <t xml:space="preserve">Prints</t>
  </si>
  <si>
    <t xml:space="preserve">Rentals</t>
  </si>
  <si>
    <t xml:space="preserve">Trailer</t>
  </si>
  <si>
    <t xml:space="preserve">Legal Fees</t>
  </si>
  <si>
    <t xml:space="preserve">Freight</t>
  </si>
  <si>
    <t xml:space="preserve">Warranty Reserve - Plumbing</t>
  </si>
  <si>
    <t xml:space="preserve">Warranty Reserve - Hydronic</t>
  </si>
  <si>
    <t xml:space="preserve">Warranty Reserve - Ventilation</t>
  </si>
  <si>
    <t xml:space="preserve">Warranty Reserve - Air Conditioning</t>
  </si>
  <si>
    <t xml:space="preserve">GENERAL CONDITIONS TOTAL</t>
  </si>
  <si>
    <t xml:space="preserve">BID SUMMARY: full cost, then margin</t>
  </si>
  <si>
    <t xml:space="preserve">Bid status:</t>
  </si>
  <si>
    <t xml:space="preserve">Consumables $</t>
  </si>
  <si>
    <t xml:space="preserve">Subtrades $</t>
  </si>
  <si>
    <t xml:space="preserve">Gen. Cond. $</t>
  </si>
  <si>
    <t xml:space="preserve">Contingency $</t>
  </si>
  <si>
    <t xml:space="preserve">Target Margin</t>
  </si>
  <si>
    <t xml:space="preserve">Sell Price $</t>
  </si>
  <si>
    <t xml:space="preserve">CONTRACT $ (rounded)</t>
  </si>
  <si>
    <t xml:space="preserve">Gross Profit $</t>
  </si>
  <si>
    <t xml:space="preserve">Actual Margin</t>
  </si>
  <si>
    <t xml:space="preserve">Markup on Cost</t>
  </si>
  <si>
    <t xml:space="preserve">Per Unit $</t>
  </si>
  <si>
    <t xml:space="preserve">Per Sq Ft $</t>
  </si>
  <si>
    <t xml:space="preserve">Hrs / Unit</t>
  </si>
  <si>
    <t xml:space="preserve">TOTAL MECHANICAL</t>
  </si>
  <si>
    <t xml:space="preserve">GST (not in contract cost)</t>
  </si>
  <si>
    <t xml:space="preserve">Contract + GST</t>
  </si>
  <si>
    <t xml:space="preserve">COST OF GOODS MIX (whole job)</t>
  </si>
  <si>
    <t xml:space="preserve">This Bid $</t>
  </si>
  <si>
    <t xml:space="preserve">% of Contract</t>
  </si>
  <si>
    <t xml:space="preserve">% of Total Cost</t>
  </si>
  <si>
    <t xml:space="preserve">Knowify Job % of Cost</t>
  </si>
  <si>
    <t xml:space="preserve">Your Typical % of Cost</t>
  </si>
  <si>
    <t xml:space="preserve">Bid vs Typical</t>
  </si>
  <si>
    <t xml:space="preserve">Knowify job % uses projected cost (larger of budget or actual, per phase).</t>
  </si>
  <si>
    <t xml:space="preserve">Knowify does not carry company overhead; its office and safety time sits in labour.</t>
  </si>
  <si>
    <t xml:space="preserve">Material: pipe, fittings, valves (+PST, consumables)</t>
  </si>
  <si>
    <t xml:space="preserve">Knowify 'General Conditions' = its Equipment cost type (tools, rentals).</t>
  </si>
  <si>
    <t xml:space="preserve">Gross Profit</t>
  </si>
  <si>
    <t xml:space="preserve">CHECKS (all must read OK before the bid goes out)</t>
  </si>
  <si>
    <t xml:space="preserve">P&amp;H crew mix = 100% and labour ties to wage breakdown</t>
  </si>
  <si>
    <t xml:space="preserve">HVAC crew mix = 100% and labour ties to wage breakdown</t>
  </si>
  <si>
    <t xml:space="preserve">P+H labour $ = LABOUR RATES P&amp;H cost by wage breakdown</t>
  </si>
  <si>
    <t xml:space="preserve">V+AC labour $ = LABOUR RATES HVAC cost by wage breakdown</t>
  </si>
  <si>
    <t xml:space="preserve">Every estimate row has a valid Div and Phase</t>
  </si>
  <si>
    <t xml:space="preserve">Subtrades fully allocated to divisions</t>
  </si>
  <si>
    <t xml:space="preserve">General conditions fully allocated to divisions</t>
  </si>
  <si>
    <t xml:space="preserve">Level weights total 100%</t>
  </si>
  <si>
    <t xml:space="preserve">BUDGET total cost = BID SUMMARY total cost (every sub/GC row has a phase)</t>
  </si>
  <si>
    <t xml:space="preserve">SCHEDULE OF VALUES total = contract</t>
  </si>
  <si>
    <t xml:space="preserve">OVERALL</t>
  </si>
  <si>
    <t xml:space="preserve">PROJECT BUDGET (cost, by division and phase)</t>
  </si>
  <si>
    <t xml:space="preserve">PROJECT ROLL-UP</t>
  </si>
  <si>
    <t xml:space="preserve">Labour $</t>
  </si>
  <si>
    <t xml:space="preserve">Material $ (incl consumables)</t>
  </si>
  <si>
    <t xml:space="preserve">Margin $</t>
  </si>
  <si>
    <t xml:space="preserve">CONTRACT $</t>
  </si>
  <si>
    <t xml:space="preserve">Total cost rebuilt from phase detail below (must equal J10)</t>
  </si>
  <si>
    <t xml:space="preserve">Material on 03 Rough-in and 04 Finishing rows is shown under 05 Material Supply (Knowify setup).</t>
  </si>
  <si>
    <t xml:space="preserve">Material $</t>
  </si>
  <si>
    <t xml:space="preserve">TOTAL BUDGET $</t>
  </si>
  <si>
    <t xml:space="preserve">% of Division</t>
  </si>
  <si>
    <t xml:space="preserve">Consumables allowance</t>
  </si>
  <si>
    <t xml:space="preserve">TOTAL COST BUDGET</t>
  </si>
  <si>
    <t xml:space="preserve">Margin (fee)</t>
  </si>
  <si>
    <t xml:space="preserve">CONTRACT VALUE</t>
  </si>
  <si>
    <t xml:space="preserve">SCHEDULE OF VALUES</t>
  </si>
  <si>
    <t xml:space="preserve">Contract value (from BID SUMMARY)</t>
  </si>
  <si>
    <t xml:space="preserve">Total of schedule below</t>
  </si>
  <si>
    <t xml:space="preserve">Line names follow your Knowify setup. Columns J:N are the cost budget for the same line, ready to load into Knowify.</t>
  </si>
  <si>
    <t xml:space="preserve">KNOWIFY COST BUDGET (no overhead, no margin)</t>
  </si>
  <si>
    <t xml:space="preserve">Item #</t>
  </si>
  <si>
    <t xml:space="preserve">Job Phase / Contract Item</t>
  </si>
  <si>
    <t xml:space="preserve">Scheduled Value $</t>
  </si>
  <si>
    <t xml:space="preserve">Completed to Date $</t>
  </si>
  <si>
    <t xml:space="preserve">% Complete</t>
  </si>
  <si>
    <t xml:space="preserve">Balance to Finish $</t>
  </si>
  <si>
    <t xml:space="preserve">Holdback $</t>
  </si>
  <si>
    <t xml:space="preserve">Other $</t>
  </si>
  <si>
    <t xml:space="preserve">Div factor</t>
  </si>
  <si>
    <t xml:space="preserve">P-01</t>
  </si>
  <si>
    <t xml:space="preserve">P-03-01</t>
  </si>
  <si>
    <t xml:space="preserve">P-03-02</t>
  </si>
  <si>
    <t xml:space="preserve">P-03-03</t>
  </si>
  <si>
    <t xml:space="preserve">P-03-04</t>
  </si>
  <si>
    <t xml:space="preserve">P-03-05</t>
  </si>
  <si>
    <t xml:space="preserve">P-03-06</t>
  </si>
  <si>
    <t xml:space="preserve">P-03-07</t>
  </si>
  <si>
    <t xml:space="preserve">P-03-08</t>
  </si>
  <si>
    <t xml:space="preserve">P-03-09</t>
  </si>
  <si>
    <t xml:space="preserve">P-03-10</t>
  </si>
  <si>
    <t xml:space="preserve">P-03-11</t>
  </si>
  <si>
    <t xml:space="preserve">P-03-12</t>
  </si>
  <si>
    <t xml:space="preserve">P-03-13</t>
  </si>
  <si>
    <t xml:space="preserve">P-03-14</t>
  </si>
  <si>
    <t xml:space="preserve">P-03-15</t>
  </si>
  <si>
    <t xml:space="preserve">P-03-16</t>
  </si>
  <si>
    <t xml:space="preserve">P-03-17</t>
  </si>
  <si>
    <t xml:space="preserve">P-03-18</t>
  </si>
  <si>
    <t xml:space="preserve">P-03-19</t>
  </si>
  <si>
    <t xml:space="preserve">P-03-20</t>
  </si>
  <si>
    <t xml:space="preserve">P-03-21</t>
  </si>
  <si>
    <t xml:space="preserve">P-03-22</t>
  </si>
  <si>
    <t xml:space="preserve">P-03-23</t>
  </si>
  <si>
    <t xml:space="preserve">P-03-24</t>
  </si>
  <si>
    <t xml:space="preserve">P-04-01</t>
  </si>
  <si>
    <t xml:space="preserve">P-04-02</t>
  </si>
  <si>
    <t xml:space="preserve">P-04-03</t>
  </si>
  <si>
    <t xml:space="preserve">P-04-04</t>
  </si>
  <si>
    <t xml:space="preserve">P-04-05</t>
  </si>
  <si>
    <t xml:space="preserve">P-04-06</t>
  </si>
  <si>
    <t xml:space="preserve">P-04-07</t>
  </si>
  <si>
    <t xml:space="preserve">P-04-08</t>
  </si>
  <si>
    <t xml:space="preserve">P-04-09</t>
  </si>
  <si>
    <t xml:space="preserve">P-04-10</t>
  </si>
  <si>
    <t xml:space="preserve">P-04-11</t>
  </si>
  <si>
    <t xml:space="preserve">P-04-12</t>
  </si>
  <si>
    <t xml:space="preserve">P-04-13</t>
  </si>
  <si>
    <t xml:space="preserve">P-04-14</t>
  </si>
  <si>
    <t xml:space="preserve">P-04-15</t>
  </si>
  <si>
    <t xml:space="preserve">P-04-16</t>
  </si>
  <si>
    <t xml:space="preserve">P-04-17</t>
  </si>
  <si>
    <t xml:space="preserve">P-04-18</t>
  </si>
  <si>
    <t xml:space="preserve">P-04-19</t>
  </si>
  <si>
    <t xml:space="preserve">P-04-20</t>
  </si>
  <si>
    <t xml:space="preserve">P-04-21</t>
  </si>
  <si>
    <t xml:space="preserve">P-04-22</t>
  </si>
  <si>
    <t xml:space="preserve">P-04-23</t>
  </si>
  <si>
    <t xml:space="preserve">P-04-24</t>
  </si>
  <si>
    <t xml:space="preserve">P-05</t>
  </si>
  <si>
    <t xml:space="preserve">P-06</t>
  </si>
  <si>
    <t xml:space="preserve">P-07</t>
  </si>
  <si>
    <t xml:space="preserve">P-08</t>
  </si>
  <si>
    <t xml:space="preserve">P-09</t>
  </si>
  <si>
    <t xml:space="preserve">P-S01</t>
  </si>
  <si>
    <t xml:space="preserve">P-S02</t>
  </si>
  <si>
    <t xml:space="preserve">P-S03</t>
  </si>
  <si>
    <t xml:space="preserve">P-S04</t>
  </si>
  <si>
    <t xml:space="preserve">P-S05</t>
  </si>
  <si>
    <t xml:space="preserve">P-S06</t>
  </si>
  <si>
    <t xml:space="preserve">P-S07</t>
  </si>
  <si>
    <t xml:space="preserve">P-S08</t>
  </si>
  <si>
    <t xml:space="preserve">P-S09</t>
  </si>
  <si>
    <t xml:space="preserve">P-S10</t>
  </si>
  <si>
    <t xml:space="preserve">P-S11</t>
  </si>
  <si>
    <t xml:space="preserve">P-S12</t>
  </si>
  <si>
    <t xml:space="preserve">P-S13</t>
  </si>
  <si>
    <t xml:space="preserve">P-S14</t>
  </si>
  <si>
    <t xml:space="preserve">P-S15</t>
  </si>
  <si>
    <t xml:space="preserve">P-S16</t>
  </si>
  <si>
    <t xml:space="preserve">P-S17</t>
  </si>
  <si>
    <t xml:space="preserve">P-S18</t>
  </si>
  <si>
    <t xml:space="preserve">P-S19</t>
  </si>
  <si>
    <t xml:space="preserve">P-S20</t>
  </si>
  <si>
    <t xml:space="preserve">P-S21</t>
  </si>
  <si>
    <t xml:space="preserve">P-S22</t>
  </si>
  <si>
    <t xml:space="preserve">H-01</t>
  </si>
  <si>
    <t xml:space="preserve">H-02</t>
  </si>
  <si>
    <t xml:space="preserve">H-03-01</t>
  </si>
  <si>
    <t xml:space="preserve">H-03-02</t>
  </si>
  <si>
    <t xml:space="preserve">H-03-03</t>
  </si>
  <si>
    <t xml:space="preserve">H-03-04</t>
  </si>
  <si>
    <t xml:space="preserve">H-03-05</t>
  </si>
  <si>
    <t xml:space="preserve">H-03-06</t>
  </si>
  <si>
    <t xml:space="preserve">H-03-07</t>
  </si>
  <si>
    <t xml:space="preserve">H-03-08</t>
  </si>
  <si>
    <t xml:space="preserve">H-03-09</t>
  </si>
  <si>
    <t xml:space="preserve">H-03-10</t>
  </si>
  <si>
    <t xml:space="preserve">H-03-11</t>
  </si>
  <si>
    <t xml:space="preserve">H-03-12</t>
  </si>
  <si>
    <t xml:space="preserve">H-03-13</t>
  </si>
  <si>
    <t xml:space="preserve">H-03-14</t>
  </si>
  <si>
    <t xml:space="preserve">H-03-15</t>
  </si>
  <si>
    <t xml:space="preserve">H-03-16</t>
  </si>
  <si>
    <t xml:space="preserve">H-03-17</t>
  </si>
  <si>
    <t xml:space="preserve">H-03-18</t>
  </si>
  <si>
    <t xml:space="preserve">H-03-19</t>
  </si>
  <si>
    <t xml:space="preserve">H-03-20</t>
  </si>
  <si>
    <t xml:space="preserve">H-03-21</t>
  </si>
  <si>
    <t xml:space="preserve">H-03-22</t>
  </si>
  <si>
    <t xml:space="preserve">H-03-23</t>
  </si>
  <si>
    <t xml:space="preserve">H-03-24</t>
  </si>
  <si>
    <t xml:space="preserve">H-04-01</t>
  </si>
  <si>
    <t xml:space="preserve">H-04-02</t>
  </si>
  <si>
    <t xml:space="preserve">H-04-03</t>
  </si>
  <si>
    <t xml:space="preserve">H-04-04</t>
  </si>
  <si>
    <t xml:space="preserve">H-04-05</t>
  </si>
  <si>
    <t xml:space="preserve">H-04-06</t>
  </si>
  <si>
    <t xml:space="preserve">H-04-07</t>
  </si>
  <si>
    <t xml:space="preserve">H-04-08</t>
  </si>
  <si>
    <t xml:space="preserve">H-04-09</t>
  </si>
  <si>
    <t xml:space="preserve">H-04-10</t>
  </si>
  <si>
    <t xml:space="preserve">H-04-11</t>
  </si>
  <si>
    <t xml:space="preserve">H-04-12</t>
  </si>
  <si>
    <t xml:space="preserve">H-04-13</t>
  </si>
  <si>
    <t xml:space="preserve">H-04-14</t>
  </si>
  <si>
    <t xml:space="preserve">H-04-15</t>
  </si>
  <si>
    <t xml:space="preserve">H-04-16</t>
  </si>
  <si>
    <t xml:space="preserve">H-04-17</t>
  </si>
  <si>
    <t xml:space="preserve">H-04-18</t>
  </si>
  <si>
    <t xml:space="preserve">H-04-19</t>
  </si>
  <si>
    <t xml:space="preserve">H-04-20</t>
  </si>
  <si>
    <t xml:space="preserve">H-04-21</t>
  </si>
  <si>
    <t xml:space="preserve">H-04-22</t>
  </si>
  <si>
    <t xml:space="preserve">H-04-23</t>
  </si>
  <si>
    <t xml:space="preserve">H-04-24</t>
  </si>
  <si>
    <t xml:space="preserve">H-05</t>
  </si>
  <si>
    <t xml:space="preserve">H-06</t>
  </si>
  <si>
    <t xml:space="preserve">H-07</t>
  </si>
  <si>
    <t xml:space="preserve">H-08</t>
  </si>
  <si>
    <t xml:space="preserve">H-09</t>
  </si>
  <si>
    <t xml:space="preserve">H-S01</t>
  </si>
  <si>
    <t xml:space="preserve">H-S02</t>
  </si>
  <si>
    <t xml:space="preserve">H-S03</t>
  </si>
  <si>
    <t xml:space="preserve">H-S04</t>
  </si>
  <si>
    <t xml:space="preserve">H-S05</t>
  </si>
  <si>
    <t xml:space="preserve">H-S06</t>
  </si>
  <si>
    <t xml:space="preserve">H-S07</t>
  </si>
  <si>
    <t xml:space="preserve">H-S08</t>
  </si>
  <si>
    <t xml:space="preserve">H-S09</t>
  </si>
  <si>
    <t xml:space="preserve">H-S10</t>
  </si>
  <si>
    <t xml:space="preserve">H-S11</t>
  </si>
  <si>
    <t xml:space="preserve">H-S12</t>
  </si>
  <si>
    <t xml:space="preserve">H-S13</t>
  </si>
  <si>
    <t xml:space="preserve">H-S14</t>
  </si>
  <si>
    <t xml:space="preserve">H-S15</t>
  </si>
  <si>
    <t xml:space="preserve">H-S16</t>
  </si>
  <si>
    <t xml:space="preserve">H-S17</t>
  </si>
  <si>
    <t xml:space="preserve">H-S18</t>
  </si>
  <si>
    <t xml:space="preserve">H-S19</t>
  </si>
  <si>
    <t xml:space="preserve">H-S20</t>
  </si>
  <si>
    <t xml:space="preserve">H-S21</t>
  </si>
  <si>
    <t xml:space="preserve">H-S22</t>
  </si>
  <si>
    <t xml:space="preserve">V-01</t>
  </si>
  <si>
    <t xml:space="preserve">V-02</t>
  </si>
  <si>
    <t xml:space="preserve">V-03-01</t>
  </si>
  <si>
    <t xml:space="preserve">V-03-02</t>
  </si>
  <si>
    <t xml:space="preserve">V-03-03</t>
  </si>
  <si>
    <t xml:space="preserve">V-03-04</t>
  </si>
  <si>
    <t xml:space="preserve">V-03-05</t>
  </si>
  <si>
    <t xml:space="preserve">V-03-06</t>
  </si>
  <si>
    <t xml:space="preserve">V-03-07</t>
  </si>
  <si>
    <t xml:space="preserve">V-03-08</t>
  </si>
  <si>
    <t xml:space="preserve">V-03-09</t>
  </si>
  <si>
    <t xml:space="preserve">V-03-10</t>
  </si>
  <si>
    <t xml:space="preserve">V-03-11</t>
  </si>
  <si>
    <t xml:space="preserve">V-03-12</t>
  </si>
  <si>
    <t xml:space="preserve">V-03-13</t>
  </si>
  <si>
    <t xml:space="preserve">V-03-14</t>
  </si>
  <si>
    <t xml:space="preserve">V-03-15</t>
  </si>
  <si>
    <t xml:space="preserve">V-03-16</t>
  </si>
  <si>
    <t xml:space="preserve">V-03-17</t>
  </si>
  <si>
    <t xml:space="preserve">V-03-18</t>
  </si>
  <si>
    <t xml:space="preserve">V-03-19</t>
  </si>
  <si>
    <t xml:space="preserve">V-03-20</t>
  </si>
  <si>
    <t xml:space="preserve">V-03-21</t>
  </si>
  <si>
    <t xml:space="preserve">V-03-22</t>
  </si>
  <si>
    <t xml:space="preserve">V-03-23</t>
  </si>
  <si>
    <t xml:space="preserve">V-03-24</t>
  </si>
  <si>
    <t xml:space="preserve">V-04-01</t>
  </si>
  <si>
    <t xml:space="preserve">V-04-02</t>
  </si>
  <si>
    <t xml:space="preserve">V-04-03</t>
  </si>
  <si>
    <t xml:space="preserve">V-04-04</t>
  </si>
  <si>
    <t xml:space="preserve">V-04-05</t>
  </si>
  <si>
    <t xml:space="preserve">V-04-06</t>
  </si>
  <si>
    <t xml:space="preserve">V-04-07</t>
  </si>
  <si>
    <t xml:space="preserve">V-04-08</t>
  </si>
  <si>
    <t xml:space="preserve">V-04-09</t>
  </si>
  <si>
    <t xml:space="preserve">V-04-10</t>
  </si>
  <si>
    <t xml:space="preserve">V-04-11</t>
  </si>
  <si>
    <t xml:space="preserve">V-04-12</t>
  </si>
  <si>
    <t xml:space="preserve">V-04-13</t>
  </si>
  <si>
    <t xml:space="preserve">V-04-14</t>
  </si>
  <si>
    <t xml:space="preserve">V-04-15</t>
  </si>
  <si>
    <t xml:space="preserve">V-04-16</t>
  </si>
  <si>
    <t xml:space="preserve">V-04-17</t>
  </si>
  <si>
    <t xml:space="preserve">V-04-18</t>
  </si>
  <si>
    <t xml:space="preserve">V-04-19</t>
  </si>
  <si>
    <t xml:space="preserve">V-04-20</t>
  </si>
  <si>
    <t xml:space="preserve">V-04-21</t>
  </si>
  <si>
    <t xml:space="preserve">V-04-22</t>
  </si>
  <si>
    <t xml:space="preserve">V-04-23</t>
  </si>
  <si>
    <t xml:space="preserve">V-04-24</t>
  </si>
  <si>
    <t xml:space="preserve">V-05</t>
  </si>
  <si>
    <t xml:space="preserve">V-06</t>
  </si>
  <si>
    <t xml:space="preserve">V-07</t>
  </si>
  <si>
    <t xml:space="preserve">V-08</t>
  </si>
  <si>
    <t xml:space="preserve">V-09</t>
  </si>
  <si>
    <t xml:space="preserve">V-S01</t>
  </si>
  <si>
    <t xml:space="preserve">V-S02</t>
  </si>
  <si>
    <t xml:space="preserve">V-S03</t>
  </si>
  <si>
    <t xml:space="preserve">V-S04</t>
  </si>
  <si>
    <t xml:space="preserve">V-S05</t>
  </si>
  <si>
    <t xml:space="preserve">V-S06</t>
  </si>
  <si>
    <t xml:space="preserve">V-S07</t>
  </si>
  <si>
    <t xml:space="preserve">V-S08</t>
  </si>
  <si>
    <t xml:space="preserve">V-S09</t>
  </si>
  <si>
    <t xml:space="preserve">V-S10</t>
  </si>
  <si>
    <t xml:space="preserve">V-S11</t>
  </si>
  <si>
    <t xml:space="preserve">V-S12</t>
  </si>
  <si>
    <t xml:space="preserve">V-S13</t>
  </si>
  <si>
    <t xml:space="preserve">V-S14</t>
  </si>
  <si>
    <t xml:space="preserve">V-S15</t>
  </si>
  <si>
    <t xml:space="preserve">V-S16</t>
  </si>
  <si>
    <t xml:space="preserve">V-S17</t>
  </si>
  <si>
    <t xml:space="preserve">V-S18</t>
  </si>
  <si>
    <t xml:space="preserve">V-S19</t>
  </si>
  <si>
    <t xml:space="preserve">V-S20</t>
  </si>
  <si>
    <t xml:space="preserve">V-S21</t>
  </si>
  <si>
    <t xml:space="preserve">V-S22</t>
  </si>
  <si>
    <t xml:space="preserve">AC-01</t>
  </si>
  <si>
    <t xml:space="preserve">AC-02</t>
  </si>
  <si>
    <t xml:space="preserve">AC-03-01</t>
  </si>
  <si>
    <t xml:space="preserve">AC-03-02</t>
  </si>
  <si>
    <t xml:space="preserve">AC-03-03</t>
  </si>
  <si>
    <t xml:space="preserve">AC-03-04</t>
  </si>
  <si>
    <t xml:space="preserve">AC-03-05</t>
  </si>
  <si>
    <t xml:space="preserve">AC-03-06</t>
  </si>
  <si>
    <t xml:space="preserve">AC-03-07</t>
  </si>
  <si>
    <t xml:space="preserve">AC-03-08</t>
  </si>
  <si>
    <t xml:space="preserve">AC-03-09</t>
  </si>
  <si>
    <t xml:space="preserve">AC-03-10</t>
  </si>
  <si>
    <t xml:space="preserve">AC-03-11</t>
  </si>
  <si>
    <t xml:space="preserve">AC-03-12</t>
  </si>
  <si>
    <t xml:space="preserve">AC-03-13</t>
  </si>
  <si>
    <t xml:space="preserve">AC-03-14</t>
  </si>
  <si>
    <t xml:space="preserve">AC-03-15</t>
  </si>
  <si>
    <t xml:space="preserve">AC-03-16</t>
  </si>
  <si>
    <t xml:space="preserve">AC-03-17</t>
  </si>
  <si>
    <t xml:space="preserve">AC-03-18</t>
  </si>
  <si>
    <t xml:space="preserve">AC-03-19</t>
  </si>
  <si>
    <t xml:space="preserve">AC-03-20</t>
  </si>
  <si>
    <t xml:space="preserve">AC-03-21</t>
  </si>
  <si>
    <t xml:space="preserve">AC-03-22</t>
  </si>
  <si>
    <t xml:space="preserve">AC-03-23</t>
  </si>
  <si>
    <t xml:space="preserve">AC-03-24</t>
  </si>
  <si>
    <t xml:space="preserve">AC-04-01</t>
  </si>
  <si>
    <t xml:space="preserve">AC-04-02</t>
  </si>
  <si>
    <t xml:space="preserve">AC-04-03</t>
  </si>
  <si>
    <t xml:space="preserve">AC-04-04</t>
  </si>
  <si>
    <t xml:space="preserve">AC-04-05</t>
  </si>
  <si>
    <t xml:space="preserve">AC-04-06</t>
  </si>
  <si>
    <t xml:space="preserve">AC-04-07</t>
  </si>
  <si>
    <t xml:space="preserve">AC-04-08</t>
  </si>
  <si>
    <t xml:space="preserve">AC-04-09</t>
  </si>
  <si>
    <t xml:space="preserve">AC-04-10</t>
  </si>
  <si>
    <t xml:space="preserve">AC-04-11</t>
  </si>
  <si>
    <t xml:space="preserve">AC-04-12</t>
  </si>
  <si>
    <t xml:space="preserve">AC-04-13</t>
  </si>
  <si>
    <t xml:space="preserve">AC-04-14</t>
  </si>
  <si>
    <t xml:space="preserve">AC-04-15</t>
  </si>
  <si>
    <t xml:space="preserve">AC-04-16</t>
  </si>
  <si>
    <t xml:space="preserve">AC-04-17</t>
  </si>
  <si>
    <t xml:space="preserve">AC-04-18</t>
  </si>
  <si>
    <t xml:space="preserve">AC-04-19</t>
  </si>
  <si>
    <t xml:space="preserve">AC-04-20</t>
  </si>
  <si>
    <t xml:space="preserve">AC-04-21</t>
  </si>
  <si>
    <t xml:space="preserve">AC-04-22</t>
  </si>
  <si>
    <t xml:space="preserve">AC-04-23</t>
  </si>
  <si>
    <t xml:space="preserve">AC-04-24</t>
  </si>
  <si>
    <t xml:space="preserve">AC-05</t>
  </si>
  <si>
    <t xml:space="preserve">AC-06</t>
  </si>
  <si>
    <t xml:space="preserve">AC-07</t>
  </si>
  <si>
    <t xml:space="preserve">AC-08</t>
  </si>
  <si>
    <t xml:space="preserve">AC-09</t>
  </si>
  <si>
    <t xml:space="preserve">AC-S01</t>
  </si>
  <si>
    <t xml:space="preserve">AC-S02</t>
  </si>
  <si>
    <t xml:space="preserve">AC-S03</t>
  </si>
  <si>
    <t xml:space="preserve">AC-S04</t>
  </si>
  <si>
    <t xml:space="preserve">AC-S05</t>
  </si>
  <si>
    <t xml:space="preserve">AC-S06</t>
  </si>
  <si>
    <t xml:space="preserve">AC-S07</t>
  </si>
  <si>
    <t xml:space="preserve">AC-S08</t>
  </si>
  <si>
    <t xml:space="preserve">AC-S09</t>
  </si>
  <si>
    <t xml:space="preserve">AC-S10</t>
  </si>
  <si>
    <t xml:space="preserve">AC-S11</t>
  </si>
  <si>
    <t xml:space="preserve">AC-S12</t>
  </si>
  <si>
    <t xml:space="preserve">AC-S13</t>
  </si>
  <si>
    <t xml:space="preserve">AC-S14</t>
  </si>
  <si>
    <t xml:space="preserve">AC-S15</t>
  </si>
  <si>
    <t xml:space="preserve">AC-S16</t>
  </si>
  <si>
    <t xml:space="preserve">AC-S17</t>
  </si>
  <si>
    <t xml:space="preserve">AC-S18</t>
  </si>
  <si>
    <t xml:space="preserve">AC-S19</t>
  </si>
  <si>
    <t xml:space="preserve">AC-S20</t>
  </si>
  <si>
    <t xml:space="preserve">AC-S21</t>
  </si>
  <si>
    <t xml:space="preserve">AC-S22</t>
  </si>
  <si>
    <t xml:space="preserve">TOTAL CONTRACT</t>
  </si>
  <si>
    <t xml:space="preserve">Check: Knowify budget + overhead + contingency + margin = contract</t>
  </si>
  <si>
    <t xml:space="preserve">KNOWIFY REVIEW: what the last job actually cost</t>
  </si>
  <si>
    <t xml:space="preserve">Reads KNOWIFY PHASES and KNOWIFY TIME. Blue cells: type from the export's Summary sheet.</t>
  </si>
  <si>
    <t xml:space="preserve">HELPER COLUMNS (one row per KNOWIFY PHASES row; do not edit)</t>
  </si>
  <si>
    <t xml:space="preserve">Role</t>
  </si>
  <si>
    <t xml:space="preserve">Cost</t>
  </si>
  <si>
    <t xml:space="preserve">Crew Class</t>
  </si>
  <si>
    <t xml:space="preserve">Knowify Phase</t>
  </si>
  <si>
    <t xml:space="preserve">Mapped Phase</t>
  </si>
  <si>
    <t xml:space="preserve">Use</t>
  </si>
  <si>
    <t xml:space="preserve">Lab Bud</t>
  </si>
  <si>
    <t xml:space="preserve">Lab Act</t>
  </si>
  <si>
    <t xml:space="preserve">Mat Bud</t>
  </si>
  <si>
    <t xml:space="preserve">Mat Act</t>
  </si>
  <si>
    <t xml:space="preserve">Sub Bud</t>
  </si>
  <si>
    <t xml:space="preserve">Sub Act</t>
  </si>
  <si>
    <t xml:space="preserve">Eq Bud</t>
  </si>
  <si>
    <t xml:space="preserve">Eq Act</t>
  </si>
  <si>
    <t xml:space="preserve">Tot Bud</t>
  </si>
  <si>
    <t xml:space="preserve">Tot Act</t>
  </si>
  <si>
    <t xml:space="preserve">Proj Lab</t>
  </si>
  <si>
    <t xml:space="preserve">Proj Mat</t>
  </si>
  <si>
    <t xml:space="preserve">Proj Sub</t>
  </si>
  <si>
    <t xml:space="preserve">Proj Eq</t>
  </si>
  <si>
    <t xml:space="preserve">PHASE KEYWORD MAP (last match wins)</t>
  </si>
  <si>
    <t xml:space="preserve">ROLE MAP (Knowify role -&gt; crew class)</t>
  </si>
  <si>
    <t xml:space="preserve">Job</t>
  </si>
  <si>
    <t xml:space="preserve">0-MARC25102 - 405 Marie Place (Ashton)</t>
  </si>
  <si>
    <t xml:space="preserve">Keyword in Knowify phase</t>
  </si>
  <si>
    <t xml:space="preserve">Maps to Phase</t>
  </si>
  <si>
    <t xml:space="preserve">Knowify Role (exact)</t>
  </si>
  <si>
    <t xml:space="preserve">Contract (Knowify 'Total Amount')</t>
  </si>
  <si>
    <t xml:space="preserve">Water Connection</t>
  </si>
  <si>
    <t xml:space="preserve">Apprentice Lvl 1</t>
  </si>
  <si>
    <t xml:space="preserve">Committed cost (Knowify 'Total Cost To Date (Committed)')</t>
  </si>
  <si>
    <t xml:space="preserve">Shop Drawing</t>
  </si>
  <si>
    <t xml:space="preserve">Apprentice Lvl 2</t>
  </si>
  <si>
    <t xml:space="preserve">Permit</t>
  </si>
  <si>
    <t xml:space="preserve">Apprentice Lvl 3</t>
  </si>
  <si>
    <t xml:space="preserve">HEADLINE</t>
  </si>
  <si>
    <t xml:space="preserve">Mobilization</t>
  </si>
  <si>
    <t xml:space="preserve">Apprentice Lvl 4</t>
  </si>
  <si>
    <t xml:space="preserve">Measure</t>
  </si>
  <si>
    <t xml:space="preserve">Amount</t>
  </si>
  <si>
    <t xml:space="preserve">Margin %</t>
  </si>
  <si>
    <t xml:space="preserve">Cost Mix (projected)</t>
  </si>
  <si>
    <t xml:space="preserve">% of Cost</t>
  </si>
  <si>
    <t xml:space="preserve">Foundation</t>
  </si>
  <si>
    <t xml:space="preserve">Apprentice Lvl 5</t>
  </si>
  <si>
    <t xml:space="preserve">Knowify cost budget</t>
  </si>
  <si>
    <t xml:space="preserve">Material excl. fixtures &amp; equip. supply</t>
  </si>
  <si>
    <t xml:space="preserve">Underground</t>
  </si>
  <si>
    <t xml:space="preserve">Apprentice Lvl 6</t>
  </si>
  <si>
    <t xml:space="preserve">Cost to date (actual)</t>
  </si>
  <si>
    <t xml:space="preserve">Your typical pipe/fitting material %</t>
  </si>
  <si>
    <t xml:space="preserve">Apprentice Level 6</t>
  </si>
  <si>
    <t xml:space="preserve">Projected cost (larger of budget or actual, per phase)</t>
  </si>
  <si>
    <t xml:space="preserve">Fixtures &amp; equipment supply</t>
  </si>
  <si>
    <t xml:space="preserve">Parkade</t>
  </si>
  <si>
    <t xml:space="preserve">Apprentice Lvl 7</t>
  </si>
  <si>
    <t xml:space="preserve">Committed cost (typed above)</t>
  </si>
  <si>
    <t xml:space="preserve">Rough-in</t>
  </si>
  <si>
    <t xml:space="preserve">Apprentice Lvl 8</t>
  </si>
  <si>
    <t xml:space="preserve">Labour hours to date (KNOWIFY TIME)</t>
  </si>
  <si>
    <t xml:space="preserve">Labour</t>
  </si>
  <si>
    <t xml:space="preserve">Journeyman</t>
  </si>
  <si>
    <t xml:space="preserve">Company overhead on those hours (not in Knowify)</t>
  </si>
  <si>
    <t xml:space="preserve">Material</t>
  </si>
  <si>
    <t xml:space="preserve">Insulation</t>
  </si>
  <si>
    <t xml:space="preserve">Journeyman Lvl 1</t>
  </si>
  <si>
    <t xml:space="preserve">Margin at projected cost, after overhead</t>
  </si>
  <si>
    <t xml:space="preserve">Sprinkler</t>
  </si>
  <si>
    <t xml:space="preserve">Journeyman Lvl 2</t>
  </si>
  <si>
    <t xml:space="preserve">Margin at committed cost, after overhead</t>
  </si>
  <si>
    <t xml:space="preserve">Equipment / tools</t>
  </si>
  <si>
    <t xml:space="preserve">Finishing</t>
  </si>
  <si>
    <t xml:space="preserve">Foreman Lvl 1</t>
  </si>
  <si>
    <t xml:space="preserve">Overhead counts hours so far only; remaining hours add more.</t>
  </si>
  <si>
    <t xml:space="preserve">Material Supply</t>
  </si>
  <si>
    <t xml:space="preserve">Foreman Lvl 2</t>
  </si>
  <si>
    <t xml:space="preserve">Fixtures</t>
  </si>
  <si>
    <t xml:space="preserve">Project Manager</t>
  </si>
  <si>
    <t xml:space="preserve">Knowify phases all mapped</t>
  </si>
  <si>
    <t xml:space="preserve">Equipment Supply</t>
  </si>
  <si>
    <t xml:space="preserve">HVAC Field Supervisor</t>
  </si>
  <si>
    <t xml:space="preserve">Knowify roles all mapped</t>
  </si>
  <si>
    <t xml:space="preserve">Mech Room</t>
  </si>
  <si>
    <t xml:space="preserve">Health &amp; Safety Coordinator</t>
  </si>
  <si>
    <t xml:space="preserve">Controls</t>
  </si>
  <si>
    <t xml:space="preserve">Divisional Manager</t>
  </si>
  <si>
    <t xml:space="preserve">Admin</t>
  </si>
  <si>
    <t xml:space="preserve">HOW EACH PHASE RAN vs BUDGET (closed phases that used at least half their budget + phases already at/over budget; change orders excluded)</t>
  </si>
  <si>
    <t xml:space="preserve">Commissioning</t>
  </si>
  <si>
    <t xml:space="preserve">Div / Phase</t>
  </si>
  <si>
    <t xml:space="preserve"># Phases</t>
  </si>
  <si>
    <t xml:space="preserve">Labour Budget</t>
  </si>
  <si>
    <t xml:space="preserve">Labour Actual</t>
  </si>
  <si>
    <t xml:space="preserve">Labour Act/Bud</t>
  </si>
  <si>
    <t xml:space="preserve">Material Budget</t>
  </si>
  <si>
    <t xml:space="preserve">Material Actual</t>
  </si>
  <si>
    <t xml:space="preserve">Material Act/Bud</t>
  </si>
  <si>
    <t xml:space="preserve">Labour Hrs (est.)</t>
  </si>
  <si>
    <t xml:space="preserve">TAB </t>
  </si>
  <si>
    <t xml:space="preserve">Completion</t>
  </si>
  <si>
    <t xml:space="preserve">Final Doc</t>
  </si>
  <si>
    <t xml:space="preserve">Office</t>
  </si>
  <si>
    <t xml:space="preserve">Safety</t>
  </si>
  <si>
    <t xml:space="preserve">Supervision</t>
  </si>
  <si>
    <t xml:space="preserve">ACTUAL CREW (KNOWIFY TIME, all trades)</t>
  </si>
  <si>
    <t xml:space="preserve">Actual $/hr</t>
  </si>
  <si>
    <t xml:space="preserve">Actual Mix</t>
  </si>
  <si>
    <t xml:space="preserve">Template Mix (P&amp;H)</t>
  </si>
  <si>
    <t xml:space="preserve">Unmapped</t>
  </si>
  <si>
    <t xml:space="preserve">TOTAL / BLENDED</t>
  </si>
  <si>
    <t xml:space="preserve">Knowify cost per hour as recorded in Knowify. Confirm whether it includes full burden.</t>
  </si>
  <si>
    <t xml:space="preserve">Total Cost</t>
  </si>
  <si>
    <t xml:space="preserve">Materials</t>
  </si>
  <si>
    <t xml:space="preserve">Labor</t>
  </si>
  <si>
    <t xml:space="preserve">Subcontractors</t>
  </si>
  <si>
    <t xml:space="preserve">Equipment</t>
  </si>
  <si>
    <t xml:space="preserve">Miscellanea</t>
  </si>
  <si>
    <t xml:space="preserve">Status</t>
  </si>
  <si>
    <t xml:space="preserve">Progress</t>
  </si>
  <si>
    <t xml:space="preserve">Cost vs Budget</t>
  </si>
  <si>
    <t xml:space="preserve">Cost to Date</t>
  </si>
  <si>
    <t xml:space="preserve">Budgeted</t>
  </si>
  <si>
    <t xml:space="preserve">Remaining</t>
  </si>
  <si>
    <t xml:space="preserve">Active</t>
  </si>
  <si>
    <t xml:space="preserve">P - Water Connection Temporary</t>
  </si>
  <si>
    <t xml:space="preserve">Closed</t>
  </si>
  <si>
    <t xml:space="preserve">P - Foundation Plumbing &amp; Sumps</t>
  </si>
  <si>
    <t xml:space="preserve">P - Parkade Plumbing (Labour &amp; Material)</t>
  </si>
  <si>
    <t xml:space="preserve">P - BLDG A - L1 Plumbing Rough-in (Labour)</t>
  </si>
  <si>
    <t xml:space="preserve">P - BLDG A - L2 Plumbing Rough-in (Labour)</t>
  </si>
  <si>
    <t xml:space="preserve">P - BLDG A - L3 Plumbing Rough-in (Labour)</t>
  </si>
  <si>
    <t xml:space="preserve">P - BLDG A - L4 Plumbing Rough-in (Labour)</t>
  </si>
  <si>
    <t xml:space="preserve">P - BLDG A - L5 Plumbing Rough-in (Labour)</t>
  </si>
  <si>
    <t xml:space="preserve">P - BLDG A - L6 Plumbing Rough-in (Labour)</t>
  </si>
  <si>
    <t xml:space="preserve">P - BLDG A - Roof Plumbing (Labour &amp; Material)</t>
  </si>
  <si>
    <t xml:space="preserve">P - BLDG A - Material Supply</t>
  </si>
  <si>
    <t xml:space="preserve">P - BLDG A - Plumbing Fixtures &amp; Access Panels Supply</t>
  </si>
  <si>
    <t xml:space="preserve">P - BLDG A - L1 Plumbing Finishing (Labour)</t>
  </si>
  <si>
    <t xml:space="preserve">P - BLDG A - L2 Plumbing Finishing (Labour)</t>
  </si>
  <si>
    <t xml:space="preserve">P - BLDG A - L3 Plumbing Finishing (Labour)</t>
  </si>
  <si>
    <t xml:space="preserve">P - BLDG A - L4 Plumbing Finishing (Labour)</t>
  </si>
  <si>
    <t xml:space="preserve">P - BLDG A - L5 Plumbing Finishing (Labour)</t>
  </si>
  <si>
    <t xml:space="preserve">P - BLDG A - L6 Plumbing Finishing (Labour)</t>
  </si>
  <si>
    <t xml:space="preserve">P - BLDG B - L1 Plumbing Rough-in (Labour)</t>
  </si>
  <si>
    <t xml:space="preserve">P - BLDG B - L2 Plumbing Rough-in (Labour)</t>
  </si>
  <si>
    <t xml:space="preserve">P - BLDG B - L3 Plumbing Rough-in (Labour)</t>
  </si>
  <si>
    <t xml:space="preserve">P - BLDG B - L4 Plumbing Rough-in (Labour)</t>
  </si>
  <si>
    <t xml:space="preserve">P - BLDG B - L5 Plumbing Rough-in (Labour)</t>
  </si>
  <si>
    <t xml:space="preserve">P - BLDG B - L6 Plumbing Rough-in (Labour)</t>
  </si>
  <si>
    <t xml:space="preserve">P - BLDG B - Roof Plumbing (Labour &amp; Material)</t>
  </si>
  <si>
    <t xml:space="preserve">P - BLDG B - Material Supply</t>
  </si>
  <si>
    <t xml:space="preserve">P - BLDG B - Plumbing Fixtures &amp; Access Panels Supply</t>
  </si>
  <si>
    <t xml:space="preserve">P - BLDG B - L1 Plumbing Finishing (Labour)</t>
  </si>
  <si>
    <t xml:space="preserve">P - BLDG B - L2 Plumbing Finishing (Labour)</t>
  </si>
  <si>
    <t xml:space="preserve">P - BLDG B - L3 Plumbing Finishing (Labour)</t>
  </si>
  <si>
    <t xml:space="preserve">P - BLDG B - L4 Plumbing Finishing (Labour)</t>
  </si>
  <si>
    <t xml:space="preserve">P - BLDG B - L5 Plumbing Finishing (Labour)</t>
  </si>
  <si>
    <t xml:space="preserve">P - BLDG B - L6 Plumbing Finishing (Labour)</t>
  </si>
  <si>
    <t xml:space="preserve">P - Mech Room &amp; Equipment Supply</t>
  </si>
  <si>
    <t xml:space="preserve">P - Insulation and Heat Trace</t>
  </si>
  <si>
    <t xml:space="preserve">P - Permits</t>
  </si>
  <si>
    <t xml:space="preserve">P - Shop Drawings, and Mobilization</t>
  </si>
  <si>
    <t xml:space="preserve">P - Completion &amp; Final Documents</t>
  </si>
  <si>
    <t xml:space="preserve">HVAC - Parkade HVAC (Labour &amp; Material)</t>
  </si>
  <si>
    <t xml:space="preserve">V - BLDG A - L1 HVAC Rough-in (Labour)</t>
  </si>
  <si>
    <t xml:space="preserve">V - BLDG A - L2 HVAC Rough-in (Labour)</t>
  </si>
  <si>
    <t xml:space="preserve">V - BLDG A - L3 HVAC Rough-in (Labour)</t>
  </si>
  <si>
    <t xml:space="preserve">V - BLDG A - L4 HVAC Rough-in (Labour)</t>
  </si>
  <si>
    <t xml:space="preserve">V - BLDG A - L5 HVAC Rough-in (Labour)</t>
  </si>
  <si>
    <t xml:space="preserve">V - BLDG A - L6 HVAC Rough-in (Labour)</t>
  </si>
  <si>
    <t xml:space="preserve">V - BLDG A - Material Supply</t>
  </si>
  <si>
    <t xml:space="preserve">V - BLDG A - L1 HVAC Finishing (Labour)</t>
  </si>
  <si>
    <t xml:space="preserve">V - BLDG A - L2 HVAC Finishing (Labour)</t>
  </si>
  <si>
    <t xml:space="preserve">V - BLDG A - L3 HVAC Finishing (Labour)</t>
  </si>
  <si>
    <t xml:space="preserve">V - BLDG A - L4 HVAC Finishing (Labour)</t>
  </si>
  <si>
    <t xml:space="preserve">V - BLDG A - L5 HVAC Finishing (Labour)</t>
  </si>
  <si>
    <t xml:space="preserve">V - BLDG A - L6 HVAC Finishing (Labour)</t>
  </si>
  <si>
    <t xml:space="preserve">V - BLDG B - L1 HVAC Rough-in (Labour)</t>
  </si>
  <si>
    <t xml:space="preserve">V - BLDG B - L2 HVAC Rough-in (Labour)</t>
  </si>
  <si>
    <t xml:space="preserve">HVAC - BLDG 2 - L3 HVAC Rough-in (Labour)</t>
  </si>
  <si>
    <t xml:space="preserve">V - BLDG B - L4 HVAC Rough-in (Labour)</t>
  </si>
  <si>
    <t xml:space="preserve">V - BLDG B - L5 HVAC Rough-in (Labour)</t>
  </si>
  <si>
    <t xml:space="preserve">V - BLDG B - L6 HVAC Rough-in (Labour)</t>
  </si>
  <si>
    <t xml:space="preserve">V - BLDG B - Material Supply</t>
  </si>
  <si>
    <t xml:space="preserve">V - BLDG B - L1 HVAC Finishing</t>
  </si>
  <si>
    <t xml:space="preserve">V - BLDG B - L2 HVAC Finishing</t>
  </si>
  <si>
    <t xml:space="preserve">V - BLDG B - L3 HVAC Finishing</t>
  </si>
  <si>
    <t xml:space="preserve">V - BLDG B - L4 HVAC Finishing</t>
  </si>
  <si>
    <t xml:space="preserve">V - BLDG B - L5 HVAC Finishing</t>
  </si>
  <si>
    <t xml:space="preserve">V - BLDG B - L6 HVAC Finishing</t>
  </si>
  <si>
    <t xml:space="preserve">V - Ventilation Equipment Supply</t>
  </si>
  <si>
    <t xml:space="preserve">V - HVAC Controls</t>
  </si>
  <si>
    <t xml:space="preserve">V - TAB and Commissioning</t>
  </si>
  <si>
    <t xml:space="preserve">V - Permit, Shop Drawings and Mobilization</t>
  </si>
  <si>
    <t xml:space="preserve">V - Insulation Labour</t>
  </si>
  <si>
    <t xml:space="preserve">V - Completion &amp; Final Documents</t>
  </si>
  <si>
    <t xml:space="preserve">V - Roof HVAC</t>
  </si>
  <si>
    <t xml:space="preserve">P - Plumbing Office</t>
  </si>
  <si>
    <t xml:space="preserve">HVAC - HVAC Office</t>
  </si>
  <si>
    <t xml:space="preserve">Safety </t>
  </si>
  <si>
    <t xml:space="preserve">Pending</t>
  </si>
  <si>
    <t xml:space="preserve">CO-01 [COR-01] P -Drainage Channel Revision</t>
  </si>
  <si>
    <t xml:space="preserve">CO-02 [COR-02] P - MSI-1 Changes</t>
  </si>
  <si>
    <t xml:space="preserve">CO-03&amp;5 [COR-06] VRF Heating System</t>
  </si>
  <si>
    <t xml:space="preserve">CO-04 [COR-04] P - MSI-04 SI-008 Ground Floor Drains</t>
  </si>
  <si>
    <t xml:space="preserve">CO-06 [COR-05] (Part 2) V - Elevator Machine Room Cooling</t>
  </si>
  <si>
    <t xml:space="preserve">CO-7 [COR-07] V - Amenity Ceiling Fan coils</t>
  </si>
  <si>
    <t xml:space="preserve">CO-8 [COR-08] P - Planter drain pipe rerouting</t>
  </si>
  <si>
    <t xml:space="preserve">[COR-09] P - Insulation &amp; HT to Attic HB's for Building A &amp; B</t>
  </si>
  <si>
    <t xml:space="preserve">CO-10 [COR-10] P - ASI-017 – Unit C5 Ensuite Tub to Shower</t>
  </si>
  <si>
    <t xml:space="preserve">CO-11 [COR-05] (Part 1) P - Credit for Drinking Fountain</t>
  </si>
  <si>
    <t xml:space="preserve">CO-12 [COR-12] P - RFI-13 Drain discharge to tank</t>
  </si>
  <si>
    <t xml:space="preserve">[COR-17] (P) Replacement of Damaged Shower – 60 x 30 RH (60135 A)</t>
  </si>
  <si>
    <t xml:space="preserve">COR-15 (P) Sediment interceptor for MSI-10 R2</t>
  </si>
  <si>
    <t xml:space="preserve">CO-16 [COR-11] V - MS1-02 R2 Duct &amp; FD-Trap Primer</t>
  </si>
  <si>
    <t xml:space="preserve">Resource</t>
  </si>
  <si>
    <t xml:space="preserve">ST</t>
  </si>
  <si>
    <t xml:space="preserve">Total</t>
  </si>
  <si>
    <t xml:space="preserve">Avg. Hourly Cost</t>
  </si>
  <si>
    <t xml:space="preserve">Employee 01</t>
  </si>
  <si>
    <t xml:space="preserve">24:00</t>
  </si>
  <si>
    <t xml:space="preserve">Employee 02</t>
  </si>
  <si>
    <t xml:space="preserve">43:00</t>
  </si>
  <si>
    <t xml:space="preserve">Employee 03</t>
  </si>
  <si>
    <t xml:space="preserve">837:40</t>
  </si>
  <si>
    <t xml:space="preserve">Employee 04</t>
  </si>
  <si>
    <t xml:space="preserve">1221:50</t>
  </si>
  <si>
    <t xml:space="preserve">Employee 05</t>
  </si>
  <si>
    <t xml:space="preserve">Employee 06</t>
  </si>
  <si>
    <t xml:space="preserve">993:40</t>
  </si>
  <si>
    <t xml:space="preserve">Employee 07</t>
  </si>
  <si>
    <t xml:space="preserve">532:35</t>
  </si>
  <si>
    <t xml:space="preserve">Employee 08</t>
  </si>
  <si>
    <t xml:space="preserve">712:30</t>
  </si>
  <si>
    <t xml:space="preserve">Employee 09</t>
  </si>
  <si>
    <t xml:space="preserve">530:30</t>
  </si>
  <si>
    <t xml:space="preserve">Employee 10</t>
  </si>
  <si>
    <t xml:space="preserve">1586:05</t>
  </si>
  <si>
    <t xml:space="preserve">Employee 11</t>
  </si>
  <si>
    <t xml:space="preserve">817:05</t>
  </si>
  <si>
    <t xml:space="preserve">Employee 12</t>
  </si>
  <si>
    <t xml:space="preserve">Employee 13</t>
  </si>
  <si>
    <t xml:space="preserve">1276:00</t>
  </si>
  <si>
    <t xml:space="preserve">Employee 14</t>
  </si>
  <si>
    <t xml:space="preserve">Employee 15</t>
  </si>
  <si>
    <t xml:space="preserve">774:30</t>
  </si>
  <si>
    <t xml:space="preserve">Employee 16</t>
  </si>
  <si>
    <t xml:space="preserve">Employee 17</t>
  </si>
  <si>
    <t xml:space="preserve">68:45</t>
  </si>
  <si>
    <t xml:space="preserve">Employee 18</t>
  </si>
  <si>
    <t xml:space="preserve">127:30</t>
  </si>
  <si>
    <t xml:space="preserve">Employee 19</t>
  </si>
  <si>
    <t xml:space="preserve">130:40</t>
  </si>
  <si>
    <t xml:space="preserve">Employee 20</t>
  </si>
  <si>
    <t xml:space="preserve">Employee 21</t>
  </si>
  <si>
    <t xml:space="preserve">1321:05</t>
  </si>
  <si>
    <t xml:space="preserve">Employee 22</t>
  </si>
  <si>
    <t xml:space="preserve">712:20</t>
  </si>
  <si>
    <t xml:space="preserve">Employee 23</t>
  </si>
  <si>
    <t xml:space="preserve">295:40</t>
  </si>
  <si>
    <t xml:space="preserve">Employee 24</t>
  </si>
  <si>
    <t xml:space="preserve">296:00</t>
  </si>
  <si>
    <t xml:space="preserve">Employee 25</t>
  </si>
  <si>
    <t xml:space="preserve">670:55</t>
  </si>
  <si>
    <t xml:space="preserve">Employee 26</t>
  </si>
  <si>
    <t xml:space="preserve">524:00</t>
  </si>
  <si>
    <t xml:space="preserve">Employee 27</t>
  </si>
  <si>
    <t xml:space="preserve">1594:25</t>
  </si>
  <si>
    <t xml:space="preserve">Employee 28</t>
  </si>
  <si>
    <t xml:space="preserve">313:30</t>
  </si>
  <si>
    <t xml:space="preserve">Employee 29</t>
  </si>
  <si>
    <t xml:space="preserve">328:30</t>
  </si>
  <si>
    <t xml:space="preserve">Employee 30</t>
  </si>
  <si>
    <t xml:space="preserve">523:25</t>
  </si>
  <si>
    <t xml:space="preserve">Employee 31</t>
  </si>
  <si>
    <t xml:space="preserve">233:15</t>
  </si>
  <si>
    <t xml:space="preserve">Employee 32</t>
  </si>
  <si>
    <t xml:space="preserve">683:45</t>
  </si>
  <si>
    <t xml:space="preserve">Employee 33</t>
  </si>
  <si>
    <t xml:space="preserve">810:00</t>
  </si>
  <si>
    <t xml:space="preserve">Employee 34</t>
  </si>
  <si>
    <t xml:space="preserve">419:30</t>
  </si>
  <si>
    <t xml:space="preserve">Employee 35</t>
  </si>
  <si>
    <t xml:space="preserve">Employee 36</t>
  </si>
  <si>
    <t xml:space="preserve">1233:50</t>
  </si>
  <si>
    <t xml:space="preserve">Employee 37</t>
  </si>
  <si>
    <t xml:space="preserve">742:00</t>
  </si>
  <si>
    <t xml:space="preserve">Employee 38</t>
  </si>
  <si>
    <t xml:space="preserve">179:30</t>
  </si>
  <si>
    <t xml:space="preserve">Employee 39</t>
  </si>
  <si>
    <t xml:space="preserve">238:10</t>
  </si>
  <si>
    <t xml:space="preserve">Employee 40</t>
  </si>
  <si>
    <t xml:space="preserve">900:10</t>
  </si>
  <si>
    <t xml:space="preserve">Employee 41</t>
  </si>
  <si>
    <t xml:space="preserve">Employee 42</t>
  </si>
  <si>
    <t xml:space="preserve">Employee 43</t>
  </si>
  <si>
    <t xml:space="preserve">46:40</t>
  </si>
  <si>
    <t xml:space="preserve">Employee 44</t>
  </si>
  <si>
    <t xml:space="preserve">885:20</t>
  </si>
  <si>
    <t xml:space="preserve">Employee 45</t>
  </si>
  <si>
    <t xml:space="preserve">Employee 46</t>
  </si>
  <si>
    <t xml:space="preserve">120:45</t>
  </si>
  <si>
    <t xml:space="preserve">Employee 47</t>
  </si>
  <si>
    <t xml:space="preserve">133:55</t>
  </si>
  <si>
    <t xml:space="preserve">Employee 48</t>
  </si>
  <si>
    <t xml:space="preserve">Employee 49</t>
  </si>
  <si>
    <t xml:space="preserve">252:00</t>
  </si>
  <si>
    <t xml:space="preserve">Employee 50</t>
  </si>
  <si>
    <t xml:space="preserve">932:20</t>
  </si>
  <si>
    <t xml:space="preserve">Employee 51</t>
  </si>
  <si>
    <t xml:space="preserve">707:05</t>
  </si>
  <si>
    <t xml:space="preserve">Employee 52</t>
  </si>
  <si>
    <t xml:space="preserve">142:20</t>
  </si>
  <si>
    <t xml:space="preserve">Employee 53</t>
  </si>
  <si>
    <t xml:space="preserve">828:50</t>
  </si>
  <si>
    <t xml:space="preserve">Employee 54</t>
  </si>
  <si>
    <t xml:space="preserve">598:35</t>
  </si>
  <si>
    <t xml:space="preserve">Employee 55</t>
  </si>
  <si>
    <t xml:space="preserve">82:30</t>
  </si>
  <si>
    <t xml:space="preserve">Employee 56</t>
  </si>
  <si>
    <t xml:space="preserve">32:30</t>
  </si>
  <si>
    <t xml:space="preserve">Employee 57</t>
  </si>
  <si>
    <t xml:space="preserve">Employee 58</t>
  </si>
  <si>
    <t xml:space="preserve">170:45</t>
  </si>
  <si>
    <t xml:space="preserve">Employee 59</t>
  </si>
  <si>
    <t xml:space="preserve">224:35</t>
  </si>
  <si>
    <t xml:space="preserve">Employee 60</t>
  </si>
  <si>
    <t xml:space="preserve">746:45</t>
  </si>
  <si>
    <t xml:space="preserve">Employee 61</t>
  </si>
  <si>
    <t xml:space="preserve">518:10</t>
  </si>
  <si>
    <t xml:space="preserve">Employee 62</t>
  </si>
  <si>
    <t xml:space="preserve">237:00</t>
  </si>
  <si>
    <t xml:space="preserve">Employee 63</t>
  </si>
  <si>
    <t xml:space="preserve">283:30</t>
  </si>
  <si>
    <t xml:space="preserve">Employee 64</t>
  </si>
  <si>
    <t xml:space="preserve">643:40</t>
  </si>
  <si>
    <t xml:space="preserve">Employee 65</t>
  </si>
  <si>
    <t xml:space="preserve">272:30</t>
  </si>
  <si>
    <t xml:space="preserve">Employee 66</t>
  </si>
  <si>
    <t xml:space="preserve">Employee 67</t>
  </si>
  <si>
    <t xml:space="preserve">912:20</t>
  </si>
  <si>
    <t xml:space="preserve">Employee 68</t>
  </si>
  <si>
    <t xml:space="preserve">571:00</t>
  </si>
  <si>
    <t xml:space="preserve">Employee 69</t>
  </si>
  <si>
    <t xml:space="preserve">654:45</t>
  </si>
  <si>
    <t xml:space="preserve">Employee 70</t>
  </si>
  <si>
    <t xml:space="preserve">153:30</t>
  </si>
  <si>
    <t xml:space="preserve">Employee 71</t>
  </si>
  <si>
    <t xml:space="preserve">619:10</t>
  </si>
  <si>
    <t xml:space="preserve">AUDIT NOTES: formula review of 'Template-Empty - WORK IN PROGRESS.xlsm'</t>
  </si>
  <si>
    <t xml:space="preserve">Values quoted are what the original file currently calculates (20,800 plumbing hours entered, no HVAC).</t>
  </si>
  <si>
    <t xml:space="preserve">Severity</t>
  </si>
  <si>
    <t xml:space="preserve">Where (original)</t>
  </si>
  <si>
    <t xml:space="preserve">What happens now</t>
  </si>
  <si>
    <t xml:space="preserve">Why it matters / $ impact</t>
  </si>
  <si>
    <t xml:space="preserve">How the new workbook handles it</t>
  </si>
  <si>
    <t xml:space="preserve">HIGH</t>
  </si>
  <si>
    <t xml:space="preserve">PRJ SUMMARY D12 via P&amp;H SUMMARY L2 (rate = PRJ INFO D42)</t>
  </si>
  <si>
    <t xml:space="preserve">Bid labour = hours x $70.20, a simple average of the 5 rates (D42 = SUM(D36:D40)/5). Crew mix % is ignored.</t>
  </si>
  <si>
    <t xml:space="preserve">Crew-mix weighted rate is $64.75. On 20,800 hrs the bid carries $1,460,160 vs $1,346,696 from the crew mix (+$113,464).</t>
  </si>
  <si>
    <t xml:space="preserve">Labour $ = hours x SUMPRODUCT(rate, mix) on LABOUR RATES. One rate, used everywhere.</t>
  </si>
  <si>
    <t xml:space="preserve">PRJ INFO H35 / H44 ($22/hr overhead)</t>
  </si>
  <si>
    <t xml:space="preserve">Overhead per hour is entered but never added to cost. The only formulas that touch H35 are PRJ SUMMARY C57:C58, by mistake.</t>
  </si>
  <si>
    <t xml:space="preserve">20,800 hrs x $22 = $457,600 of overhead not in the cost. Net of item 1, labour + OH is under-costed by $344,136 before markup.</t>
  </si>
  <si>
    <t xml:space="preserve">Overhead $ is its own column on every estimate line and its own column on BID SUMMARY.</t>
  </si>
  <si>
    <t xml:space="preserve">P&amp;H SUMMARY L11:L68 (rate = PRJ INFO H36)</t>
  </si>
  <si>
    <t xml:space="preserve">Every plumbing line item prices labour at $53/hr (Apprentice Lvl 1-2 only), while the summary row uses $70.20.</t>
  </si>
  <si>
    <t xml:space="preserve">Line items total $1,102,400; the bid total uses $1,460,160. BUDGET PLAN and the KNOWIFY export pull the $53 lines, so the field budget is $357,760 lower than what was bid. S.O.V column Y 'ADJST' plugs the gap ($411,440).</t>
  </si>
  <si>
    <t xml:space="preserve">Line labour and summary labour use the same rate, so BUDGET, BID SUMMARY and SOV tie with no plug.</t>
  </si>
  <si>
    <t xml:space="preserve">HVAC SUMMARY H29 and H54 (= PRJ INFO H53)</t>
  </si>
  <si>
    <t xml:space="preserve">PRJ INFO H53 is an empty cell, so every HVAC line item shows $0 labour.</t>
  </si>
  <si>
    <t xml:space="preserve">Any HVAC budget built from line items would have zero labour dollars.</t>
  </si>
  <si>
    <t xml:space="preserve">HVAC EST uses the HVAC crew rate from LABOUR RATES, same formula as PLUMBING EST.</t>
  </si>
  <si>
    <t xml:space="preserve">PRJ INFO J46:J49</t>
  </si>
  <si>
    <t xml:space="preserve">HVAC 'Cost by wage breakdown' multiplies I45 (Apprentice 1-2 hours) by each rate instead of its own row's hours.</t>
  </si>
  <si>
    <t xml:space="preserve">HVAC wage breakdown is wrong as soon as HVAC hours exist.</t>
  </si>
  <si>
    <t xml:space="preserve">Each row: Hours x Rate on its own row, plus a tie-out check.</t>
  </si>
  <si>
    <t xml:space="preserve">MED</t>
  </si>
  <si>
    <t xml:space="preserve">PRJ INFO H45:H49</t>
  </si>
  <si>
    <t xml:space="preserve">HVAC rate column links to the plumbing rates D36:D40 (and is labelled 'P&amp;H'), not the HVAC table D45:D49.</t>
  </si>
  <si>
    <t xml:space="preserve">Changing an HVAC rate in D45:D49 has no effect on HVAC labels; easy to misread.</t>
  </si>
  <si>
    <t xml:space="preserve">Separate HVAC crew table with its own rates and mix.</t>
  </si>
  <si>
    <t xml:space="preserve">PRJ INFO I37</t>
  </si>
  <si>
    <t xml:space="preserve">Apprentice 3-6 hours use PRJ SUMMARY C11 (material-row hours only); the other four rows use C10 (all plumbing hours).</t>
  </si>
  <si>
    <t xml:space="preserve">Once equipment or fixture hours exist, the crew mix no longer totals 100% of hours.</t>
  </si>
  <si>
    <t xml:space="preserve">All rows use the same total-hours cell.</t>
  </si>
  <si>
    <t xml:space="preserve">PRJ SUMMARY C57, C58</t>
  </si>
  <si>
    <t xml:space="preserve">Supervision months for Ventilation and A/C point to PRJ INFO H35 (the $22 overhead) instead of H43 (HVAC duration).</t>
  </si>
  <si>
    <t xml:space="preserve">Supervision would be charged for 22 months instead of 24.</t>
  </si>
  <si>
    <t xml:space="preserve">Supervision qty links to INPUTS HVAC duration.</t>
  </si>
  <si>
    <t xml:space="preserve">PRJ SUMMARY row 59 (Supervision - Office)</t>
  </si>
  <si>
    <t xml:space="preserve">$7,500/month x 24 months = $180,000 (+15% = $207,000) is allocated 100% to Plumbing, using the HVAC duration.</t>
  </si>
  <si>
    <t xml:space="preserve">Plumbing looks $207,000 more expensive than it is; HVAC looks cheaper. Confirmed this is a real job cost (dedicated PM), separate from the $22/hr overhead.</t>
  </si>
  <si>
    <t xml:space="preserve">Kept as 'Office Project Manager'. Auto-splits by direct cost across divisions (or set your own %).</t>
  </si>
  <si>
    <t xml:space="preserve">PRJ SUMMARY M55:T79 ("50-50 Div's" split)</t>
  </si>
  <si>
    <t xml:space="preserve">GC split formulas divide by C4+C5 with no IFERROR. With no HVAC entered they return a divide-by-zero (DIV/0) error.</t>
  </si>
  <si>
    <t xml:space="preserve">PRJ SUMMARY F6, G6, J6, W6 and J7 all show DIV/0 errors, so the grand total breaks on any plumbing-only job.</t>
  </si>
  <si>
    <t xml:space="preserve">Allocation uses % inputs or an IFERROR-guarded direct-cost share. No divide-by-zero.</t>
  </si>
  <si>
    <t xml:space="preserve">S.O.V B1, AC1, M2:M6, rows 4-5; KNOWIFY F1</t>
  </si>
  <si>
    <t xml:space="preserve">Broken references (REF errors from deleted cells) in the S.O.V; the Knowify 'ALL GOOD' indicator therefore shows a REF error.</t>
  </si>
  <si>
    <t xml:space="preserve">The SOV check light can never go green, so it cannot be trusted.</t>
  </si>
  <si>
    <t xml:space="preserve">New SCHEDULE OF VALUES built from BUDGET with Knowify line names and a contract tie-out check.</t>
  </si>
  <si>
    <t xml:space="preserve">PRJ SUMMARY V2 / W2</t>
  </si>
  <si>
    <t xml:space="preserve">Contract = ROUNDUP(total, -2) + V2, where V2 is a hardcoded $1,200 'ROLL-UP'.</t>
  </si>
  <si>
    <t xml:space="preserve">An unexplained $1,200 is added to the plumbing contract.</t>
  </si>
  <si>
    <t xml:space="preserve">Removed. Rounding is a visible input on INPUTS.</t>
  </si>
  <si>
    <t xml:space="preserve">PRJ SUMMARY E11:E26 (15%)</t>
  </si>
  <si>
    <t xml:space="preserve">Markup on cost is applied, not margin. 15% markup = 13.0% margin.</t>
  </si>
  <si>
    <t xml:space="preserve">If the company target is 15% margin, every bid is about 2 points short.</t>
  </si>
  <si>
    <t xml:space="preserve">Margin entered per division; equivalent markup shown beside it.</t>
  </si>
  <si>
    <t xml:space="preserve">LOW</t>
  </si>
  <si>
    <t xml:space="preserve">P&amp;H SUMMARY M45; HVAC SUMMARY J29, J54</t>
  </si>
  <si>
    <t xml:space="preserve">Total-hours boxes leave out Finishing Misc hours (J37, J21, J46).</t>
  </si>
  <si>
    <t xml:space="preserve">The cost box on those tabs under-reports if finishing misc hours are used.</t>
  </si>
  <si>
    <t xml:space="preserve">Single hours column summed across every row.</t>
  </si>
  <si>
    <t xml:space="preserve">P&amp;H SUMMARY row 26 and HVAC SUMMARY rows 13 / 37</t>
  </si>
  <si>
    <t xml:space="preserve">Condensate drains appear in both Plumbing and HVAC.</t>
  </si>
  <si>
    <t xml:space="preserve">Risk of pricing the same scope twice.</t>
  </si>
  <si>
    <t xml:space="preserve">Kept on both tabs, labelled 'if by Plumbing' / 'if by HVAC'. Use only one.</t>
  </si>
  <si>
    <t xml:space="preserve">OK</t>
  </si>
  <si>
    <t xml:space="preserve">PRJ INFO E40 (Foreman &amp; PM 14%) and PRJ SUMMARY rows 55-58</t>
  </si>
  <si>
    <t xml:space="preserve">Foreman &amp; PM time is in the crew mix and supervision is also a GC line.</t>
  </si>
  <si>
    <t xml:space="preserve">Reviewed with estimator: these are separate costs, not a double count.</t>
  </si>
  <si>
    <t xml:space="preserve">Both kept: crew mix on LABOUR RATES, supervision on SUBS &amp; GC.</t>
  </si>
  <si>
    <t xml:space="preserve">BUDGET PLAN J1</t>
  </si>
  <si>
    <t xml:space="preserve">Supervision/PM wage hardcoded at $50/hr, a fourth labour rate in the file.</t>
  </si>
  <si>
    <t xml:space="preserve">Budget supervision hours do not match the bid.</t>
  </si>
  <si>
    <t xml:space="preserve">One rate source: LABOUR RATES.</t>
  </si>
  <si>
    <t xml:space="preserve">PRJ SUMMARY X1 / Z1</t>
  </si>
  <si>
    <t xml:space="preserve">'PRJ DAYS' = hours / 8 is really man-days; 'MAN DAYS' = man-days / crew is really duration in days.</t>
  </si>
  <si>
    <t xml:space="preserve">Labels swapped; easy to misread schedule.</t>
  </si>
  <si>
    <t xml:space="preserve">Not carried over. Hours per unit shown on BID SUMMARY.</t>
  </si>
  <si>
    <t xml:space="preserve">OPEN QUESTIONS FOR YOU</t>
  </si>
  <si>
    <t xml:space="preserve">Target margin per division (placeholder is 15%). Do subs carry a lower margin than self-perform work?</t>
  </si>
  <si>
    <t xml:space="preserve">Knowify's average cost per hour on 405 Marie Place was about $50.50, vs a $64.75 crew-mix rate in the template (Apprentice Lvl 1 about $40 vs $53). Does Knowify's labour cost include full burden (CPP, EI, WCB, vacation, benefits)? If not, Knowify is overstating job profit; if it does, the template rates are high.</t>
  </si>
  <si>
    <t xml:space="preserve">Materials at 26% of COGS: on 405 Marie Place, material excluding fixtures &amp; equipment supply was 25.9% of cost, and all material about 46%. The workbook assumes your 26% means pipe, fittings and valves only. Is that right?</t>
  </si>
  <si>
    <t xml:space="preserve">Labour, subtrade and general conditions % of COGS to complete INPUTS (only material is filled).</t>
  </si>
  <si>
    <t xml:space="preserve">Takeoff import (next version): which software exports the takeoff (Bluebeam markups summary?) and can you send one sample?</t>
  </si>
  <si>
    <t xml:space="preserve">ANSWERED (decisions built into this workbook)</t>
  </si>
  <si>
    <t xml:space="preserve">$22/hr overhead covers all salaried staff company wide. A dedicated office project manager per job is a separate monthly cost, so the Office Project Manager GC line stays.</t>
  </si>
  <si>
    <t xml:space="preserve">Field supervision GC lines are not double counted with the Foreman &amp; PM share of the crew mix. Both stay.</t>
  </si>
  <si>
    <t xml:space="preserve">Labour rates on LABOUR RATES are fully burdened (CPP, EI, WCB, vacation, benefits). No extra burden % is added.</t>
  </si>
  <si>
    <t xml:space="preserve">Typical material cost is 26% of total COGS (entered on INPUTS).</t>
  </si>
  <si>
    <t xml:space="preserve">Knowify export format confirmed (Job Summary report). SOV and BUDGET now use the same phase structure and line naming.</t>
  </si>
  <si>
    <t xml:space="preserve">SOV keeps the split by floor, now in Knowify naming: labour by level, material supply as its own line.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</si>
</sst>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#,##0;\(#,##0\);\-"/>
    <numFmt numFmtId="167" formatCode="0.0%;\(0.0%\);\-"/>
    <numFmt numFmtId="168" formatCode="\$#,##0;&quot;($&quot;#,##0\);\-"/>
    <numFmt numFmtId="169" formatCode="\$#,##0.00;&quot;($&quot;#,##0.00\);\-"/>
    <numFmt numFmtId="170" formatCode="#,##0.0;\(#,##0.0\);\-"/>
    <numFmt numFmtId="171" formatCode="0.00;\(0.00\);\-"/>
    <numFmt numFmtId="172" formatCode="0.00\x;\(0.00&quot;x)&quot;;\-"/>
    <numFmt numFmtId="173" formatCode="0%;;&quot;&quot;"/>
    <numFmt numFmtId="174" formatCode="0.0000"/>
    <numFmt numFmtId="175" formatCode="[h]:m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name val="Arial"/>
        <charset val="1"/>
        <family val="0"/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A9D08E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C65911"/>
      <rgbColor rgb="FF595959"/>
      <rgbColor rgb="FF70AD47"/>
      <rgbColor rgb="FF1F3864"/>
      <rgbColor rgb="FF339966"/>
      <rgbColor rgb="FF0061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6</v>
      </c>
    </row>
    <row r="7" customFormat="false" ht="23.85" hidden="false" customHeight="false" outlineLevel="0" collapsed="false">
      <c r="B7" s="4" t="s">
        <v>7</v>
      </c>
      <c r="C7" s="5" t="s">
        <v>8</v>
      </c>
    </row>
    <row r="8" customFormat="false" ht="15" hidden="false" customHeight="false" outlineLevel="0" collapsed="false">
      <c r="B8" s="4" t="s">
        <v>9</v>
      </c>
      <c r="C8" s="5" t="s">
        <v>10</v>
      </c>
    </row>
    <row r="9" customFormat="false" ht="15" hidden="false" customHeight="false" outlineLevel="0" collapsed="false">
      <c r="B9" s="4" t="s">
        <v>11</v>
      </c>
      <c r="C9" s="5" t="s">
        <v>12</v>
      </c>
    </row>
    <row r="10" customFormat="false" ht="15" hidden="false" customHeight="false" outlineLevel="0" collapsed="false">
      <c r="B10" s="4" t="s">
        <v>13</v>
      </c>
      <c r="C10" s="5" t="s">
        <v>14</v>
      </c>
    </row>
    <row r="11" customFormat="false" ht="23.85" hidden="false" customHeight="false" outlineLevel="0" collapsed="false">
      <c r="B11" s="4" t="s">
        <v>15</v>
      </c>
      <c r="C11" s="5" t="s">
        <v>16</v>
      </c>
    </row>
    <row r="12" customFormat="false" ht="15" hidden="false" customHeight="false" outlineLevel="0" collapsed="false">
      <c r="B12" s="4" t="s">
        <v>17</v>
      </c>
      <c r="C12" s="5" t="s">
        <v>18</v>
      </c>
    </row>
    <row r="13" customFormat="false" ht="23.85" hidden="false" customHeight="false" outlineLevel="0" collapsed="false">
      <c r="B13" s="4" t="s">
        <v>19</v>
      </c>
      <c r="C13" s="5" t="s">
        <v>20</v>
      </c>
    </row>
    <row r="14" customFormat="false" ht="15" hidden="false" customHeight="false" outlineLevel="0" collapsed="false">
      <c r="B14" s="4" t="s">
        <v>21</v>
      </c>
      <c r="C14" s="5" t="s">
        <v>22</v>
      </c>
    </row>
    <row r="16" customFormat="false" ht="15" hidden="false" customHeight="false" outlineLevel="0" collapsed="false">
      <c r="B16" s="3" t="s">
        <v>23</v>
      </c>
    </row>
    <row r="17" customFormat="false" ht="15" hidden="false" customHeight="false" outlineLevel="0" collapsed="false">
      <c r="B17" s="6" t="s">
        <v>24</v>
      </c>
      <c r="C17" s="7" t="s">
        <v>25</v>
      </c>
    </row>
    <row r="18" customFormat="false" ht="15" hidden="false" customHeight="false" outlineLevel="0" collapsed="false">
      <c r="B18" s="8" t="s">
        <v>26</v>
      </c>
      <c r="C18" s="7" t="s">
        <v>27</v>
      </c>
    </row>
    <row r="19" customFormat="false" ht="15" hidden="false" customHeight="false" outlineLevel="0" collapsed="false">
      <c r="B19" s="7" t="s">
        <v>28</v>
      </c>
      <c r="C19" s="7" t="s">
        <v>29</v>
      </c>
    </row>
    <row r="20" customFormat="false" ht="15" hidden="false" customHeight="false" outlineLevel="0" collapsed="false">
      <c r="B20" s="9" t="s">
        <v>30</v>
      </c>
      <c r="C20" s="7" t="s">
        <v>31</v>
      </c>
    </row>
    <row r="22" customFormat="false" ht="15" hidden="false" customHeight="false" outlineLevel="0" collapsed="false">
      <c r="B22" s="3" t="s">
        <v>32</v>
      </c>
    </row>
    <row r="23" customFormat="false" ht="15" hidden="false" customHeight="false" outlineLevel="0" collapsed="false">
      <c r="C23" s="7" t="s">
        <v>33</v>
      </c>
    </row>
    <row r="24" customFormat="false" ht="15" hidden="false" customHeight="false" outlineLevel="0" collapsed="false">
      <c r="C24" s="7" t="s">
        <v>34</v>
      </c>
    </row>
    <row r="25" customFormat="false" ht="15" hidden="false" customHeight="false" outlineLevel="0" collapsed="false">
      <c r="C25" s="7" t="s">
        <v>35</v>
      </c>
    </row>
    <row r="27" customFormat="false" ht="15" hidden="false" customHeight="false" outlineLevel="0" collapsed="false">
      <c r="B27" s="3" t="s">
        <v>36</v>
      </c>
    </row>
    <row r="28" customFormat="false" ht="15" hidden="false" customHeight="false" outlineLevel="0" collapsed="false">
      <c r="C28" s="7" t="s">
        <v>37</v>
      </c>
    </row>
    <row r="29" customFormat="false" ht="15" hidden="false" customHeight="false" outlineLevel="0" collapsed="false">
      <c r="C29" s="7" t="s">
        <v>38</v>
      </c>
    </row>
    <row r="30" customFormat="false" ht="15" hidden="false" customHeight="false" outlineLevel="0" collapsed="false">
      <c r="C30" s="7" t="s">
        <v>39</v>
      </c>
    </row>
    <row r="32" customFormat="false" ht="15" hidden="false" customHeight="false" outlineLevel="0" collapsed="false">
      <c r="B32" s="3" t="s">
        <v>40</v>
      </c>
    </row>
    <row r="33" customFormat="false" ht="15" hidden="false" customHeight="false" outlineLevel="0" collapsed="false">
      <c r="C33" s="7" t="s">
        <v>41</v>
      </c>
    </row>
    <row r="34" customFormat="false" ht="15" hidden="false" customHeight="false" outlineLevel="0" collapsed="false">
      <c r="C34" s="7" t="s">
        <v>42</v>
      </c>
    </row>
    <row r="35" customFormat="false" ht="15" hidden="false" customHeight="false" outlineLevel="0" collapsed="false">
      <c r="C35" s="7" t="s">
        <v>43</v>
      </c>
    </row>
    <row r="36" customFormat="false" ht="15" hidden="false" customHeight="false" outlineLevel="0" collapsed="false">
      <c r="C36" s="7" t="s">
        <v>44</v>
      </c>
    </row>
    <row r="37" customFormat="false" ht="15" hidden="false" customHeight="false" outlineLevel="0" collapsed="false">
      <c r="C37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G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B3" s="3" t="s">
        <v>48</v>
      </c>
    </row>
    <row r="4" customFormat="false" ht="15" hidden="false" customHeight="false" outlineLevel="0" collapsed="false">
      <c r="B4" s="7" t="s">
        <v>49</v>
      </c>
      <c r="C4" s="10"/>
    </row>
    <row r="5" customFormat="false" ht="15" hidden="false" customHeight="false" outlineLevel="0" collapsed="false">
      <c r="B5" s="7" t="s">
        <v>50</v>
      </c>
      <c r="C5" s="10"/>
    </row>
    <row r="6" customFormat="false" ht="15" hidden="false" customHeight="false" outlineLevel="0" collapsed="false">
      <c r="B6" s="7" t="s">
        <v>51</v>
      </c>
      <c r="C6" s="10" t="s">
        <v>52</v>
      </c>
    </row>
    <row r="7" customFormat="false" ht="15" hidden="false" customHeight="false" outlineLevel="0" collapsed="false">
      <c r="B7" s="7" t="s">
        <v>53</v>
      </c>
      <c r="C7" s="10"/>
    </row>
    <row r="8" customFormat="false" ht="15" hidden="false" customHeight="false" outlineLevel="0" collapsed="false">
      <c r="B8" s="7" t="s">
        <v>54</v>
      </c>
      <c r="C8" s="10"/>
    </row>
    <row r="9" customFormat="false" ht="15" hidden="false" customHeight="false" outlineLevel="0" collapsed="false">
      <c r="B9" s="7" t="s">
        <v>55</v>
      </c>
      <c r="C9" s="10"/>
    </row>
    <row r="10" customFormat="false" ht="15" hidden="false" customHeight="false" outlineLevel="0" collapsed="false">
      <c r="B10" s="7" t="s">
        <v>56</v>
      </c>
      <c r="C10" s="10"/>
    </row>
    <row r="11" customFormat="false" ht="15" hidden="false" customHeight="false" outlineLevel="0" collapsed="false">
      <c r="B11" s="7" t="s">
        <v>57</v>
      </c>
      <c r="C11" s="10" t="s">
        <v>58</v>
      </c>
    </row>
    <row r="12" customFormat="false" ht="15" hidden="false" customHeight="false" outlineLevel="0" collapsed="false">
      <c r="B12" s="7" t="s">
        <v>59</v>
      </c>
      <c r="C12" s="10" t="s">
        <v>60</v>
      </c>
    </row>
    <row r="13" customFormat="false" ht="15" hidden="false" customHeight="false" outlineLevel="0" collapsed="false">
      <c r="B13" s="7" t="s">
        <v>61</v>
      </c>
      <c r="C13" s="11"/>
    </row>
    <row r="14" customFormat="false" ht="15" hidden="false" customHeight="false" outlineLevel="0" collapsed="false">
      <c r="B14" s="7" t="s">
        <v>62</v>
      </c>
      <c r="C14" s="10"/>
    </row>
    <row r="15" customFormat="false" ht="15" hidden="false" customHeight="false" outlineLevel="0" collapsed="false">
      <c r="B15" s="7" t="s">
        <v>63</v>
      </c>
      <c r="C15" s="10" t="s">
        <v>64</v>
      </c>
    </row>
    <row r="16" customFormat="false" ht="15" hidden="false" customHeight="false" outlineLevel="0" collapsed="false">
      <c r="B16" s="7" t="s">
        <v>65</v>
      </c>
      <c r="C16" s="10" t="s">
        <v>66</v>
      </c>
    </row>
    <row r="17" customFormat="false" ht="15" hidden="false" customHeight="false" outlineLevel="0" collapsed="false">
      <c r="B17" s="7" t="s">
        <v>67</v>
      </c>
      <c r="C17" s="12"/>
    </row>
    <row r="18" customFormat="false" ht="15" hidden="false" customHeight="false" outlineLevel="0" collapsed="false">
      <c r="B18" s="7" t="s">
        <v>68</v>
      </c>
      <c r="C18" s="13" t="n">
        <f aca="false">D64</f>
        <v>123</v>
      </c>
    </row>
    <row r="20" customFormat="false" ht="15" hidden="false" customHeight="false" outlineLevel="0" collapsed="false">
      <c r="B20" s="3" t="s">
        <v>69</v>
      </c>
    </row>
    <row r="21" customFormat="false" ht="15" hidden="false" customHeight="false" outlineLevel="0" collapsed="false">
      <c r="B21" s="7" t="s">
        <v>70</v>
      </c>
      <c r="C21" s="14" t="n">
        <v>24</v>
      </c>
      <c r="G21" s="2" t="s">
        <v>71</v>
      </c>
    </row>
    <row r="22" customFormat="false" ht="15" hidden="false" customHeight="false" outlineLevel="0" collapsed="false">
      <c r="B22" s="7" t="s">
        <v>72</v>
      </c>
      <c r="C22" s="14" t="n">
        <v>24</v>
      </c>
      <c r="G22" s="2" t="s">
        <v>73</v>
      </c>
    </row>
    <row r="23" customFormat="false" ht="15" hidden="false" customHeight="false" outlineLevel="0" collapsed="false">
      <c r="B23" s="7" t="s">
        <v>74</v>
      </c>
      <c r="C23" s="15" t="n">
        <v>0.07</v>
      </c>
      <c r="G23" s="2" t="s">
        <v>75</v>
      </c>
    </row>
    <row r="24" customFormat="false" ht="15" hidden="false" customHeight="false" outlineLevel="0" collapsed="false">
      <c r="B24" s="7" t="s">
        <v>76</v>
      </c>
      <c r="C24" s="15" t="n">
        <v>0.05</v>
      </c>
      <c r="G24" s="2" t="s">
        <v>77</v>
      </c>
    </row>
    <row r="25" customFormat="false" ht="15" hidden="false" customHeight="false" outlineLevel="0" collapsed="false">
      <c r="B25" s="7" t="s">
        <v>78</v>
      </c>
      <c r="C25" s="15" t="n">
        <v>0.02</v>
      </c>
      <c r="G25" s="2" t="s">
        <v>79</v>
      </c>
    </row>
    <row r="26" customFormat="false" ht="15" hidden="false" customHeight="false" outlineLevel="0" collapsed="false">
      <c r="B26" s="7" t="s">
        <v>80</v>
      </c>
      <c r="C26" s="15" t="n">
        <v>0</v>
      </c>
      <c r="G26" s="2" t="s">
        <v>81</v>
      </c>
    </row>
    <row r="27" customFormat="false" ht="15" hidden="false" customHeight="false" outlineLevel="0" collapsed="false">
      <c r="B27" s="7" t="s">
        <v>82</v>
      </c>
      <c r="C27" s="15" t="n">
        <v>0.02</v>
      </c>
      <c r="G27" s="2" t="s">
        <v>83</v>
      </c>
    </row>
    <row r="28" customFormat="false" ht="15" hidden="false" customHeight="false" outlineLevel="0" collapsed="false">
      <c r="B28" s="7" t="s">
        <v>84</v>
      </c>
      <c r="C28" s="16" t="n">
        <v>100</v>
      </c>
      <c r="G28" s="2" t="s">
        <v>85</v>
      </c>
    </row>
    <row r="29" customFormat="false" ht="15" hidden="false" customHeight="false" outlineLevel="0" collapsed="false">
      <c r="B29" s="7" t="s">
        <v>86</v>
      </c>
      <c r="C29" s="15" t="n">
        <v>0.1</v>
      </c>
      <c r="G29" s="2" t="s">
        <v>87</v>
      </c>
    </row>
    <row r="31" customFormat="false" ht="15" hidden="false" customHeight="false" outlineLevel="0" collapsed="false">
      <c r="B31" s="3" t="s">
        <v>88</v>
      </c>
    </row>
    <row r="32" customFormat="false" ht="30" hidden="false" customHeight="true" outlineLevel="0" collapsed="false">
      <c r="B32" s="17" t="s">
        <v>89</v>
      </c>
      <c r="C32" s="17" t="s">
        <v>90</v>
      </c>
      <c r="D32" s="17" t="s">
        <v>91</v>
      </c>
      <c r="E32" s="17" t="s">
        <v>92</v>
      </c>
      <c r="F32" s="17" t="s">
        <v>93</v>
      </c>
    </row>
    <row r="33" customFormat="false" ht="15" hidden="false" customHeight="false" outlineLevel="0" collapsed="false">
      <c r="B33" s="10" t="s">
        <v>94</v>
      </c>
      <c r="C33" s="18" t="s">
        <v>95</v>
      </c>
      <c r="D33" s="15" t="n">
        <v>0.15</v>
      </c>
      <c r="E33" s="19" t="n">
        <f aca="false">IFERROR(D33/(1-D33),0)</f>
        <v>0.176470588235294</v>
      </c>
      <c r="F33" s="18" t="s">
        <v>96</v>
      </c>
      <c r="G33" s="2" t="s">
        <v>97</v>
      </c>
    </row>
    <row r="34" customFormat="false" ht="15" hidden="false" customHeight="false" outlineLevel="0" collapsed="false">
      <c r="B34" s="10" t="s">
        <v>98</v>
      </c>
      <c r="C34" s="18" t="s">
        <v>99</v>
      </c>
      <c r="D34" s="15" t="n">
        <v>0.15</v>
      </c>
      <c r="E34" s="19" t="n">
        <f aca="false">IFERROR(D34/(1-D34),0)</f>
        <v>0.176470588235294</v>
      </c>
      <c r="F34" s="18" t="s">
        <v>96</v>
      </c>
      <c r="G34" s="2" t="s">
        <v>100</v>
      </c>
    </row>
    <row r="35" customFormat="false" ht="15" hidden="false" customHeight="false" outlineLevel="0" collapsed="false">
      <c r="B35" s="10" t="s">
        <v>101</v>
      </c>
      <c r="C35" s="18" t="s">
        <v>102</v>
      </c>
      <c r="D35" s="15" t="n">
        <v>0.15</v>
      </c>
      <c r="E35" s="19" t="n">
        <f aca="false">IFERROR(D35/(1-D35),0)</f>
        <v>0.176470588235294</v>
      </c>
      <c r="F35" s="18" t="s">
        <v>103</v>
      </c>
      <c r="G35" s="2" t="s">
        <v>104</v>
      </c>
    </row>
    <row r="36" customFormat="false" ht="15" hidden="false" customHeight="false" outlineLevel="0" collapsed="false">
      <c r="B36" s="10" t="s">
        <v>105</v>
      </c>
      <c r="C36" s="18" t="s">
        <v>106</v>
      </c>
      <c r="D36" s="15" t="n">
        <v>0.15</v>
      </c>
      <c r="E36" s="19" t="n">
        <f aca="false">IFERROR(D36/(1-D36),0)</f>
        <v>0.176470588235294</v>
      </c>
      <c r="F36" s="18" t="s">
        <v>103</v>
      </c>
    </row>
    <row r="38" customFormat="false" ht="15" hidden="false" customHeight="false" outlineLevel="0" collapsed="false">
      <c r="B38" s="3" t="s">
        <v>107</v>
      </c>
    </row>
    <row r="39" customFormat="false" ht="30" hidden="false" customHeight="true" outlineLevel="0" collapsed="false">
      <c r="B39" s="17" t="s">
        <v>108</v>
      </c>
      <c r="C39" s="17" t="s">
        <v>109</v>
      </c>
      <c r="D39" s="17" t="s">
        <v>110</v>
      </c>
      <c r="E39" s="17" t="s">
        <v>111</v>
      </c>
    </row>
    <row r="40" customFormat="false" ht="15" hidden="false" customHeight="false" outlineLevel="0" collapsed="false">
      <c r="B40" s="10" t="s">
        <v>112</v>
      </c>
      <c r="C40" s="10" t="s">
        <v>113</v>
      </c>
      <c r="D40" s="12"/>
      <c r="E40" s="20" t="n">
        <f aca="false">IFERROR(D40/$D$64,0)</f>
        <v>0</v>
      </c>
      <c r="G40" s="2" t="s">
        <v>114</v>
      </c>
    </row>
    <row r="41" customFormat="false" ht="15" hidden="false" customHeight="false" outlineLevel="0" collapsed="false">
      <c r="B41" s="10" t="s">
        <v>115</v>
      </c>
      <c r="C41" s="10" t="s">
        <v>116</v>
      </c>
      <c r="D41" s="12"/>
      <c r="E41" s="20" t="n">
        <f aca="false">IFERROR(D41/$D$64,0)</f>
        <v>0</v>
      </c>
      <c r="G41" s="2" t="s">
        <v>117</v>
      </c>
    </row>
    <row r="42" customFormat="false" ht="15" hidden="false" customHeight="false" outlineLevel="0" collapsed="false">
      <c r="B42" s="10" t="s">
        <v>118</v>
      </c>
      <c r="C42" s="10" t="s">
        <v>119</v>
      </c>
      <c r="D42" s="12"/>
      <c r="E42" s="20" t="n">
        <f aca="false">IFERROR(D42/$D$64,0)</f>
        <v>0</v>
      </c>
      <c r="G42" s="2" t="s">
        <v>120</v>
      </c>
    </row>
    <row r="43" customFormat="false" ht="15" hidden="false" customHeight="false" outlineLevel="0" collapsed="false">
      <c r="B43" s="10" t="s">
        <v>121</v>
      </c>
      <c r="C43" s="10" t="s">
        <v>122</v>
      </c>
      <c r="D43" s="12" t="n">
        <v>24</v>
      </c>
      <c r="E43" s="20" t="n">
        <f aca="false">IFERROR(D43/$D$64,0)</f>
        <v>0.195121951219512</v>
      </c>
      <c r="G43" s="2" t="s">
        <v>123</v>
      </c>
    </row>
    <row r="44" customFormat="false" ht="15" hidden="false" customHeight="false" outlineLevel="0" collapsed="false">
      <c r="B44" s="10" t="s">
        <v>124</v>
      </c>
      <c r="C44" s="10" t="s">
        <v>125</v>
      </c>
      <c r="D44" s="12" t="n">
        <v>25</v>
      </c>
      <c r="E44" s="20" t="n">
        <f aca="false">IFERROR(D44/$D$64,0)</f>
        <v>0.203252032520325</v>
      </c>
    </row>
    <row r="45" customFormat="false" ht="15" hidden="false" customHeight="false" outlineLevel="0" collapsed="false">
      <c r="B45" s="10" t="s">
        <v>126</v>
      </c>
      <c r="C45" s="10" t="s">
        <v>127</v>
      </c>
      <c r="D45" s="12" t="n">
        <v>25</v>
      </c>
      <c r="E45" s="20" t="n">
        <f aca="false">IFERROR(D45/$D$64,0)</f>
        <v>0.203252032520325</v>
      </c>
    </row>
    <row r="46" customFormat="false" ht="15" hidden="false" customHeight="false" outlineLevel="0" collapsed="false">
      <c r="B46" s="10" t="s">
        <v>128</v>
      </c>
      <c r="C46" s="10" t="s">
        <v>129</v>
      </c>
      <c r="D46" s="12" t="n">
        <v>25</v>
      </c>
      <c r="E46" s="20" t="n">
        <f aca="false">IFERROR(D46/$D$64,0)</f>
        <v>0.203252032520325</v>
      </c>
    </row>
    <row r="47" customFormat="false" ht="15" hidden="false" customHeight="false" outlineLevel="0" collapsed="false">
      <c r="B47" s="10" t="s">
        <v>130</v>
      </c>
      <c r="C47" s="10" t="s">
        <v>131</v>
      </c>
      <c r="D47" s="12" t="n">
        <v>24</v>
      </c>
      <c r="E47" s="20" t="n">
        <f aca="false">IFERROR(D47/$D$64,0)</f>
        <v>0.195121951219512</v>
      </c>
    </row>
    <row r="48" customFormat="false" ht="15" hidden="false" customHeight="false" outlineLevel="0" collapsed="false">
      <c r="B48" s="10" t="s">
        <v>132</v>
      </c>
      <c r="C48" s="10" t="s">
        <v>133</v>
      </c>
      <c r="D48" s="12"/>
      <c r="E48" s="20" t="n">
        <f aca="false">IFERROR(D48/$D$64,0)</f>
        <v>0</v>
      </c>
    </row>
    <row r="49" customFormat="false" ht="15" hidden="false" customHeight="false" outlineLevel="0" collapsed="false">
      <c r="B49" s="10" t="s">
        <v>134</v>
      </c>
      <c r="C49" s="10" t="s">
        <v>135</v>
      </c>
      <c r="D49" s="12"/>
      <c r="E49" s="20" t="n">
        <f aca="false">IFERROR(D49/$D$64,0)</f>
        <v>0</v>
      </c>
    </row>
    <row r="50" customFormat="false" ht="15" hidden="false" customHeight="false" outlineLevel="0" collapsed="false">
      <c r="B50" s="10" t="s">
        <v>136</v>
      </c>
      <c r="C50" s="10" t="s">
        <v>137</v>
      </c>
      <c r="D50" s="12"/>
      <c r="E50" s="20" t="n">
        <f aca="false">IFERROR(D50/$D$64,0)</f>
        <v>0</v>
      </c>
    </row>
    <row r="51" customFormat="false" ht="15" hidden="false" customHeight="false" outlineLevel="0" collapsed="false">
      <c r="B51" s="10" t="s">
        <v>138</v>
      </c>
      <c r="C51" s="10" t="s">
        <v>139</v>
      </c>
      <c r="D51" s="12"/>
      <c r="E51" s="20" t="n">
        <f aca="false">IFERROR(D51/$D$64,0)</f>
        <v>0</v>
      </c>
    </row>
    <row r="52" customFormat="false" ht="15" hidden="false" customHeight="false" outlineLevel="0" collapsed="false">
      <c r="B52" s="10" t="s">
        <v>140</v>
      </c>
      <c r="C52" s="10" t="s">
        <v>141</v>
      </c>
      <c r="D52" s="12"/>
      <c r="E52" s="20" t="n">
        <f aca="false">IFERROR(D52/$D$64,0)</f>
        <v>0</v>
      </c>
    </row>
    <row r="53" customFormat="false" ht="15" hidden="false" customHeight="false" outlineLevel="0" collapsed="false">
      <c r="B53" s="10" t="s">
        <v>142</v>
      </c>
      <c r="C53" s="10" t="s">
        <v>143</v>
      </c>
      <c r="D53" s="12"/>
      <c r="E53" s="20" t="n">
        <f aca="false">IFERROR(D53/$D$64,0)</f>
        <v>0</v>
      </c>
    </row>
    <row r="54" customFormat="false" ht="15" hidden="false" customHeight="false" outlineLevel="0" collapsed="false">
      <c r="B54" s="10"/>
      <c r="C54" s="10"/>
      <c r="D54" s="12"/>
      <c r="E54" s="20" t="n">
        <f aca="false">IFERROR(D54/$D$64,0)</f>
        <v>0</v>
      </c>
    </row>
    <row r="55" customFormat="false" ht="15" hidden="false" customHeight="false" outlineLevel="0" collapsed="false">
      <c r="B55" s="10"/>
      <c r="C55" s="10"/>
      <c r="D55" s="12"/>
      <c r="E55" s="20" t="n">
        <f aca="false">IFERROR(D55/$D$64,0)</f>
        <v>0</v>
      </c>
    </row>
    <row r="56" customFormat="false" ht="15" hidden="false" customHeight="false" outlineLevel="0" collapsed="false">
      <c r="B56" s="10"/>
      <c r="C56" s="10"/>
      <c r="D56" s="12"/>
      <c r="E56" s="20" t="n">
        <f aca="false">IFERROR(D56/$D$64,0)</f>
        <v>0</v>
      </c>
    </row>
    <row r="57" customFormat="false" ht="15" hidden="false" customHeight="false" outlineLevel="0" collapsed="false">
      <c r="B57" s="10"/>
      <c r="C57" s="10"/>
      <c r="D57" s="12"/>
      <c r="E57" s="20" t="n">
        <f aca="false">IFERROR(D57/$D$64,0)</f>
        <v>0</v>
      </c>
    </row>
    <row r="58" customFormat="false" ht="15" hidden="false" customHeight="false" outlineLevel="0" collapsed="false">
      <c r="B58" s="10"/>
      <c r="C58" s="10"/>
      <c r="D58" s="12"/>
      <c r="E58" s="20" t="n">
        <f aca="false">IFERROR(D58/$D$64,0)</f>
        <v>0</v>
      </c>
    </row>
    <row r="59" customFormat="false" ht="15" hidden="false" customHeight="false" outlineLevel="0" collapsed="false">
      <c r="B59" s="10"/>
      <c r="C59" s="10"/>
      <c r="D59" s="12"/>
      <c r="E59" s="20" t="n">
        <f aca="false">IFERROR(D59/$D$64,0)</f>
        <v>0</v>
      </c>
    </row>
    <row r="60" customFormat="false" ht="15" hidden="false" customHeight="false" outlineLevel="0" collapsed="false">
      <c r="B60" s="10"/>
      <c r="C60" s="10"/>
      <c r="D60" s="12"/>
      <c r="E60" s="20" t="n">
        <f aca="false">IFERROR(D60/$D$64,0)</f>
        <v>0</v>
      </c>
    </row>
    <row r="61" customFormat="false" ht="15" hidden="false" customHeight="false" outlineLevel="0" collapsed="false">
      <c r="B61" s="10"/>
      <c r="C61" s="10"/>
      <c r="D61" s="12"/>
      <c r="E61" s="20" t="n">
        <f aca="false">IFERROR(D61/$D$64,0)</f>
        <v>0</v>
      </c>
    </row>
    <row r="62" customFormat="false" ht="15" hidden="false" customHeight="false" outlineLevel="0" collapsed="false">
      <c r="B62" s="10"/>
      <c r="C62" s="10"/>
      <c r="D62" s="12"/>
      <c r="E62" s="20" t="n">
        <f aca="false">IFERROR(D62/$D$64,0)</f>
        <v>0</v>
      </c>
    </row>
    <row r="63" customFormat="false" ht="15" hidden="false" customHeight="false" outlineLevel="0" collapsed="false">
      <c r="B63" s="10"/>
      <c r="C63" s="10"/>
      <c r="D63" s="12"/>
      <c r="E63" s="20" t="n">
        <f aca="false">IFERROR(D63/$D$64,0)</f>
        <v>0</v>
      </c>
    </row>
    <row r="64" customFormat="false" ht="15" hidden="false" customHeight="false" outlineLevel="0" collapsed="false">
      <c r="B64" s="4" t="s">
        <v>144</v>
      </c>
      <c r="D64" s="21" t="n">
        <f aca="false">SUM(D40:D63)</f>
        <v>123</v>
      </c>
      <c r="E64" s="22" t="n">
        <f aca="false">SUM(E40:E63)</f>
        <v>1</v>
      </c>
      <c r="F64" s="23" t="str">
        <f aca="false">IF(ABS(E64-1)&lt;0.0001,"OK","CHECK")</f>
        <v>OK</v>
      </c>
    </row>
    <row r="66" customFormat="false" ht="15" hidden="false" customHeight="false" outlineLevel="0" collapsed="false">
      <c r="B66" s="3" t="s">
        <v>145</v>
      </c>
    </row>
    <row r="67" customFormat="false" ht="15" hidden="false" customHeight="false" outlineLevel="0" collapsed="false">
      <c r="B67" s="10" t="s">
        <v>146</v>
      </c>
      <c r="G67" s="2" t="s">
        <v>147</v>
      </c>
    </row>
    <row r="68" customFormat="false" ht="15" hidden="false" customHeight="false" outlineLevel="0" collapsed="false">
      <c r="B68" s="10" t="s">
        <v>148</v>
      </c>
      <c r="G68" s="2" t="s">
        <v>149</v>
      </c>
    </row>
    <row r="69" customFormat="false" ht="15" hidden="false" customHeight="false" outlineLevel="0" collapsed="false">
      <c r="B69" s="10" t="s">
        <v>150</v>
      </c>
    </row>
    <row r="70" customFormat="false" ht="15" hidden="false" customHeight="false" outlineLevel="0" collapsed="false">
      <c r="B70" s="10" t="s">
        <v>151</v>
      </c>
    </row>
    <row r="71" customFormat="false" ht="15" hidden="false" customHeight="false" outlineLevel="0" collapsed="false">
      <c r="B71" s="10" t="s">
        <v>152</v>
      </c>
    </row>
    <row r="72" customFormat="false" ht="15" hidden="false" customHeight="false" outlineLevel="0" collapsed="false">
      <c r="B72" s="10" t="s">
        <v>153</v>
      </c>
    </row>
    <row r="73" customFormat="false" ht="15" hidden="false" customHeight="false" outlineLevel="0" collapsed="false">
      <c r="B73" s="10" t="s">
        <v>154</v>
      </c>
    </row>
    <row r="74" customFormat="false" ht="15" hidden="false" customHeight="false" outlineLevel="0" collapsed="false">
      <c r="B74" s="10" t="s">
        <v>155</v>
      </c>
    </row>
    <row r="75" customFormat="false" ht="15" hidden="false" customHeight="false" outlineLevel="0" collapsed="false">
      <c r="B75" s="10" t="s">
        <v>156</v>
      </c>
    </row>
    <row r="77" customFormat="false" ht="15" hidden="false" customHeight="false" outlineLevel="0" collapsed="false">
      <c r="B77" s="3" t="s">
        <v>157</v>
      </c>
    </row>
    <row r="78" customFormat="false" ht="30" hidden="false" customHeight="true" outlineLevel="0" collapsed="false">
      <c r="B78" s="17" t="s">
        <v>158</v>
      </c>
      <c r="C78" s="17" t="s">
        <v>159</v>
      </c>
    </row>
    <row r="79" customFormat="false" ht="15" hidden="false" customHeight="false" outlineLevel="0" collapsed="false">
      <c r="B79" s="24" t="s">
        <v>160</v>
      </c>
      <c r="C79" s="20"/>
      <c r="G79" s="2" t="s">
        <v>161</v>
      </c>
    </row>
    <row r="80" customFormat="false" ht="15" hidden="false" customHeight="false" outlineLevel="0" collapsed="false">
      <c r="B80" s="24" t="s">
        <v>162</v>
      </c>
      <c r="C80" s="20"/>
    </row>
    <row r="81" customFormat="false" ht="15" hidden="false" customHeight="false" outlineLevel="0" collapsed="false">
      <c r="B81" s="24" t="s">
        <v>163</v>
      </c>
      <c r="C81" s="20" t="n">
        <v>0.26</v>
      </c>
      <c r="G81" s="2" t="s">
        <v>164</v>
      </c>
    </row>
    <row r="82" customFormat="false" ht="15" hidden="false" customHeight="false" outlineLevel="0" collapsed="false">
      <c r="B82" s="24" t="s">
        <v>165</v>
      </c>
      <c r="C82" s="20"/>
      <c r="G82" s="2" t="s">
        <v>166</v>
      </c>
    </row>
    <row r="83" customFormat="false" ht="15" hidden="false" customHeight="false" outlineLevel="0" collapsed="false">
      <c r="B83" s="24" t="s">
        <v>167</v>
      </c>
      <c r="C83" s="20"/>
    </row>
    <row r="84" customFormat="false" ht="15" hidden="false" customHeight="false" outlineLevel="0" collapsed="false">
      <c r="B84" s="24" t="s">
        <v>168</v>
      </c>
      <c r="C84" s="20"/>
    </row>
    <row r="85" customFormat="false" ht="15" hidden="false" customHeight="false" outlineLevel="0" collapsed="false">
      <c r="B85" s="24" t="s">
        <v>169</v>
      </c>
      <c r="C85" s="20"/>
    </row>
    <row r="86" customFormat="false" ht="15" hidden="false" customHeight="false" outlineLevel="0" collapsed="false">
      <c r="B86" s="4" t="s">
        <v>144</v>
      </c>
      <c r="C86" s="22" t="n">
        <f aca="false">SUM(C79:C85)</f>
        <v>0.26</v>
      </c>
      <c r="D86" s="23" t="str">
        <f aca="false">IF(COUNT(C79:C85)&lt;7,"",IF(ABS(C86-1)&lt;0.0001,"OK","CHECK"))</f>
        <v/>
      </c>
    </row>
  </sheetData>
  <conditionalFormatting sqref="F6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D86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1" min="11" style="0" width="64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  <c r="B2" s="25" t="s">
        <v>172</v>
      </c>
    </row>
    <row r="4" customFormat="false" ht="15" hidden="false" customHeight="false" outlineLevel="0" collapsed="false">
      <c r="B4" s="3" t="s">
        <v>173</v>
      </c>
    </row>
    <row r="5" customFormat="false" ht="30" hidden="false" customHeight="true" outlineLevel="0" collapsed="false">
      <c r="B5" s="17" t="s">
        <v>174</v>
      </c>
      <c r="C5" s="17" t="s">
        <v>175</v>
      </c>
      <c r="D5" s="17" t="s">
        <v>176</v>
      </c>
      <c r="E5" s="17" t="s">
        <v>177</v>
      </c>
      <c r="F5" s="17" t="s">
        <v>178</v>
      </c>
      <c r="G5" s="17" t="s">
        <v>179</v>
      </c>
      <c r="H5" s="17" t="s">
        <v>180</v>
      </c>
      <c r="I5" s="17" t="s">
        <v>181</v>
      </c>
    </row>
    <row r="6" customFormat="false" ht="15" hidden="false" customHeight="false" outlineLevel="0" collapsed="false">
      <c r="B6" s="10" t="s">
        <v>182</v>
      </c>
      <c r="C6" s="26" t="n">
        <v>53</v>
      </c>
      <c r="D6" s="15" t="n">
        <v>0.4</v>
      </c>
      <c r="E6" s="27" t="n">
        <f aca="false">C6*D6</f>
        <v>21.2</v>
      </c>
      <c r="F6" s="13" t="n">
        <f aca="false">$C$15*D6</f>
        <v>590.4</v>
      </c>
      <c r="G6" s="28" t="n">
        <f aca="false">F6*C6</f>
        <v>31291.2</v>
      </c>
      <c r="H6" s="29" t="n">
        <f aca="false">IFERROR(INDEX('KNOWIFY REVIEW'!$E$66:$E$70,MATCH(B6,'KNOWIFY REVIEW'!$B$66:$B$70,0)),"")</f>
        <v>40.248891939596</v>
      </c>
      <c r="I6" s="30" t="n">
        <f aca="false">IFERROR(INDEX('KNOWIFY REVIEW'!$F$66:$F$70,MATCH(B6,'KNOWIFY REVIEW'!$B$66:$B$70,0)),"")</f>
        <v>0.364725086920202</v>
      </c>
      <c r="K6" s="2" t="s">
        <v>183</v>
      </c>
    </row>
    <row r="7" customFormat="false" ht="15" hidden="false" customHeight="false" outlineLevel="0" collapsed="false">
      <c r="B7" s="10" t="s">
        <v>184</v>
      </c>
      <c r="C7" s="26" t="n">
        <v>62.5</v>
      </c>
      <c r="D7" s="15" t="n">
        <v>0.3</v>
      </c>
      <c r="E7" s="27" t="n">
        <f aca="false">C7*D7</f>
        <v>18.75</v>
      </c>
      <c r="F7" s="13" t="n">
        <f aca="false">$C$15*D7</f>
        <v>442.8</v>
      </c>
      <c r="G7" s="28" t="n">
        <f aca="false">F7*C7</f>
        <v>27675</v>
      </c>
      <c r="H7" s="29" t="n">
        <f aca="false">IFERROR(INDEX('KNOWIFY REVIEW'!$E$66:$E$70,MATCH(B7,'KNOWIFY REVIEW'!$B$66:$B$70,0)),"")</f>
        <v>47.1021375107366</v>
      </c>
      <c r="I7" s="30" t="n">
        <f aca="false">IFERROR(INDEX('KNOWIFY REVIEW'!$F$66:$F$70,MATCH(B7,'KNOWIFY REVIEW'!$B$66:$B$70,0)),"")</f>
        <v>0.249829480573558</v>
      </c>
      <c r="K7" s="2" t="s">
        <v>185</v>
      </c>
    </row>
    <row r="8" customFormat="false" ht="15" hidden="false" customHeight="false" outlineLevel="0" collapsed="false">
      <c r="B8" s="10" t="s">
        <v>186</v>
      </c>
      <c r="C8" s="26" t="n">
        <v>66.5</v>
      </c>
      <c r="D8" s="15" t="n">
        <v>0.05</v>
      </c>
      <c r="E8" s="27" t="n">
        <f aca="false">C8*D8</f>
        <v>3.325</v>
      </c>
      <c r="F8" s="13" t="n">
        <f aca="false">$C$15*D8</f>
        <v>73.8</v>
      </c>
      <c r="G8" s="28" t="n">
        <f aca="false">F8*C8</f>
        <v>4907.7</v>
      </c>
      <c r="H8" s="29" t="n">
        <f aca="false">IFERROR(INDEX('KNOWIFY REVIEW'!$E$66:$E$70,MATCH(B8,'KNOWIFY REVIEW'!$B$66:$B$70,0)),"")</f>
        <v>51.2130402930403</v>
      </c>
      <c r="I8" s="30" t="n">
        <f aca="false">IFERROR(INDEX('KNOWIFY REVIEW'!$F$66:$F$70,MATCH(B8,'KNOWIFY REVIEW'!$B$66:$B$70,0)),"")</f>
        <v>0.0857808512431952</v>
      </c>
      <c r="K8" s="2" t="s">
        <v>187</v>
      </c>
    </row>
    <row r="9" customFormat="false" ht="15" hidden="false" customHeight="false" outlineLevel="0" collapsed="false">
      <c r="B9" s="10" t="s">
        <v>188</v>
      </c>
      <c r="C9" s="26" t="n">
        <v>73</v>
      </c>
      <c r="D9" s="15" t="n">
        <v>0.11</v>
      </c>
      <c r="E9" s="27" t="n">
        <f aca="false">C9*D9</f>
        <v>8.03</v>
      </c>
      <c r="F9" s="13" t="n">
        <f aca="false">$C$15*D9</f>
        <v>162.36</v>
      </c>
      <c r="G9" s="28" t="n">
        <f aca="false">F9*C9</f>
        <v>11852.28</v>
      </c>
      <c r="H9" s="29" t="n">
        <f aca="false">IFERROR(INDEX('KNOWIFY REVIEW'!$E$66:$E$70,MATCH(B9,'KNOWIFY REVIEW'!$B$66:$B$70,0)),"")</f>
        <v>61.5465285547166</v>
      </c>
      <c r="I9" s="30" t="n">
        <f aca="false">IFERROR(INDEX('KNOWIFY REVIEW'!$F$66:$F$70,MATCH(B9,'KNOWIFY REVIEW'!$B$66:$B$70,0)),"")</f>
        <v>0.120104431972329</v>
      </c>
      <c r="K9" s="2" t="s">
        <v>189</v>
      </c>
    </row>
    <row r="10" customFormat="false" ht="15" hidden="false" customHeight="false" outlineLevel="0" collapsed="false">
      <c r="B10" s="10" t="s">
        <v>190</v>
      </c>
      <c r="C10" s="26" t="n">
        <v>96</v>
      </c>
      <c r="D10" s="15" t="n">
        <v>0.14</v>
      </c>
      <c r="E10" s="27" t="n">
        <f aca="false">C10*D10</f>
        <v>13.44</v>
      </c>
      <c r="F10" s="13" t="n">
        <f aca="false">$C$15*D10</f>
        <v>206.64</v>
      </c>
      <c r="G10" s="28" t="n">
        <f aca="false">F10*C10</f>
        <v>19837.44</v>
      </c>
      <c r="H10" s="29" t="n">
        <f aca="false">IFERROR(INDEX('KNOWIFY REVIEW'!$E$66:$E$70,MATCH(B10,'KNOWIFY REVIEW'!$B$66:$B$70,0)),"")</f>
        <v>68.3354032636686</v>
      </c>
      <c r="I10" s="30" t="n">
        <f aca="false">IFERROR(INDEX('KNOWIFY REVIEW'!$F$66:$F$70,MATCH(B10,'KNOWIFY REVIEW'!$B$66:$B$70,0)),"")</f>
        <v>0.179560149290716</v>
      </c>
      <c r="K10" s="2" t="s">
        <v>191</v>
      </c>
    </row>
    <row r="11" customFormat="false" ht="15" hidden="false" customHeight="false" outlineLevel="0" collapsed="false">
      <c r="B11" s="4" t="s">
        <v>192</v>
      </c>
      <c r="D11" s="22" t="n">
        <f aca="false">SUM(D6:D10)</f>
        <v>1</v>
      </c>
      <c r="E11" s="31" t="n">
        <f aca="false">SUM(E6:E10)</f>
        <v>64.745</v>
      </c>
      <c r="F11" s="21" t="n">
        <f aca="false">SUM(F6:F10)</f>
        <v>1476</v>
      </c>
      <c r="G11" s="32" t="n">
        <f aca="false">SUM(G6:G10)</f>
        <v>95563.62</v>
      </c>
      <c r="H11" s="33" t="n">
        <f aca="false">'KNOWIFY REVIEW'!$E$72</f>
        <v>50.5027074142102</v>
      </c>
      <c r="I11" s="22" t="n">
        <f aca="false">SUM(I6:I10)</f>
        <v>1</v>
      </c>
    </row>
    <row r="12" customFormat="false" ht="15" hidden="false" customHeight="false" outlineLevel="0" collapsed="false">
      <c r="B12" s="7" t="s">
        <v>193</v>
      </c>
      <c r="C12" s="26" t="n">
        <v>22</v>
      </c>
    </row>
    <row r="13" customFormat="false" ht="15" hidden="false" customHeight="false" outlineLevel="0" collapsed="false">
      <c r="B13" s="4" t="s">
        <v>194</v>
      </c>
      <c r="C13" s="34" t="n">
        <f aca="false">E11+C12</f>
        <v>86.745</v>
      </c>
    </row>
    <row r="14" customFormat="false" ht="15" hidden="false" customHeight="false" outlineLevel="0" collapsed="false">
      <c r="B14" s="7" t="s">
        <v>195</v>
      </c>
      <c r="C14" s="23" t="str">
        <f aca="false">IF(AND(ABS(D11-1)&lt;0.0001,ABS(G11-F11*E11)&lt;1),"OK","CHECK")</f>
        <v>OK</v>
      </c>
    </row>
    <row r="15" customFormat="false" ht="15" hidden="false" customHeight="false" outlineLevel="0" collapsed="false">
      <c r="B15" s="7" t="s">
        <v>196</v>
      </c>
      <c r="C15" s="35" t="n">
        <f aca="false">SUMIFS('PLUMBING EST'!$M$7:$M$156,'PLUMBING EST'!$B$7:$B$156,"P")+SUMIFS('HVAC EST'!$M$7:$M$156,'HVAC EST'!$B$7:$B$156,"P")+SUMIFS('PLUMBING EST'!$M$7:$M$156,'PLUMBING EST'!$B$7:$B$156,"H")+SUMIFS('HVAC EST'!$M$7:$M$156,'HVAC EST'!$B$7:$B$156,"H")</f>
        <v>1476</v>
      </c>
    </row>
    <row r="19" customFormat="false" ht="15" hidden="false" customHeight="false" outlineLevel="0" collapsed="false">
      <c r="B19" s="3" t="s">
        <v>197</v>
      </c>
    </row>
    <row r="20" customFormat="false" ht="30" hidden="false" customHeight="true" outlineLevel="0" collapsed="false">
      <c r="B20" s="17" t="s">
        <v>174</v>
      </c>
      <c r="C20" s="17" t="s">
        <v>175</v>
      </c>
      <c r="D20" s="17" t="s">
        <v>176</v>
      </c>
      <c r="E20" s="17" t="s">
        <v>177</v>
      </c>
      <c r="F20" s="17" t="s">
        <v>178</v>
      </c>
      <c r="G20" s="17" t="s">
        <v>179</v>
      </c>
      <c r="H20" s="17" t="s">
        <v>180</v>
      </c>
      <c r="I20" s="17" t="s">
        <v>181</v>
      </c>
    </row>
    <row r="21" customFormat="false" ht="15" hidden="false" customHeight="false" outlineLevel="0" collapsed="false">
      <c r="B21" s="10" t="s">
        <v>182</v>
      </c>
      <c r="C21" s="26" t="n">
        <v>53</v>
      </c>
      <c r="D21" s="15" t="n">
        <v>0.4</v>
      </c>
      <c r="E21" s="27" t="n">
        <f aca="false">C21*D21</f>
        <v>21.2</v>
      </c>
      <c r="F21" s="13" t="n">
        <f aca="false">$C$30*D21</f>
        <v>0</v>
      </c>
      <c r="G21" s="28" t="n">
        <f aca="false">F21*C21</f>
        <v>0</v>
      </c>
      <c r="H21" s="29" t="n">
        <f aca="false">IFERROR(INDEX('KNOWIFY REVIEW'!$E$66:$E$70,MATCH(B21,'KNOWIFY REVIEW'!$B$66:$B$70,0)),"")</f>
        <v>40.248891939596</v>
      </c>
      <c r="I21" s="30" t="n">
        <f aca="false">IFERROR(INDEX('KNOWIFY REVIEW'!$F$66:$F$70,MATCH(B21,'KNOWIFY REVIEW'!$B$66:$B$70,0)),"")</f>
        <v>0.364725086920202</v>
      </c>
      <c r="K21" s="2" t="s">
        <v>183</v>
      </c>
    </row>
    <row r="22" customFormat="false" ht="15" hidden="false" customHeight="false" outlineLevel="0" collapsed="false">
      <c r="B22" s="10" t="s">
        <v>184</v>
      </c>
      <c r="C22" s="26" t="n">
        <v>62.5</v>
      </c>
      <c r="D22" s="15" t="n">
        <v>0.3</v>
      </c>
      <c r="E22" s="27" t="n">
        <f aca="false">C22*D22</f>
        <v>18.75</v>
      </c>
      <c r="F22" s="13" t="n">
        <f aca="false">$C$30*D22</f>
        <v>0</v>
      </c>
      <c r="G22" s="28" t="n">
        <f aca="false">F22*C22</f>
        <v>0</v>
      </c>
      <c r="H22" s="29" t="n">
        <f aca="false">IFERROR(INDEX('KNOWIFY REVIEW'!$E$66:$E$70,MATCH(B22,'KNOWIFY REVIEW'!$B$66:$B$70,0)),"")</f>
        <v>47.1021375107366</v>
      </c>
      <c r="I22" s="30" t="n">
        <f aca="false">IFERROR(INDEX('KNOWIFY REVIEW'!$F$66:$F$70,MATCH(B22,'KNOWIFY REVIEW'!$B$66:$B$70,0)),"")</f>
        <v>0.249829480573558</v>
      </c>
      <c r="K22" s="2" t="s">
        <v>185</v>
      </c>
    </row>
    <row r="23" customFormat="false" ht="15" hidden="false" customHeight="false" outlineLevel="0" collapsed="false">
      <c r="B23" s="10" t="s">
        <v>186</v>
      </c>
      <c r="C23" s="26" t="n">
        <v>66.5</v>
      </c>
      <c r="D23" s="15" t="n">
        <v>0.05</v>
      </c>
      <c r="E23" s="27" t="n">
        <f aca="false">C23*D23</f>
        <v>3.325</v>
      </c>
      <c r="F23" s="13" t="n">
        <f aca="false">$C$30*D23</f>
        <v>0</v>
      </c>
      <c r="G23" s="28" t="n">
        <f aca="false">F23*C23</f>
        <v>0</v>
      </c>
      <c r="H23" s="29" t="n">
        <f aca="false">IFERROR(INDEX('KNOWIFY REVIEW'!$E$66:$E$70,MATCH(B23,'KNOWIFY REVIEW'!$B$66:$B$70,0)),"")</f>
        <v>51.2130402930403</v>
      </c>
      <c r="I23" s="30" t="n">
        <f aca="false">IFERROR(INDEX('KNOWIFY REVIEW'!$F$66:$F$70,MATCH(B23,'KNOWIFY REVIEW'!$B$66:$B$70,0)),"")</f>
        <v>0.0857808512431952</v>
      </c>
      <c r="K23" s="2" t="s">
        <v>187</v>
      </c>
    </row>
    <row r="24" customFormat="false" ht="15" hidden="false" customHeight="false" outlineLevel="0" collapsed="false">
      <c r="B24" s="10" t="s">
        <v>188</v>
      </c>
      <c r="C24" s="26" t="n">
        <v>73</v>
      </c>
      <c r="D24" s="15" t="n">
        <v>0.11</v>
      </c>
      <c r="E24" s="27" t="n">
        <f aca="false">C24*D24</f>
        <v>8.03</v>
      </c>
      <c r="F24" s="13" t="n">
        <f aca="false">$C$30*D24</f>
        <v>0</v>
      </c>
      <c r="G24" s="28" t="n">
        <f aca="false">F24*C24</f>
        <v>0</v>
      </c>
      <c r="H24" s="29" t="n">
        <f aca="false">IFERROR(INDEX('KNOWIFY REVIEW'!$E$66:$E$70,MATCH(B24,'KNOWIFY REVIEW'!$B$66:$B$70,0)),"")</f>
        <v>61.5465285547166</v>
      </c>
      <c r="I24" s="30" t="n">
        <f aca="false">IFERROR(INDEX('KNOWIFY REVIEW'!$F$66:$F$70,MATCH(B24,'KNOWIFY REVIEW'!$B$66:$B$70,0)),"")</f>
        <v>0.120104431972329</v>
      </c>
      <c r="K24" s="2" t="s">
        <v>189</v>
      </c>
    </row>
    <row r="25" customFormat="false" ht="15" hidden="false" customHeight="false" outlineLevel="0" collapsed="false">
      <c r="B25" s="10" t="s">
        <v>190</v>
      </c>
      <c r="C25" s="26" t="n">
        <v>96</v>
      </c>
      <c r="D25" s="15" t="n">
        <v>0.14</v>
      </c>
      <c r="E25" s="27" t="n">
        <f aca="false">C25*D25</f>
        <v>13.44</v>
      </c>
      <c r="F25" s="13" t="n">
        <f aca="false">$C$30*D25</f>
        <v>0</v>
      </c>
      <c r="G25" s="28" t="n">
        <f aca="false">F25*C25</f>
        <v>0</v>
      </c>
      <c r="H25" s="29" t="n">
        <f aca="false">IFERROR(INDEX('KNOWIFY REVIEW'!$E$66:$E$70,MATCH(B25,'KNOWIFY REVIEW'!$B$66:$B$70,0)),"")</f>
        <v>68.3354032636686</v>
      </c>
      <c r="I25" s="30" t="n">
        <f aca="false">IFERROR(INDEX('KNOWIFY REVIEW'!$F$66:$F$70,MATCH(B25,'KNOWIFY REVIEW'!$B$66:$B$70,0)),"")</f>
        <v>0.179560149290716</v>
      </c>
      <c r="K25" s="2" t="s">
        <v>191</v>
      </c>
    </row>
    <row r="26" customFormat="false" ht="15" hidden="false" customHeight="false" outlineLevel="0" collapsed="false">
      <c r="B26" s="4" t="s">
        <v>192</v>
      </c>
      <c r="D26" s="22" t="n">
        <f aca="false">SUM(D21:D25)</f>
        <v>1</v>
      </c>
      <c r="E26" s="31" t="n">
        <f aca="false">SUM(E21:E25)</f>
        <v>64.745</v>
      </c>
      <c r="F26" s="21" t="n">
        <f aca="false">SUM(F21:F25)</f>
        <v>0</v>
      </c>
      <c r="G26" s="32" t="n">
        <f aca="false">SUM(G21:G25)</f>
        <v>0</v>
      </c>
      <c r="H26" s="33" t="n">
        <f aca="false">'KNOWIFY REVIEW'!$E$72</f>
        <v>50.5027074142102</v>
      </c>
      <c r="I26" s="22" t="n">
        <f aca="false">SUM(I21:I25)</f>
        <v>1</v>
      </c>
    </row>
    <row r="27" customFormat="false" ht="15" hidden="false" customHeight="false" outlineLevel="0" collapsed="false">
      <c r="B27" s="7" t="s">
        <v>193</v>
      </c>
      <c r="C27" s="26" t="n">
        <v>22</v>
      </c>
    </row>
    <row r="28" customFormat="false" ht="15" hidden="false" customHeight="false" outlineLevel="0" collapsed="false">
      <c r="B28" s="4" t="s">
        <v>194</v>
      </c>
      <c r="C28" s="34" t="n">
        <f aca="false">E26+C27</f>
        <v>86.745</v>
      </c>
    </row>
    <row r="29" customFormat="false" ht="15" hidden="false" customHeight="false" outlineLevel="0" collapsed="false">
      <c r="B29" s="7" t="s">
        <v>195</v>
      </c>
      <c r="C29" s="23" t="str">
        <f aca="false">IF(AND(ABS(D26-1)&lt;0.0001,ABS(G26-F26*E26)&lt;1),"OK","CHECK")</f>
        <v>OK</v>
      </c>
    </row>
    <row r="30" customFormat="false" ht="15" hidden="false" customHeight="false" outlineLevel="0" collapsed="false">
      <c r="B30" s="7" t="s">
        <v>196</v>
      </c>
      <c r="C30" s="35" t="n">
        <f aca="false">SUMIFS('PLUMBING EST'!$M$7:$M$156,'PLUMBING EST'!$B$7:$B$156,"V")+SUMIFS('HVAC EST'!$M$7:$M$156,'HVAC EST'!$B$7:$B$156,"V")+SUMIFS('PLUMBING EST'!$M$7:$M$156,'PLUMBING EST'!$B$7:$B$156,"AC")+SUMIFS('HVAC EST'!$M$7:$M$156,'HVAC EST'!$B$7:$B$156,"AC")</f>
        <v>0</v>
      </c>
    </row>
    <row r="33" customFormat="false" ht="15" hidden="false" customHeight="false" outlineLevel="0" collapsed="false">
      <c r="B33" s="3" t="s">
        <v>198</v>
      </c>
    </row>
    <row r="34" customFormat="false" ht="30" hidden="false" customHeight="true" outlineLevel="0" collapsed="false">
      <c r="B34" s="17" t="s">
        <v>199</v>
      </c>
      <c r="C34" s="17" t="s">
        <v>200</v>
      </c>
      <c r="D34" s="17"/>
      <c r="E34" s="17"/>
      <c r="F34" s="17" t="s">
        <v>201</v>
      </c>
      <c r="G34" s="17" t="s">
        <v>202</v>
      </c>
    </row>
    <row r="35" customFormat="false" ht="15" hidden="false" customHeight="false" outlineLevel="0" collapsed="false">
      <c r="B35" s="24" t="s">
        <v>203</v>
      </c>
      <c r="C35" s="27" t="n">
        <f aca="false">C6</f>
        <v>53</v>
      </c>
      <c r="F35" s="13" t="n">
        <f aca="false">$C$15</f>
        <v>1476</v>
      </c>
      <c r="G35" s="28" t="n">
        <f aca="false">C35*F35</f>
        <v>78228</v>
      </c>
      <c r="K35" s="2" t="s">
        <v>204</v>
      </c>
    </row>
    <row r="36" customFormat="false" ht="15" hidden="false" customHeight="false" outlineLevel="0" collapsed="false">
      <c r="B36" s="24" t="s">
        <v>205</v>
      </c>
      <c r="C36" s="27" t="n">
        <f aca="false">AVERAGE(C6:C10)</f>
        <v>70.2</v>
      </c>
      <c r="F36" s="13" t="n">
        <f aca="false">$C$15</f>
        <v>1476</v>
      </c>
      <c r="G36" s="28" t="n">
        <f aca="false">C36*F36</f>
        <v>103615.2</v>
      </c>
      <c r="K36" s="2" t="s">
        <v>206</v>
      </c>
    </row>
    <row r="37" customFormat="false" ht="15" hidden="false" customHeight="false" outlineLevel="0" collapsed="false">
      <c r="B37" s="24" t="s">
        <v>207</v>
      </c>
      <c r="C37" s="27" t="n">
        <f aca="false">E11</f>
        <v>64.745</v>
      </c>
      <c r="F37" s="13" t="n">
        <f aca="false">$C$15</f>
        <v>1476</v>
      </c>
      <c r="G37" s="28" t="n">
        <f aca="false">C37*F37</f>
        <v>95563.62</v>
      </c>
      <c r="K37" s="2" t="s">
        <v>208</v>
      </c>
    </row>
    <row r="38" customFormat="false" ht="15" hidden="false" customHeight="false" outlineLevel="0" collapsed="false">
      <c r="B38" s="24" t="s">
        <v>209</v>
      </c>
      <c r="C38" s="27" t="n">
        <f aca="false">C13</f>
        <v>86.745</v>
      </c>
      <c r="F38" s="13" t="n">
        <f aca="false">$C$15</f>
        <v>1476</v>
      </c>
      <c r="G38" s="28" t="n">
        <f aca="false">C38*F38</f>
        <v>128035.62</v>
      </c>
    </row>
    <row r="39" customFormat="false" ht="15" hidden="false" customHeight="false" outlineLevel="0" collapsed="false">
      <c r="B39" s="24" t="s">
        <v>210</v>
      </c>
      <c r="C39" s="27" t="n">
        <f aca="false">'KNOWIFY REVIEW'!$E$72</f>
        <v>50.5027074142102</v>
      </c>
      <c r="F39" s="13" t="n">
        <f aca="false">$C$15</f>
        <v>1476</v>
      </c>
      <c r="G39" s="28" t="n">
        <f aca="false">C39*F39</f>
        <v>74541.9961433743</v>
      </c>
    </row>
    <row r="40" customFormat="false" ht="15" hidden="false" customHeight="false" outlineLevel="0" collapsed="false">
      <c r="B40" s="24" t="s">
        <v>211</v>
      </c>
      <c r="C40" s="27" t="n">
        <f aca="false">'KNOWIFY REVIEW'!$E$72+C12</f>
        <v>72.5027074142102</v>
      </c>
      <c r="F40" s="13" t="n">
        <f aca="false">$C$15</f>
        <v>1476</v>
      </c>
      <c r="G40" s="28" t="n">
        <f aca="false">C40*F40</f>
        <v>107013.996143374</v>
      </c>
    </row>
  </sheetData>
  <conditionalFormatting sqref="C1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C29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S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8" min="17" style="0" width="13"/>
    <col collapsed="false" customWidth="true" hidden="false" outlineLevel="0" max="19" min="19" style="0" width="22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3" customFormat="false" ht="15" hidden="false" customHeight="false" outlineLevel="0" collapsed="false">
      <c r="A3" s="4" t="s">
        <v>214</v>
      </c>
      <c r="L3" s="36" t="n">
        <f aca="false">SUM(L7:L156)</f>
        <v>105288</v>
      </c>
      <c r="M3" s="37" t="n">
        <f aca="false">SUM(M7:M156)</f>
        <v>1476</v>
      </c>
      <c r="N3" s="36" t="n">
        <f aca="false">SUM(N7:N156)</f>
        <v>95563.62</v>
      </c>
      <c r="O3" s="36" t="n">
        <f aca="false">SUM(O7:O156)</f>
        <v>32472</v>
      </c>
      <c r="P3" s="36" t="n">
        <f aca="false">SUM(P7:P156)</f>
        <v>233323.62</v>
      </c>
    </row>
    <row r="4" customFormat="false" ht="15" hidden="false" customHeight="false" outlineLevel="0" collapsed="false">
      <c r="A4" s="2" t="s">
        <v>215</v>
      </c>
    </row>
    <row r="6" customFormat="false" ht="30" hidden="false" customHeight="true" outlineLevel="0" collapsed="false">
      <c r="A6" s="17" t="s">
        <v>216</v>
      </c>
      <c r="B6" s="17" t="s">
        <v>217</v>
      </c>
      <c r="C6" s="17" t="s">
        <v>218</v>
      </c>
      <c r="D6" s="17" t="s">
        <v>219</v>
      </c>
      <c r="E6" s="17" t="s">
        <v>220</v>
      </c>
      <c r="F6" s="17" t="s">
        <v>221</v>
      </c>
      <c r="G6" s="17" t="s">
        <v>222</v>
      </c>
      <c r="H6" s="17" t="s">
        <v>223</v>
      </c>
      <c r="I6" s="17" t="s">
        <v>224</v>
      </c>
      <c r="J6" s="17" t="s">
        <v>225</v>
      </c>
      <c r="K6" s="17" t="s">
        <v>226</v>
      </c>
      <c r="L6" s="17" t="s">
        <v>227</v>
      </c>
      <c r="M6" s="17" t="s">
        <v>178</v>
      </c>
      <c r="N6" s="17" t="s">
        <v>228</v>
      </c>
      <c r="O6" s="17" t="s">
        <v>229</v>
      </c>
      <c r="P6" s="17" t="s">
        <v>230</v>
      </c>
      <c r="Q6" s="17" t="s">
        <v>231</v>
      </c>
      <c r="R6" s="17" t="s">
        <v>232</v>
      </c>
      <c r="S6" s="17" t="s">
        <v>233</v>
      </c>
    </row>
    <row r="7" customFormat="false" ht="15" hidden="false" customHeight="false" outlineLevel="0" collapsed="false">
      <c r="A7" s="10" t="s">
        <v>234</v>
      </c>
      <c r="B7" s="10" t="s">
        <v>95</v>
      </c>
      <c r="C7" s="10" t="s">
        <v>148</v>
      </c>
      <c r="D7" s="10" t="s">
        <v>235</v>
      </c>
      <c r="E7" s="38"/>
      <c r="F7" s="10" t="s">
        <v>236</v>
      </c>
      <c r="G7" s="39"/>
      <c r="H7" s="40"/>
      <c r="I7" s="39"/>
      <c r="J7" s="38"/>
      <c r="K7" s="10" t="s">
        <v>237</v>
      </c>
      <c r="L7" s="28" t="n">
        <f aca="false">($E7*$G7+$I7)*(1+IF($K7="N",0,INPUTS!$C$23))</f>
        <v>0</v>
      </c>
      <c r="M7" s="41" t="n">
        <f aca="false">$E7*$H7+$J7</f>
        <v>0</v>
      </c>
      <c r="N7" s="28" t="n">
        <f aca="false">$M7*IF(OR($B7="V",$B7="AC"),'LABOUR RATES'!$E$26,'LABOUR RATES'!$E$11)</f>
        <v>0</v>
      </c>
      <c r="O7" s="28" t="n">
        <f aca="false">$M7*IF(OR($B7="V",$B7="AC"),'LABOUR RATES'!$C$27,'LABOUR RATES'!$C$12)</f>
        <v>0</v>
      </c>
      <c r="P7" s="42" t="n">
        <f aca="false">$L7+$N7+$O7</f>
        <v>0</v>
      </c>
      <c r="Q7" s="43" t="n">
        <f aca="false">IF(OR($B7="",$C7=""),"",IFERROR(SUMIFS('KNOWIFY REVIEW'!$AF$4:$AF$400,'KNOWIFY REVIEW'!$AB$4:$AB$400,$B7,'KNOWIFY REVIEW'!$AC$4:$AC$400,$C7,'KNOWIFY REVIEW'!$AD$4:$AD$400,1)/SUMIFS('KNOWIFY REVIEW'!$AE$4:$AE$400,'KNOWIFY REVIEW'!$AB$4:$AB$400,$B7,'KNOWIFY REVIEW'!$AC$4:$AC$400,$C7,'KNOWIFY REVIEW'!$AD$4:$AD$400,1),""))</f>
        <v>1.72927514285714</v>
      </c>
      <c r="R7" s="43" t="n">
        <f aca="false">IF(OR($B7="",$C7=""),"",IFERROR(SUMIFS('KNOWIFY REVIEW'!$AH$4:$AH$400,'KNOWIFY REVIEW'!$AB$4:$AB$400,$B7,'KNOWIFY REVIEW'!$AC$4:$AC$400,IF(OR($C7=INPUTS!$B$69,$C7=INPUTS!$B$70),INPUTS!$B$71,$C7),'KNOWIFY REVIEW'!$AD$4:$AD$400,1)/SUMIFS('KNOWIFY REVIEW'!$AG$4:$AG$400,'KNOWIFY REVIEW'!$AB$4:$AB$400,$B7,'KNOWIFY REVIEW'!$AC$4:$AC$400,IF(OR($C7=INPUTS!$B$69,$C7=INPUTS!$B$70),INPUTS!$B$71,$C7),'KNOWIFY REVIEW'!$AD$4:$AD$400,1),""))</f>
        <v>1.02204496</v>
      </c>
      <c r="S7" s="24" t="str">
        <f aca="false">IF(MAX(N($Q7),N($R7))&gt;1.1,"Past job ran over budget","")</f>
        <v>Past job ran over budget</v>
      </c>
    </row>
    <row r="8" customFormat="false" ht="15" hidden="false" customHeight="false" outlineLevel="0" collapsed="false">
      <c r="A8" s="10" t="s">
        <v>238</v>
      </c>
      <c r="B8" s="10" t="s">
        <v>95</v>
      </c>
      <c r="C8" s="10" t="s">
        <v>148</v>
      </c>
      <c r="D8" s="10" t="s">
        <v>239</v>
      </c>
      <c r="E8" s="38"/>
      <c r="F8" s="10" t="s">
        <v>240</v>
      </c>
      <c r="G8" s="39"/>
      <c r="H8" s="40"/>
      <c r="I8" s="39"/>
      <c r="J8" s="38"/>
      <c r="K8" s="10" t="s">
        <v>237</v>
      </c>
      <c r="L8" s="28" t="n">
        <f aca="false">($E8*$G8+$I8)*(1+IF($K8="N",0,INPUTS!$C$23))</f>
        <v>0</v>
      </c>
      <c r="M8" s="41" t="n">
        <f aca="false">$E8*$H8+$J8</f>
        <v>0</v>
      </c>
      <c r="N8" s="28" t="n">
        <f aca="false">$M8*IF(OR($B8="V",$B8="AC"),'LABOUR RATES'!$E$26,'LABOUR RATES'!$E$11)</f>
        <v>0</v>
      </c>
      <c r="O8" s="28" t="n">
        <f aca="false">$M8*IF(OR($B8="V",$B8="AC"),'LABOUR RATES'!$C$27,'LABOUR RATES'!$C$12)</f>
        <v>0</v>
      </c>
      <c r="P8" s="42" t="n">
        <f aca="false">$L8+$N8+$O8</f>
        <v>0</v>
      </c>
      <c r="Q8" s="43" t="n">
        <f aca="false">IF(OR($B8="",$C8=""),"",IFERROR(SUMIFS('KNOWIFY REVIEW'!$AF$4:$AF$400,'KNOWIFY REVIEW'!$AB$4:$AB$400,$B8,'KNOWIFY REVIEW'!$AC$4:$AC$400,$C8,'KNOWIFY REVIEW'!$AD$4:$AD$400,1)/SUMIFS('KNOWIFY REVIEW'!$AE$4:$AE$400,'KNOWIFY REVIEW'!$AB$4:$AB$400,$B8,'KNOWIFY REVIEW'!$AC$4:$AC$400,$C8,'KNOWIFY REVIEW'!$AD$4:$AD$400,1),""))</f>
        <v>1.72927514285714</v>
      </c>
      <c r="R8" s="43" t="n">
        <f aca="false">IF(OR($B8="",$C8=""),"",IFERROR(SUMIFS('KNOWIFY REVIEW'!$AH$4:$AH$400,'KNOWIFY REVIEW'!$AB$4:$AB$400,$B8,'KNOWIFY REVIEW'!$AC$4:$AC$400,IF(OR($C8=INPUTS!$B$69,$C8=INPUTS!$B$70),INPUTS!$B$71,$C8),'KNOWIFY REVIEW'!$AD$4:$AD$400,1)/SUMIFS('KNOWIFY REVIEW'!$AG$4:$AG$400,'KNOWIFY REVIEW'!$AB$4:$AB$400,$B8,'KNOWIFY REVIEW'!$AC$4:$AC$400,IF(OR($C8=INPUTS!$B$69,$C8=INPUTS!$B$70),INPUTS!$B$71,$C8),'KNOWIFY REVIEW'!$AD$4:$AD$400,1),""))</f>
        <v>1.02204496</v>
      </c>
      <c r="S8" s="24" t="str">
        <f aca="false">IF(MAX(N($Q8),N($R8))&gt;1.1,"Past job ran over budget","")</f>
        <v>Past job ran over budget</v>
      </c>
    </row>
    <row r="9" customFormat="false" ht="15" hidden="false" customHeight="false" outlineLevel="0" collapsed="false">
      <c r="A9" s="10" t="s">
        <v>241</v>
      </c>
      <c r="B9" s="10" t="s">
        <v>95</v>
      </c>
      <c r="C9" s="10" t="s">
        <v>148</v>
      </c>
      <c r="D9" s="10" t="s">
        <v>242</v>
      </c>
      <c r="E9" s="38"/>
      <c r="F9" s="10" t="s">
        <v>240</v>
      </c>
      <c r="G9" s="39"/>
      <c r="H9" s="40"/>
      <c r="I9" s="39"/>
      <c r="J9" s="38"/>
      <c r="K9" s="10" t="s">
        <v>237</v>
      </c>
      <c r="L9" s="28" t="n">
        <f aca="false">($E9*$G9+$I9)*(1+IF($K9="N",0,INPUTS!$C$23))</f>
        <v>0</v>
      </c>
      <c r="M9" s="41" t="n">
        <f aca="false">$E9*$H9+$J9</f>
        <v>0</v>
      </c>
      <c r="N9" s="28" t="n">
        <f aca="false">$M9*IF(OR($B9="V",$B9="AC"),'LABOUR RATES'!$E$26,'LABOUR RATES'!$E$11)</f>
        <v>0</v>
      </c>
      <c r="O9" s="28" t="n">
        <f aca="false">$M9*IF(OR($B9="V",$B9="AC"),'LABOUR RATES'!$C$27,'LABOUR RATES'!$C$12)</f>
        <v>0</v>
      </c>
      <c r="P9" s="42" t="n">
        <f aca="false">$L9+$N9+$O9</f>
        <v>0</v>
      </c>
      <c r="Q9" s="43" t="n">
        <f aca="false">IF(OR($B9="",$C9=""),"",IFERROR(SUMIFS('KNOWIFY REVIEW'!$AF$4:$AF$400,'KNOWIFY REVIEW'!$AB$4:$AB$400,$B9,'KNOWIFY REVIEW'!$AC$4:$AC$400,$C9,'KNOWIFY REVIEW'!$AD$4:$AD$400,1)/SUMIFS('KNOWIFY REVIEW'!$AE$4:$AE$400,'KNOWIFY REVIEW'!$AB$4:$AB$400,$B9,'KNOWIFY REVIEW'!$AC$4:$AC$400,$C9,'KNOWIFY REVIEW'!$AD$4:$AD$400,1),""))</f>
        <v>1.72927514285714</v>
      </c>
      <c r="R9" s="43" t="n">
        <f aca="false">IF(OR($B9="",$C9=""),"",IFERROR(SUMIFS('KNOWIFY REVIEW'!$AH$4:$AH$400,'KNOWIFY REVIEW'!$AB$4:$AB$400,$B9,'KNOWIFY REVIEW'!$AC$4:$AC$400,IF(OR($C9=INPUTS!$B$69,$C9=INPUTS!$B$70),INPUTS!$B$71,$C9),'KNOWIFY REVIEW'!$AD$4:$AD$400,1)/SUMIFS('KNOWIFY REVIEW'!$AG$4:$AG$400,'KNOWIFY REVIEW'!$AB$4:$AB$400,$B9,'KNOWIFY REVIEW'!$AC$4:$AC$400,IF(OR($C9=INPUTS!$B$69,$C9=INPUTS!$B$70),INPUTS!$B$71,$C9),'KNOWIFY REVIEW'!$AD$4:$AD$400,1),""))</f>
        <v>1.02204496</v>
      </c>
      <c r="S9" s="24" t="str">
        <f aca="false">IF(MAX(N($Q9),N($R9))&gt;1.1,"Past job ran over budget","")</f>
        <v>Past job ran over budget</v>
      </c>
    </row>
    <row r="10" customFormat="false" ht="15" hidden="false" customHeight="false" outlineLevel="0" collapsed="false">
      <c r="A10" s="10" t="s">
        <v>243</v>
      </c>
      <c r="B10" s="10" t="s">
        <v>95</v>
      </c>
      <c r="C10" s="10" t="s">
        <v>148</v>
      </c>
      <c r="D10" s="10" t="s">
        <v>244</v>
      </c>
      <c r="E10" s="38"/>
      <c r="F10" s="10" t="s">
        <v>240</v>
      </c>
      <c r="G10" s="39"/>
      <c r="H10" s="40"/>
      <c r="I10" s="39"/>
      <c r="J10" s="38"/>
      <c r="K10" s="10" t="s">
        <v>237</v>
      </c>
      <c r="L10" s="28" t="n">
        <f aca="false">($E10*$G10+$I10)*(1+IF($K10="N",0,INPUTS!$C$23))</f>
        <v>0</v>
      </c>
      <c r="M10" s="41" t="n">
        <f aca="false">$E10*$H10+$J10</f>
        <v>0</v>
      </c>
      <c r="N10" s="28" t="n">
        <f aca="false">$M10*IF(OR($B10="V",$B10="AC"),'LABOUR RATES'!$E$26,'LABOUR RATES'!$E$11)</f>
        <v>0</v>
      </c>
      <c r="O10" s="28" t="n">
        <f aca="false">$M10*IF(OR($B10="V",$B10="AC"),'LABOUR RATES'!$C$27,'LABOUR RATES'!$C$12)</f>
        <v>0</v>
      </c>
      <c r="P10" s="42" t="n">
        <f aca="false">$L10+$N10+$O10</f>
        <v>0</v>
      </c>
      <c r="Q10" s="43" t="n">
        <f aca="false">IF(OR($B10="",$C10=""),"",IFERROR(SUMIFS('KNOWIFY REVIEW'!$AF$4:$AF$400,'KNOWIFY REVIEW'!$AB$4:$AB$400,$B10,'KNOWIFY REVIEW'!$AC$4:$AC$400,$C10,'KNOWIFY REVIEW'!$AD$4:$AD$400,1)/SUMIFS('KNOWIFY REVIEW'!$AE$4:$AE$400,'KNOWIFY REVIEW'!$AB$4:$AB$400,$B10,'KNOWIFY REVIEW'!$AC$4:$AC$400,$C10,'KNOWIFY REVIEW'!$AD$4:$AD$400,1),""))</f>
        <v>1.72927514285714</v>
      </c>
      <c r="R10" s="43" t="n">
        <f aca="false">IF(OR($B10="",$C10=""),"",IFERROR(SUMIFS('KNOWIFY REVIEW'!$AH$4:$AH$400,'KNOWIFY REVIEW'!$AB$4:$AB$400,$B10,'KNOWIFY REVIEW'!$AC$4:$AC$400,IF(OR($C10=INPUTS!$B$69,$C10=INPUTS!$B$70),INPUTS!$B$71,$C10),'KNOWIFY REVIEW'!$AD$4:$AD$400,1)/SUMIFS('KNOWIFY REVIEW'!$AG$4:$AG$400,'KNOWIFY REVIEW'!$AB$4:$AB$400,$B10,'KNOWIFY REVIEW'!$AC$4:$AC$400,IF(OR($C10=INPUTS!$B$69,$C10=INPUTS!$B$70),INPUTS!$B$71,$C10),'KNOWIFY REVIEW'!$AD$4:$AD$400,1),""))</f>
        <v>1.02204496</v>
      </c>
      <c r="S10" s="24" t="str">
        <f aca="false">IF(MAX(N($Q10),N($R10))&gt;1.1,"Past job ran over budget","")</f>
        <v>Past job ran over budget</v>
      </c>
    </row>
    <row r="11" customFormat="false" ht="15" hidden="false" customHeight="false" outlineLevel="0" collapsed="false">
      <c r="A11" s="10" t="s">
        <v>245</v>
      </c>
      <c r="B11" s="10" t="s">
        <v>95</v>
      </c>
      <c r="C11" s="10" t="s">
        <v>150</v>
      </c>
      <c r="D11" s="10" t="s">
        <v>246</v>
      </c>
      <c r="E11" s="38"/>
      <c r="F11" s="10" t="s">
        <v>240</v>
      </c>
      <c r="G11" s="39"/>
      <c r="H11" s="40"/>
      <c r="I11" s="39"/>
      <c r="J11" s="38"/>
      <c r="K11" s="10" t="s">
        <v>237</v>
      </c>
      <c r="L11" s="28" t="n">
        <f aca="false">($E11*$G11+$I11)*(1+IF($K11="N",0,INPUTS!$C$23))</f>
        <v>0</v>
      </c>
      <c r="M11" s="41" t="n">
        <f aca="false">$E11*$H11+$J11</f>
        <v>0</v>
      </c>
      <c r="N11" s="28" t="n">
        <f aca="false">$M11*IF(OR($B11="V",$B11="AC"),'LABOUR RATES'!$E$26,'LABOUR RATES'!$E$11)</f>
        <v>0</v>
      </c>
      <c r="O11" s="28" t="n">
        <f aca="false">$M11*IF(OR($B11="V",$B11="AC"),'LABOUR RATES'!$C$27,'LABOUR RATES'!$C$12)</f>
        <v>0</v>
      </c>
      <c r="P11" s="42" t="n">
        <f aca="false">$L11+$N11+$O11</f>
        <v>0</v>
      </c>
      <c r="Q11" s="43" t="n">
        <f aca="false">IF(OR($B11="",$C11=""),"",IFERROR(SUMIFS('KNOWIFY REVIEW'!$AF$4:$AF$400,'KNOWIFY REVIEW'!$AB$4:$AB$400,$B11,'KNOWIFY REVIEW'!$AC$4:$AC$400,$C11,'KNOWIFY REVIEW'!$AD$4:$AD$400,1)/SUMIFS('KNOWIFY REVIEW'!$AE$4:$AE$400,'KNOWIFY REVIEW'!$AB$4:$AB$400,$B11,'KNOWIFY REVIEW'!$AC$4:$AC$400,$C11,'KNOWIFY REVIEW'!$AD$4:$AD$400,1),""))</f>
        <v>1.349249875</v>
      </c>
      <c r="R11" s="43" t="n">
        <f aca="false">IF(OR($B11="",$C11=""),"",IFERROR(SUMIFS('KNOWIFY REVIEW'!$AH$4:$AH$400,'KNOWIFY REVIEW'!$AB$4:$AB$400,$B11,'KNOWIFY REVIEW'!$AC$4:$AC$400,IF(OR($C11=INPUTS!$B$69,$C11=INPUTS!$B$70),INPUTS!$B$71,$C11),'KNOWIFY REVIEW'!$AD$4:$AD$400,1)/SUMIFS('KNOWIFY REVIEW'!$AG$4:$AG$400,'KNOWIFY REVIEW'!$AB$4:$AB$400,$B11,'KNOWIFY REVIEW'!$AC$4:$AC$400,IF(OR($C11=INPUTS!$B$69,$C11=INPUTS!$B$70),INPUTS!$B$71,$C11),'KNOWIFY REVIEW'!$AD$4:$AD$400,1),""))</f>
        <v>1.29241235</v>
      </c>
      <c r="S11" s="24" t="str">
        <f aca="false">IF(MAX(N($Q11),N($R11))&gt;1.1,"Past job ran over budget","")</f>
        <v>Past job ran over budget</v>
      </c>
    </row>
    <row r="12" customFormat="false" ht="15" hidden="false" customHeight="false" outlineLevel="0" collapsed="false">
      <c r="A12" s="10" t="s">
        <v>247</v>
      </c>
      <c r="B12" s="10" t="s">
        <v>95</v>
      </c>
      <c r="C12" s="10" t="s">
        <v>150</v>
      </c>
      <c r="D12" s="10" t="s">
        <v>248</v>
      </c>
      <c r="E12" s="38"/>
      <c r="F12" s="10" t="s">
        <v>240</v>
      </c>
      <c r="G12" s="39"/>
      <c r="H12" s="40"/>
      <c r="I12" s="39"/>
      <c r="J12" s="38"/>
      <c r="K12" s="10" t="s">
        <v>237</v>
      </c>
      <c r="L12" s="28" t="n">
        <f aca="false">($E12*$G12+$I12)*(1+IF($K12="N",0,INPUTS!$C$23))</f>
        <v>0</v>
      </c>
      <c r="M12" s="41" t="n">
        <f aca="false">$E12*$H12+$J12</f>
        <v>0</v>
      </c>
      <c r="N12" s="28" t="n">
        <f aca="false">$M12*IF(OR($B12="V",$B12="AC"),'LABOUR RATES'!$E$26,'LABOUR RATES'!$E$11)</f>
        <v>0</v>
      </c>
      <c r="O12" s="28" t="n">
        <f aca="false">$M12*IF(OR($B12="V",$B12="AC"),'LABOUR RATES'!$C$27,'LABOUR RATES'!$C$12)</f>
        <v>0</v>
      </c>
      <c r="P12" s="42" t="n">
        <f aca="false">$L12+$N12+$O12</f>
        <v>0</v>
      </c>
      <c r="Q12" s="43" t="n">
        <f aca="false">IF(OR($B12="",$C12=""),"",IFERROR(SUMIFS('KNOWIFY REVIEW'!$AF$4:$AF$400,'KNOWIFY REVIEW'!$AB$4:$AB$400,$B12,'KNOWIFY REVIEW'!$AC$4:$AC$400,$C12,'KNOWIFY REVIEW'!$AD$4:$AD$400,1)/SUMIFS('KNOWIFY REVIEW'!$AE$4:$AE$400,'KNOWIFY REVIEW'!$AB$4:$AB$400,$B12,'KNOWIFY REVIEW'!$AC$4:$AC$400,$C12,'KNOWIFY REVIEW'!$AD$4:$AD$400,1),""))</f>
        <v>1.349249875</v>
      </c>
      <c r="R12" s="43" t="n">
        <f aca="false">IF(OR($B12="",$C12=""),"",IFERROR(SUMIFS('KNOWIFY REVIEW'!$AH$4:$AH$400,'KNOWIFY REVIEW'!$AB$4:$AB$400,$B12,'KNOWIFY REVIEW'!$AC$4:$AC$400,IF(OR($C12=INPUTS!$B$69,$C12=INPUTS!$B$70),INPUTS!$B$71,$C12),'KNOWIFY REVIEW'!$AD$4:$AD$400,1)/SUMIFS('KNOWIFY REVIEW'!$AG$4:$AG$400,'KNOWIFY REVIEW'!$AB$4:$AB$400,$B12,'KNOWIFY REVIEW'!$AC$4:$AC$400,IF(OR($C12=INPUTS!$B$69,$C12=INPUTS!$B$70),INPUTS!$B$71,$C12),'KNOWIFY REVIEW'!$AD$4:$AD$400,1),""))</f>
        <v>1.29241235</v>
      </c>
      <c r="S12" s="24" t="str">
        <f aca="false">IF(MAX(N($Q12),N($R12))&gt;1.1,"Past job ran over budget","")</f>
        <v>Past job ran over budget</v>
      </c>
    </row>
    <row r="13" customFormat="false" ht="15" hidden="false" customHeight="false" outlineLevel="0" collapsed="false">
      <c r="A13" s="10" t="s">
        <v>249</v>
      </c>
      <c r="B13" s="10" t="s">
        <v>95</v>
      </c>
      <c r="C13" s="10" t="s">
        <v>150</v>
      </c>
      <c r="D13" s="10" t="s">
        <v>250</v>
      </c>
      <c r="E13" s="38"/>
      <c r="F13" s="10" t="s">
        <v>236</v>
      </c>
      <c r="G13" s="39" t="n">
        <v>550</v>
      </c>
      <c r="H13" s="40" t="n">
        <v>3</v>
      </c>
      <c r="I13" s="39"/>
      <c r="J13" s="38"/>
      <c r="K13" s="10" t="s">
        <v>237</v>
      </c>
      <c r="L13" s="28" t="n">
        <f aca="false">($E13*$G13+$I13)*(1+IF($K13="N",0,INPUTS!$C$23))</f>
        <v>0</v>
      </c>
      <c r="M13" s="41" t="n">
        <f aca="false">$E13*$H13+$J13</f>
        <v>0</v>
      </c>
      <c r="N13" s="28" t="n">
        <f aca="false">$M13*IF(OR($B13="V",$B13="AC"),'LABOUR RATES'!$E$26,'LABOUR RATES'!$E$11)</f>
        <v>0</v>
      </c>
      <c r="O13" s="28" t="n">
        <f aca="false">$M13*IF(OR($B13="V",$B13="AC"),'LABOUR RATES'!$C$27,'LABOUR RATES'!$C$12)</f>
        <v>0</v>
      </c>
      <c r="P13" s="42" t="n">
        <f aca="false">$L13+$N13+$O13</f>
        <v>0</v>
      </c>
      <c r="Q13" s="43" t="n">
        <f aca="false">IF(OR($B13="",$C13=""),"",IFERROR(SUMIFS('KNOWIFY REVIEW'!$AF$4:$AF$400,'KNOWIFY REVIEW'!$AB$4:$AB$400,$B13,'KNOWIFY REVIEW'!$AC$4:$AC$400,$C13,'KNOWIFY REVIEW'!$AD$4:$AD$400,1)/SUMIFS('KNOWIFY REVIEW'!$AE$4:$AE$400,'KNOWIFY REVIEW'!$AB$4:$AB$400,$B13,'KNOWIFY REVIEW'!$AC$4:$AC$400,$C13,'KNOWIFY REVIEW'!$AD$4:$AD$400,1),""))</f>
        <v>1.349249875</v>
      </c>
      <c r="R13" s="43" t="n">
        <f aca="false">IF(OR($B13="",$C13=""),"",IFERROR(SUMIFS('KNOWIFY REVIEW'!$AH$4:$AH$400,'KNOWIFY REVIEW'!$AB$4:$AB$400,$B13,'KNOWIFY REVIEW'!$AC$4:$AC$400,IF(OR($C13=INPUTS!$B$69,$C13=INPUTS!$B$70),INPUTS!$B$71,$C13),'KNOWIFY REVIEW'!$AD$4:$AD$400,1)/SUMIFS('KNOWIFY REVIEW'!$AG$4:$AG$400,'KNOWIFY REVIEW'!$AB$4:$AB$400,$B13,'KNOWIFY REVIEW'!$AC$4:$AC$400,IF(OR($C13=INPUTS!$B$69,$C13=INPUTS!$B$70),INPUTS!$B$71,$C13),'KNOWIFY REVIEW'!$AD$4:$AD$400,1),""))</f>
        <v>1.29241235</v>
      </c>
      <c r="S13" s="24" t="str">
        <f aca="false">IF(MAX(N($Q13),N($R13))&gt;1.1,"Past job ran over budget","")</f>
        <v>Past job ran over budget</v>
      </c>
    </row>
    <row r="14" customFormat="false" ht="15" hidden="false" customHeight="false" outlineLevel="0" collapsed="false">
      <c r="A14" s="10" t="s">
        <v>251</v>
      </c>
      <c r="B14" s="10" t="s">
        <v>95</v>
      </c>
      <c r="C14" s="10" t="s">
        <v>150</v>
      </c>
      <c r="D14" s="10" t="s">
        <v>252</v>
      </c>
      <c r="E14" s="38"/>
      <c r="F14" s="10" t="s">
        <v>236</v>
      </c>
      <c r="G14" s="39" t="n">
        <v>860</v>
      </c>
      <c r="H14" s="40" t="n">
        <v>5</v>
      </c>
      <c r="I14" s="39"/>
      <c r="J14" s="38"/>
      <c r="K14" s="10" t="s">
        <v>237</v>
      </c>
      <c r="L14" s="28" t="n">
        <f aca="false">($E14*$G14+$I14)*(1+IF($K14="N",0,INPUTS!$C$23))</f>
        <v>0</v>
      </c>
      <c r="M14" s="41" t="n">
        <f aca="false">$E14*$H14+$J14</f>
        <v>0</v>
      </c>
      <c r="N14" s="28" t="n">
        <f aca="false">$M14*IF(OR($B14="V",$B14="AC"),'LABOUR RATES'!$E$26,'LABOUR RATES'!$E$11)</f>
        <v>0</v>
      </c>
      <c r="O14" s="28" t="n">
        <f aca="false">$M14*IF(OR($B14="V",$B14="AC"),'LABOUR RATES'!$C$27,'LABOUR RATES'!$C$12)</f>
        <v>0</v>
      </c>
      <c r="P14" s="42" t="n">
        <f aca="false">$L14+$N14+$O14</f>
        <v>0</v>
      </c>
      <c r="Q14" s="43" t="n">
        <f aca="false">IF(OR($B14="",$C14=""),"",IFERROR(SUMIFS('KNOWIFY REVIEW'!$AF$4:$AF$400,'KNOWIFY REVIEW'!$AB$4:$AB$400,$B14,'KNOWIFY REVIEW'!$AC$4:$AC$400,$C14,'KNOWIFY REVIEW'!$AD$4:$AD$400,1)/SUMIFS('KNOWIFY REVIEW'!$AE$4:$AE$400,'KNOWIFY REVIEW'!$AB$4:$AB$400,$B14,'KNOWIFY REVIEW'!$AC$4:$AC$400,$C14,'KNOWIFY REVIEW'!$AD$4:$AD$400,1),""))</f>
        <v>1.349249875</v>
      </c>
      <c r="R14" s="43" t="n">
        <f aca="false">IF(OR($B14="",$C14=""),"",IFERROR(SUMIFS('KNOWIFY REVIEW'!$AH$4:$AH$400,'KNOWIFY REVIEW'!$AB$4:$AB$400,$B14,'KNOWIFY REVIEW'!$AC$4:$AC$400,IF(OR($C14=INPUTS!$B$69,$C14=INPUTS!$B$70),INPUTS!$B$71,$C14),'KNOWIFY REVIEW'!$AD$4:$AD$400,1)/SUMIFS('KNOWIFY REVIEW'!$AG$4:$AG$400,'KNOWIFY REVIEW'!$AB$4:$AB$400,$B14,'KNOWIFY REVIEW'!$AC$4:$AC$400,IF(OR($C14=INPUTS!$B$69,$C14=INPUTS!$B$70),INPUTS!$B$71,$C14),'KNOWIFY REVIEW'!$AD$4:$AD$400,1),""))</f>
        <v>1.29241235</v>
      </c>
      <c r="S14" s="24" t="str">
        <f aca="false">IF(MAX(N($Q14),N($R14))&gt;1.1,"Past job ran over budget","")</f>
        <v>Past job ran over budget</v>
      </c>
    </row>
    <row r="15" customFormat="false" ht="15" hidden="false" customHeight="false" outlineLevel="0" collapsed="false">
      <c r="A15" s="10" t="s">
        <v>253</v>
      </c>
      <c r="B15" s="10" t="s">
        <v>95</v>
      </c>
      <c r="C15" s="10" t="s">
        <v>150</v>
      </c>
      <c r="D15" s="10" t="s">
        <v>254</v>
      </c>
      <c r="E15" s="38"/>
      <c r="F15" s="10" t="s">
        <v>236</v>
      </c>
      <c r="G15" s="39" t="n">
        <v>860</v>
      </c>
      <c r="H15" s="40" t="n">
        <v>5</v>
      </c>
      <c r="I15" s="39"/>
      <c r="J15" s="38"/>
      <c r="K15" s="10" t="s">
        <v>237</v>
      </c>
      <c r="L15" s="28" t="n">
        <f aca="false">($E15*$G15+$I15)*(1+IF($K15="N",0,INPUTS!$C$23))</f>
        <v>0</v>
      </c>
      <c r="M15" s="41" t="n">
        <f aca="false">$E15*$H15+$J15</f>
        <v>0</v>
      </c>
      <c r="N15" s="28" t="n">
        <f aca="false">$M15*IF(OR($B15="V",$B15="AC"),'LABOUR RATES'!$E$26,'LABOUR RATES'!$E$11)</f>
        <v>0</v>
      </c>
      <c r="O15" s="28" t="n">
        <f aca="false">$M15*IF(OR($B15="V",$B15="AC"),'LABOUR RATES'!$C$27,'LABOUR RATES'!$C$12)</f>
        <v>0</v>
      </c>
      <c r="P15" s="42" t="n">
        <f aca="false">$L15+$N15+$O15</f>
        <v>0</v>
      </c>
      <c r="Q15" s="43" t="n">
        <f aca="false">IF(OR($B15="",$C15=""),"",IFERROR(SUMIFS('KNOWIFY REVIEW'!$AF$4:$AF$400,'KNOWIFY REVIEW'!$AB$4:$AB$400,$B15,'KNOWIFY REVIEW'!$AC$4:$AC$400,$C15,'KNOWIFY REVIEW'!$AD$4:$AD$400,1)/SUMIFS('KNOWIFY REVIEW'!$AE$4:$AE$400,'KNOWIFY REVIEW'!$AB$4:$AB$400,$B15,'KNOWIFY REVIEW'!$AC$4:$AC$400,$C15,'KNOWIFY REVIEW'!$AD$4:$AD$400,1),""))</f>
        <v>1.349249875</v>
      </c>
      <c r="R15" s="43" t="n">
        <f aca="false">IF(OR($B15="",$C15=""),"",IFERROR(SUMIFS('KNOWIFY REVIEW'!$AH$4:$AH$400,'KNOWIFY REVIEW'!$AB$4:$AB$400,$B15,'KNOWIFY REVIEW'!$AC$4:$AC$400,IF(OR($C15=INPUTS!$B$69,$C15=INPUTS!$B$70),INPUTS!$B$71,$C15),'KNOWIFY REVIEW'!$AD$4:$AD$400,1)/SUMIFS('KNOWIFY REVIEW'!$AG$4:$AG$400,'KNOWIFY REVIEW'!$AB$4:$AB$400,$B15,'KNOWIFY REVIEW'!$AC$4:$AC$400,IF(OR($C15=INPUTS!$B$69,$C15=INPUTS!$B$70),INPUTS!$B$71,$C15),'KNOWIFY REVIEW'!$AD$4:$AD$400,1),""))</f>
        <v>1.29241235</v>
      </c>
      <c r="S15" s="24" t="str">
        <f aca="false">IF(MAX(N($Q15),N($R15))&gt;1.1,"Past job ran over budget","")</f>
        <v>Past job ran over budget</v>
      </c>
    </row>
    <row r="16" customFormat="false" ht="15" hidden="false" customHeight="false" outlineLevel="0" collapsed="false">
      <c r="A16" s="10" t="s">
        <v>255</v>
      </c>
      <c r="B16" s="10" t="s">
        <v>95</v>
      </c>
      <c r="C16" s="10" t="s">
        <v>150</v>
      </c>
      <c r="D16" s="10" t="s">
        <v>256</v>
      </c>
      <c r="E16" s="38"/>
      <c r="F16" s="10" t="s">
        <v>236</v>
      </c>
      <c r="G16" s="39" t="n">
        <v>990</v>
      </c>
      <c r="H16" s="40" t="n">
        <v>6</v>
      </c>
      <c r="I16" s="39"/>
      <c r="J16" s="38"/>
      <c r="K16" s="10" t="s">
        <v>237</v>
      </c>
      <c r="L16" s="28" t="n">
        <f aca="false">($E16*$G16+$I16)*(1+IF($K16="N",0,INPUTS!$C$23))</f>
        <v>0</v>
      </c>
      <c r="M16" s="41" t="n">
        <f aca="false">$E16*$H16+$J16</f>
        <v>0</v>
      </c>
      <c r="N16" s="28" t="n">
        <f aca="false">$M16*IF(OR($B16="V",$B16="AC"),'LABOUR RATES'!$E$26,'LABOUR RATES'!$E$11)</f>
        <v>0</v>
      </c>
      <c r="O16" s="28" t="n">
        <f aca="false">$M16*IF(OR($B16="V",$B16="AC"),'LABOUR RATES'!$C$27,'LABOUR RATES'!$C$12)</f>
        <v>0</v>
      </c>
      <c r="P16" s="42" t="n">
        <f aca="false">$L16+$N16+$O16</f>
        <v>0</v>
      </c>
      <c r="Q16" s="43" t="n">
        <f aca="false">IF(OR($B16="",$C16=""),"",IFERROR(SUMIFS('KNOWIFY REVIEW'!$AF$4:$AF$400,'KNOWIFY REVIEW'!$AB$4:$AB$400,$B16,'KNOWIFY REVIEW'!$AC$4:$AC$400,$C16,'KNOWIFY REVIEW'!$AD$4:$AD$400,1)/SUMIFS('KNOWIFY REVIEW'!$AE$4:$AE$400,'KNOWIFY REVIEW'!$AB$4:$AB$400,$B16,'KNOWIFY REVIEW'!$AC$4:$AC$400,$C16,'KNOWIFY REVIEW'!$AD$4:$AD$400,1),""))</f>
        <v>1.349249875</v>
      </c>
      <c r="R16" s="43" t="n">
        <f aca="false">IF(OR($B16="",$C16=""),"",IFERROR(SUMIFS('KNOWIFY REVIEW'!$AH$4:$AH$400,'KNOWIFY REVIEW'!$AB$4:$AB$400,$B16,'KNOWIFY REVIEW'!$AC$4:$AC$400,IF(OR($C16=INPUTS!$B$69,$C16=INPUTS!$B$70),INPUTS!$B$71,$C16),'KNOWIFY REVIEW'!$AD$4:$AD$400,1)/SUMIFS('KNOWIFY REVIEW'!$AG$4:$AG$400,'KNOWIFY REVIEW'!$AB$4:$AB$400,$B16,'KNOWIFY REVIEW'!$AC$4:$AC$400,IF(OR($C16=INPUTS!$B$69,$C16=INPUTS!$B$70),INPUTS!$B$71,$C16),'KNOWIFY REVIEW'!$AD$4:$AD$400,1),""))</f>
        <v>1.29241235</v>
      </c>
      <c r="S16" s="24" t="str">
        <f aca="false">IF(MAX(N($Q16),N($R16))&gt;1.1,"Past job ran over budget","")</f>
        <v>Past job ran over budget</v>
      </c>
    </row>
    <row r="17" customFormat="false" ht="15" hidden="false" customHeight="false" outlineLevel="0" collapsed="false">
      <c r="A17" s="10" t="s">
        <v>257</v>
      </c>
      <c r="B17" s="10" t="s">
        <v>95</v>
      </c>
      <c r="C17" s="10" t="s">
        <v>150</v>
      </c>
      <c r="D17" s="10" t="s">
        <v>258</v>
      </c>
      <c r="E17" s="38"/>
      <c r="F17" s="10" t="s">
        <v>236</v>
      </c>
      <c r="G17" s="39" t="n">
        <v>990</v>
      </c>
      <c r="H17" s="40" t="n">
        <v>6</v>
      </c>
      <c r="I17" s="39"/>
      <c r="J17" s="38"/>
      <c r="K17" s="10" t="s">
        <v>237</v>
      </c>
      <c r="L17" s="28" t="n">
        <f aca="false">($E17*$G17+$I17)*(1+IF($K17="N",0,INPUTS!$C$23))</f>
        <v>0</v>
      </c>
      <c r="M17" s="41" t="n">
        <f aca="false">$E17*$H17+$J17</f>
        <v>0</v>
      </c>
      <c r="N17" s="28" t="n">
        <f aca="false">$M17*IF(OR($B17="V",$B17="AC"),'LABOUR RATES'!$E$26,'LABOUR RATES'!$E$11)</f>
        <v>0</v>
      </c>
      <c r="O17" s="28" t="n">
        <f aca="false">$M17*IF(OR($B17="V",$B17="AC"),'LABOUR RATES'!$C$27,'LABOUR RATES'!$C$12)</f>
        <v>0</v>
      </c>
      <c r="P17" s="42" t="n">
        <f aca="false">$L17+$N17+$O17</f>
        <v>0</v>
      </c>
      <c r="Q17" s="43" t="n">
        <f aca="false">IF(OR($B17="",$C17=""),"",IFERROR(SUMIFS('KNOWIFY REVIEW'!$AF$4:$AF$400,'KNOWIFY REVIEW'!$AB$4:$AB$400,$B17,'KNOWIFY REVIEW'!$AC$4:$AC$400,$C17,'KNOWIFY REVIEW'!$AD$4:$AD$400,1)/SUMIFS('KNOWIFY REVIEW'!$AE$4:$AE$400,'KNOWIFY REVIEW'!$AB$4:$AB$400,$B17,'KNOWIFY REVIEW'!$AC$4:$AC$400,$C17,'KNOWIFY REVIEW'!$AD$4:$AD$400,1),""))</f>
        <v>1.349249875</v>
      </c>
      <c r="R17" s="43" t="n">
        <f aca="false">IF(OR($B17="",$C17=""),"",IFERROR(SUMIFS('KNOWIFY REVIEW'!$AH$4:$AH$400,'KNOWIFY REVIEW'!$AB$4:$AB$400,$B17,'KNOWIFY REVIEW'!$AC$4:$AC$400,IF(OR($C17=INPUTS!$B$69,$C17=INPUTS!$B$70),INPUTS!$B$71,$C17),'KNOWIFY REVIEW'!$AD$4:$AD$400,1)/SUMIFS('KNOWIFY REVIEW'!$AG$4:$AG$400,'KNOWIFY REVIEW'!$AB$4:$AB$400,$B17,'KNOWIFY REVIEW'!$AC$4:$AC$400,IF(OR($C17=INPUTS!$B$69,$C17=INPUTS!$B$70),INPUTS!$B$71,$C17),'KNOWIFY REVIEW'!$AD$4:$AD$400,1),""))</f>
        <v>1.29241235</v>
      </c>
      <c r="S17" s="24" t="str">
        <f aca="false">IF(MAX(N($Q17),N($R17))&gt;1.1,"Past job ran over budget","")</f>
        <v>Past job ran over budget</v>
      </c>
    </row>
    <row r="18" customFormat="false" ht="15" hidden="false" customHeight="false" outlineLevel="0" collapsed="false">
      <c r="A18" s="10" t="s">
        <v>259</v>
      </c>
      <c r="B18" s="10" t="s">
        <v>95</v>
      </c>
      <c r="C18" s="10" t="s">
        <v>150</v>
      </c>
      <c r="D18" s="10" t="s">
        <v>260</v>
      </c>
      <c r="E18" s="38"/>
      <c r="F18" s="10" t="s">
        <v>236</v>
      </c>
      <c r="G18" s="39" t="n">
        <v>1310</v>
      </c>
      <c r="H18" s="40" t="n">
        <v>6</v>
      </c>
      <c r="I18" s="39"/>
      <c r="J18" s="38"/>
      <c r="K18" s="10" t="s">
        <v>237</v>
      </c>
      <c r="L18" s="28" t="n">
        <f aca="false">($E18*$G18+$I18)*(1+IF($K18="N",0,INPUTS!$C$23))</f>
        <v>0</v>
      </c>
      <c r="M18" s="41" t="n">
        <f aca="false">$E18*$H18+$J18</f>
        <v>0</v>
      </c>
      <c r="N18" s="28" t="n">
        <f aca="false">$M18*IF(OR($B18="V",$B18="AC"),'LABOUR RATES'!$E$26,'LABOUR RATES'!$E$11)</f>
        <v>0</v>
      </c>
      <c r="O18" s="28" t="n">
        <f aca="false">$M18*IF(OR($B18="V",$B18="AC"),'LABOUR RATES'!$C$27,'LABOUR RATES'!$C$12)</f>
        <v>0</v>
      </c>
      <c r="P18" s="42" t="n">
        <f aca="false">$L18+$N18+$O18</f>
        <v>0</v>
      </c>
      <c r="Q18" s="43" t="n">
        <f aca="false">IF(OR($B18="",$C18=""),"",IFERROR(SUMIFS('KNOWIFY REVIEW'!$AF$4:$AF$400,'KNOWIFY REVIEW'!$AB$4:$AB$400,$B18,'KNOWIFY REVIEW'!$AC$4:$AC$400,$C18,'KNOWIFY REVIEW'!$AD$4:$AD$400,1)/SUMIFS('KNOWIFY REVIEW'!$AE$4:$AE$400,'KNOWIFY REVIEW'!$AB$4:$AB$400,$B18,'KNOWIFY REVIEW'!$AC$4:$AC$400,$C18,'KNOWIFY REVIEW'!$AD$4:$AD$400,1),""))</f>
        <v>1.349249875</v>
      </c>
      <c r="R18" s="43" t="n">
        <f aca="false">IF(OR($B18="",$C18=""),"",IFERROR(SUMIFS('KNOWIFY REVIEW'!$AH$4:$AH$400,'KNOWIFY REVIEW'!$AB$4:$AB$400,$B18,'KNOWIFY REVIEW'!$AC$4:$AC$400,IF(OR($C18=INPUTS!$B$69,$C18=INPUTS!$B$70),INPUTS!$B$71,$C18),'KNOWIFY REVIEW'!$AD$4:$AD$400,1)/SUMIFS('KNOWIFY REVIEW'!$AG$4:$AG$400,'KNOWIFY REVIEW'!$AB$4:$AB$400,$B18,'KNOWIFY REVIEW'!$AC$4:$AC$400,IF(OR($C18=INPUTS!$B$69,$C18=INPUTS!$B$70),INPUTS!$B$71,$C18),'KNOWIFY REVIEW'!$AD$4:$AD$400,1),""))</f>
        <v>1.29241235</v>
      </c>
      <c r="S18" s="24" t="str">
        <f aca="false">IF(MAX(N($Q18),N($R18))&gt;1.1,"Past job ran over budget","")</f>
        <v>Past job ran over budget</v>
      </c>
    </row>
    <row r="19" customFormat="false" ht="15" hidden="false" customHeight="false" outlineLevel="0" collapsed="false">
      <c r="A19" s="10" t="s">
        <v>261</v>
      </c>
      <c r="B19" s="10" t="s">
        <v>95</v>
      </c>
      <c r="C19" s="10" t="s">
        <v>150</v>
      </c>
      <c r="D19" s="10" t="s">
        <v>262</v>
      </c>
      <c r="E19" s="38"/>
      <c r="F19" s="10" t="s">
        <v>236</v>
      </c>
      <c r="G19" s="39" t="n">
        <v>1460</v>
      </c>
      <c r="H19" s="40" t="n">
        <v>6</v>
      </c>
      <c r="I19" s="39"/>
      <c r="J19" s="38"/>
      <c r="K19" s="10" t="s">
        <v>237</v>
      </c>
      <c r="L19" s="28" t="n">
        <f aca="false">($E19*$G19+$I19)*(1+IF($K19="N",0,INPUTS!$C$23))</f>
        <v>0</v>
      </c>
      <c r="M19" s="41" t="n">
        <f aca="false">$E19*$H19+$J19</f>
        <v>0</v>
      </c>
      <c r="N19" s="28" t="n">
        <f aca="false">$M19*IF(OR($B19="V",$B19="AC"),'LABOUR RATES'!$E$26,'LABOUR RATES'!$E$11)</f>
        <v>0</v>
      </c>
      <c r="O19" s="28" t="n">
        <f aca="false">$M19*IF(OR($B19="V",$B19="AC"),'LABOUR RATES'!$C$27,'LABOUR RATES'!$C$12)</f>
        <v>0</v>
      </c>
      <c r="P19" s="42" t="n">
        <f aca="false">$L19+$N19+$O19</f>
        <v>0</v>
      </c>
      <c r="Q19" s="43" t="n">
        <f aca="false">IF(OR($B19="",$C19=""),"",IFERROR(SUMIFS('KNOWIFY REVIEW'!$AF$4:$AF$400,'KNOWIFY REVIEW'!$AB$4:$AB$400,$B19,'KNOWIFY REVIEW'!$AC$4:$AC$400,$C19,'KNOWIFY REVIEW'!$AD$4:$AD$400,1)/SUMIFS('KNOWIFY REVIEW'!$AE$4:$AE$400,'KNOWIFY REVIEW'!$AB$4:$AB$400,$B19,'KNOWIFY REVIEW'!$AC$4:$AC$400,$C19,'KNOWIFY REVIEW'!$AD$4:$AD$400,1),""))</f>
        <v>1.349249875</v>
      </c>
      <c r="R19" s="43" t="n">
        <f aca="false">IF(OR($B19="",$C19=""),"",IFERROR(SUMIFS('KNOWIFY REVIEW'!$AH$4:$AH$400,'KNOWIFY REVIEW'!$AB$4:$AB$400,$B19,'KNOWIFY REVIEW'!$AC$4:$AC$400,IF(OR($C19=INPUTS!$B$69,$C19=INPUTS!$B$70),INPUTS!$B$71,$C19),'KNOWIFY REVIEW'!$AD$4:$AD$400,1)/SUMIFS('KNOWIFY REVIEW'!$AG$4:$AG$400,'KNOWIFY REVIEW'!$AB$4:$AB$400,$B19,'KNOWIFY REVIEW'!$AC$4:$AC$400,IF(OR($C19=INPUTS!$B$69,$C19=INPUTS!$B$70),INPUTS!$B$71,$C19),'KNOWIFY REVIEW'!$AD$4:$AD$400,1),""))</f>
        <v>1.29241235</v>
      </c>
      <c r="S19" s="24" t="str">
        <f aca="false">IF(MAX(N($Q19),N($R19))&gt;1.1,"Past job ran over budget","")</f>
        <v>Past job ran over budget</v>
      </c>
    </row>
    <row r="20" customFormat="false" ht="15" hidden="false" customHeight="false" outlineLevel="0" collapsed="false">
      <c r="A20" s="10" t="s">
        <v>263</v>
      </c>
      <c r="B20" s="10" t="s">
        <v>95</v>
      </c>
      <c r="C20" s="10" t="s">
        <v>150</v>
      </c>
      <c r="D20" s="10" t="s">
        <v>264</v>
      </c>
      <c r="E20" s="38"/>
      <c r="F20" s="10" t="s">
        <v>236</v>
      </c>
      <c r="G20" s="39" t="n">
        <v>280</v>
      </c>
      <c r="H20" s="40" t="n">
        <v>2</v>
      </c>
      <c r="I20" s="39"/>
      <c r="J20" s="38"/>
      <c r="K20" s="10" t="s">
        <v>237</v>
      </c>
      <c r="L20" s="28" t="n">
        <f aca="false">($E20*$G20+$I20)*(1+IF($K20="N",0,INPUTS!$C$23))</f>
        <v>0</v>
      </c>
      <c r="M20" s="41" t="n">
        <f aca="false">$E20*$H20+$J20</f>
        <v>0</v>
      </c>
      <c r="N20" s="28" t="n">
        <f aca="false">$M20*IF(OR($B20="V",$B20="AC"),'LABOUR RATES'!$E$26,'LABOUR RATES'!$E$11)</f>
        <v>0</v>
      </c>
      <c r="O20" s="28" t="n">
        <f aca="false">$M20*IF(OR($B20="V",$B20="AC"),'LABOUR RATES'!$C$27,'LABOUR RATES'!$C$12)</f>
        <v>0</v>
      </c>
      <c r="P20" s="42" t="n">
        <f aca="false">$L20+$N20+$O20</f>
        <v>0</v>
      </c>
      <c r="Q20" s="43" t="n">
        <f aca="false">IF(OR($B20="",$C20=""),"",IFERROR(SUMIFS('KNOWIFY REVIEW'!$AF$4:$AF$400,'KNOWIFY REVIEW'!$AB$4:$AB$400,$B20,'KNOWIFY REVIEW'!$AC$4:$AC$400,$C20,'KNOWIFY REVIEW'!$AD$4:$AD$400,1)/SUMIFS('KNOWIFY REVIEW'!$AE$4:$AE$400,'KNOWIFY REVIEW'!$AB$4:$AB$400,$B20,'KNOWIFY REVIEW'!$AC$4:$AC$400,$C20,'KNOWIFY REVIEW'!$AD$4:$AD$400,1),""))</f>
        <v>1.349249875</v>
      </c>
      <c r="R20" s="43" t="n">
        <f aca="false">IF(OR($B20="",$C20=""),"",IFERROR(SUMIFS('KNOWIFY REVIEW'!$AH$4:$AH$400,'KNOWIFY REVIEW'!$AB$4:$AB$400,$B20,'KNOWIFY REVIEW'!$AC$4:$AC$400,IF(OR($C20=INPUTS!$B$69,$C20=INPUTS!$B$70),INPUTS!$B$71,$C20),'KNOWIFY REVIEW'!$AD$4:$AD$400,1)/SUMIFS('KNOWIFY REVIEW'!$AG$4:$AG$400,'KNOWIFY REVIEW'!$AB$4:$AB$400,$B20,'KNOWIFY REVIEW'!$AC$4:$AC$400,IF(OR($C20=INPUTS!$B$69,$C20=INPUTS!$B$70),INPUTS!$B$71,$C20),'KNOWIFY REVIEW'!$AD$4:$AD$400,1),""))</f>
        <v>1.29241235</v>
      </c>
      <c r="S20" s="24" t="str">
        <f aca="false">IF(MAX(N($Q20),N($R20))&gt;1.1,"Past job ran over budget","")</f>
        <v>Past job ran over budget</v>
      </c>
    </row>
    <row r="21" customFormat="false" ht="15" hidden="false" customHeight="false" outlineLevel="0" collapsed="false">
      <c r="A21" s="10" t="s">
        <v>265</v>
      </c>
      <c r="B21" s="10" t="s">
        <v>95</v>
      </c>
      <c r="C21" s="10" t="s">
        <v>150</v>
      </c>
      <c r="D21" s="10" t="s">
        <v>266</v>
      </c>
      <c r="E21" s="38"/>
      <c r="F21" s="10" t="s">
        <v>236</v>
      </c>
      <c r="G21" s="39" t="n">
        <v>240</v>
      </c>
      <c r="H21" s="40" t="n">
        <v>2</v>
      </c>
      <c r="I21" s="39"/>
      <c r="J21" s="38"/>
      <c r="K21" s="10" t="s">
        <v>237</v>
      </c>
      <c r="L21" s="28" t="n">
        <f aca="false">($E21*$G21+$I21)*(1+IF($K21="N",0,INPUTS!$C$23))</f>
        <v>0</v>
      </c>
      <c r="M21" s="41" t="n">
        <f aca="false">$E21*$H21+$J21</f>
        <v>0</v>
      </c>
      <c r="N21" s="28" t="n">
        <f aca="false">$M21*IF(OR($B21="V",$B21="AC"),'LABOUR RATES'!$E$26,'LABOUR RATES'!$E$11)</f>
        <v>0</v>
      </c>
      <c r="O21" s="28" t="n">
        <f aca="false">$M21*IF(OR($B21="V",$B21="AC"),'LABOUR RATES'!$C$27,'LABOUR RATES'!$C$12)</f>
        <v>0</v>
      </c>
      <c r="P21" s="42" t="n">
        <f aca="false">$L21+$N21+$O21</f>
        <v>0</v>
      </c>
      <c r="Q21" s="43" t="n">
        <f aca="false">IF(OR($B21="",$C21=""),"",IFERROR(SUMIFS('KNOWIFY REVIEW'!$AF$4:$AF$400,'KNOWIFY REVIEW'!$AB$4:$AB$400,$B21,'KNOWIFY REVIEW'!$AC$4:$AC$400,$C21,'KNOWIFY REVIEW'!$AD$4:$AD$400,1)/SUMIFS('KNOWIFY REVIEW'!$AE$4:$AE$400,'KNOWIFY REVIEW'!$AB$4:$AB$400,$B21,'KNOWIFY REVIEW'!$AC$4:$AC$400,$C21,'KNOWIFY REVIEW'!$AD$4:$AD$400,1),""))</f>
        <v>1.349249875</v>
      </c>
      <c r="R21" s="43" t="n">
        <f aca="false">IF(OR($B21="",$C21=""),"",IFERROR(SUMIFS('KNOWIFY REVIEW'!$AH$4:$AH$400,'KNOWIFY REVIEW'!$AB$4:$AB$400,$B21,'KNOWIFY REVIEW'!$AC$4:$AC$400,IF(OR($C21=INPUTS!$B$69,$C21=INPUTS!$B$70),INPUTS!$B$71,$C21),'KNOWIFY REVIEW'!$AD$4:$AD$400,1)/SUMIFS('KNOWIFY REVIEW'!$AG$4:$AG$400,'KNOWIFY REVIEW'!$AB$4:$AB$400,$B21,'KNOWIFY REVIEW'!$AC$4:$AC$400,IF(OR($C21=INPUTS!$B$69,$C21=INPUTS!$B$70),INPUTS!$B$71,$C21),'KNOWIFY REVIEW'!$AD$4:$AD$400,1),""))</f>
        <v>1.29241235</v>
      </c>
      <c r="S21" s="24" t="str">
        <f aca="false">IF(MAX(N($Q21),N($R21))&gt;1.1,"Past job ran over budget","")</f>
        <v>Past job ran over budget</v>
      </c>
    </row>
    <row r="22" customFormat="false" ht="15" hidden="false" customHeight="false" outlineLevel="0" collapsed="false">
      <c r="A22" s="10" t="s">
        <v>267</v>
      </c>
      <c r="B22" s="10" t="s">
        <v>95</v>
      </c>
      <c r="C22" s="10" t="s">
        <v>150</v>
      </c>
      <c r="D22" s="10" t="s">
        <v>268</v>
      </c>
      <c r="E22" s="38"/>
      <c r="F22" s="10" t="s">
        <v>236</v>
      </c>
      <c r="G22" s="39" t="n">
        <v>250</v>
      </c>
      <c r="H22" s="40" t="n">
        <v>2</v>
      </c>
      <c r="I22" s="39"/>
      <c r="J22" s="38"/>
      <c r="K22" s="10" t="s">
        <v>237</v>
      </c>
      <c r="L22" s="28" t="n">
        <f aca="false">($E22*$G22+$I22)*(1+IF($K22="N",0,INPUTS!$C$23))</f>
        <v>0</v>
      </c>
      <c r="M22" s="41" t="n">
        <f aca="false">$E22*$H22+$J22</f>
        <v>0</v>
      </c>
      <c r="N22" s="28" t="n">
        <f aca="false">$M22*IF(OR($B22="V",$B22="AC"),'LABOUR RATES'!$E$26,'LABOUR RATES'!$E$11)</f>
        <v>0</v>
      </c>
      <c r="O22" s="28" t="n">
        <f aca="false">$M22*IF(OR($B22="V",$B22="AC"),'LABOUR RATES'!$C$27,'LABOUR RATES'!$C$12)</f>
        <v>0</v>
      </c>
      <c r="P22" s="42" t="n">
        <f aca="false">$L22+$N22+$O22</f>
        <v>0</v>
      </c>
      <c r="Q22" s="43" t="n">
        <f aca="false">IF(OR($B22="",$C22=""),"",IFERROR(SUMIFS('KNOWIFY REVIEW'!$AF$4:$AF$400,'KNOWIFY REVIEW'!$AB$4:$AB$400,$B22,'KNOWIFY REVIEW'!$AC$4:$AC$400,$C22,'KNOWIFY REVIEW'!$AD$4:$AD$400,1)/SUMIFS('KNOWIFY REVIEW'!$AE$4:$AE$400,'KNOWIFY REVIEW'!$AB$4:$AB$400,$B22,'KNOWIFY REVIEW'!$AC$4:$AC$400,$C22,'KNOWIFY REVIEW'!$AD$4:$AD$400,1),""))</f>
        <v>1.349249875</v>
      </c>
      <c r="R22" s="43" t="n">
        <f aca="false">IF(OR($B22="",$C22=""),"",IFERROR(SUMIFS('KNOWIFY REVIEW'!$AH$4:$AH$400,'KNOWIFY REVIEW'!$AB$4:$AB$400,$B22,'KNOWIFY REVIEW'!$AC$4:$AC$400,IF(OR($C22=INPUTS!$B$69,$C22=INPUTS!$B$70),INPUTS!$B$71,$C22),'KNOWIFY REVIEW'!$AD$4:$AD$400,1)/SUMIFS('KNOWIFY REVIEW'!$AG$4:$AG$400,'KNOWIFY REVIEW'!$AB$4:$AB$400,$B22,'KNOWIFY REVIEW'!$AC$4:$AC$400,IF(OR($C22=INPUTS!$B$69,$C22=INPUTS!$B$70),INPUTS!$B$71,$C22),'KNOWIFY REVIEW'!$AD$4:$AD$400,1),""))</f>
        <v>1.29241235</v>
      </c>
      <c r="S22" s="24" t="str">
        <f aca="false">IF(MAX(N($Q22),N($R22))&gt;1.1,"Past job ran over budget","")</f>
        <v>Past job ran over budget</v>
      </c>
    </row>
    <row r="23" customFormat="false" ht="15" hidden="false" customHeight="false" outlineLevel="0" collapsed="false">
      <c r="A23" s="10" t="s">
        <v>269</v>
      </c>
      <c r="B23" s="10" t="s">
        <v>95</v>
      </c>
      <c r="C23" s="10" t="s">
        <v>150</v>
      </c>
      <c r="D23" s="10" t="s">
        <v>270</v>
      </c>
      <c r="E23" s="38"/>
      <c r="F23" s="10" t="s">
        <v>240</v>
      </c>
      <c r="G23" s="39"/>
      <c r="H23" s="40"/>
      <c r="I23" s="39"/>
      <c r="J23" s="38"/>
      <c r="K23" s="10" t="s">
        <v>237</v>
      </c>
      <c r="L23" s="28" t="n">
        <f aca="false">($E23*$G23+$I23)*(1+IF($K23="N",0,INPUTS!$C$23))</f>
        <v>0</v>
      </c>
      <c r="M23" s="41" t="n">
        <f aca="false">$E23*$H23+$J23</f>
        <v>0</v>
      </c>
      <c r="N23" s="28" t="n">
        <f aca="false">$M23*IF(OR($B23="V",$B23="AC"),'LABOUR RATES'!$E$26,'LABOUR RATES'!$E$11)</f>
        <v>0</v>
      </c>
      <c r="O23" s="28" t="n">
        <f aca="false">$M23*IF(OR($B23="V",$B23="AC"),'LABOUR RATES'!$C$27,'LABOUR RATES'!$C$12)</f>
        <v>0</v>
      </c>
      <c r="P23" s="42" t="n">
        <f aca="false">$L23+$N23+$O23</f>
        <v>0</v>
      </c>
      <c r="Q23" s="43" t="n">
        <f aca="false">IF(OR($B23="",$C23=""),"",IFERROR(SUMIFS('KNOWIFY REVIEW'!$AF$4:$AF$400,'KNOWIFY REVIEW'!$AB$4:$AB$400,$B23,'KNOWIFY REVIEW'!$AC$4:$AC$400,$C23,'KNOWIFY REVIEW'!$AD$4:$AD$400,1)/SUMIFS('KNOWIFY REVIEW'!$AE$4:$AE$400,'KNOWIFY REVIEW'!$AB$4:$AB$400,$B23,'KNOWIFY REVIEW'!$AC$4:$AC$400,$C23,'KNOWIFY REVIEW'!$AD$4:$AD$400,1),""))</f>
        <v>1.349249875</v>
      </c>
      <c r="R23" s="43" t="n">
        <f aca="false">IF(OR($B23="",$C23=""),"",IFERROR(SUMIFS('KNOWIFY REVIEW'!$AH$4:$AH$400,'KNOWIFY REVIEW'!$AB$4:$AB$400,$B23,'KNOWIFY REVIEW'!$AC$4:$AC$400,IF(OR($C23=INPUTS!$B$69,$C23=INPUTS!$B$70),INPUTS!$B$71,$C23),'KNOWIFY REVIEW'!$AD$4:$AD$400,1)/SUMIFS('KNOWIFY REVIEW'!$AG$4:$AG$400,'KNOWIFY REVIEW'!$AB$4:$AB$400,$B23,'KNOWIFY REVIEW'!$AC$4:$AC$400,IF(OR($C23=INPUTS!$B$69,$C23=INPUTS!$B$70),INPUTS!$B$71,$C23),'KNOWIFY REVIEW'!$AD$4:$AD$400,1),""))</f>
        <v>1.29241235</v>
      </c>
      <c r="S23" s="24" t="str">
        <f aca="false">IF(MAX(N($Q23),N($R23))&gt;1.1,"Past job ran over budget","")</f>
        <v>Past job ran over budget</v>
      </c>
    </row>
    <row r="24" customFormat="false" ht="15" hidden="false" customHeight="false" outlineLevel="0" collapsed="false">
      <c r="A24" s="10" t="s">
        <v>271</v>
      </c>
      <c r="B24" s="10" t="s">
        <v>95</v>
      </c>
      <c r="C24" s="10" t="s">
        <v>150</v>
      </c>
      <c r="D24" s="10" t="s">
        <v>272</v>
      </c>
      <c r="E24" s="44" t="n">
        <v>123</v>
      </c>
      <c r="F24" s="10" t="s">
        <v>273</v>
      </c>
      <c r="G24" s="26" t="n">
        <v>800</v>
      </c>
      <c r="H24" s="45" t="n">
        <v>12</v>
      </c>
      <c r="I24" s="39"/>
      <c r="J24" s="38"/>
      <c r="K24" s="10" t="s">
        <v>237</v>
      </c>
      <c r="L24" s="28" t="n">
        <f aca="false">($E24*$G24+$I24)*(1+IF($K24="N",0,INPUTS!$C$23))</f>
        <v>105288</v>
      </c>
      <c r="M24" s="41" t="n">
        <f aca="false">$E24*$H24+$J24</f>
        <v>1476</v>
      </c>
      <c r="N24" s="28" t="n">
        <f aca="false">$M24*IF(OR($B24="V",$B24="AC"),'LABOUR RATES'!$E$26,'LABOUR RATES'!$E$11)</f>
        <v>95563.62</v>
      </c>
      <c r="O24" s="28" t="n">
        <f aca="false">$M24*IF(OR($B24="V",$B24="AC"),'LABOUR RATES'!$C$27,'LABOUR RATES'!$C$12)</f>
        <v>32472</v>
      </c>
      <c r="P24" s="42" t="n">
        <f aca="false">$L24+$N24+$O24</f>
        <v>233323.62</v>
      </c>
      <c r="Q24" s="43" t="n">
        <f aca="false">IF(OR($B24="",$C24=""),"",IFERROR(SUMIFS('KNOWIFY REVIEW'!$AF$4:$AF$400,'KNOWIFY REVIEW'!$AB$4:$AB$400,$B24,'KNOWIFY REVIEW'!$AC$4:$AC$400,$C24,'KNOWIFY REVIEW'!$AD$4:$AD$400,1)/SUMIFS('KNOWIFY REVIEW'!$AE$4:$AE$400,'KNOWIFY REVIEW'!$AB$4:$AB$400,$B24,'KNOWIFY REVIEW'!$AC$4:$AC$400,$C24,'KNOWIFY REVIEW'!$AD$4:$AD$400,1),""))</f>
        <v>1.349249875</v>
      </c>
      <c r="R24" s="43" t="n">
        <f aca="false">IF(OR($B24="",$C24=""),"",IFERROR(SUMIFS('KNOWIFY REVIEW'!$AH$4:$AH$400,'KNOWIFY REVIEW'!$AB$4:$AB$400,$B24,'KNOWIFY REVIEW'!$AC$4:$AC$400,IF(OR($C24=INPUTS!$B$69,$C24=INPUTS!$B$70),INPUTS!$B$71,$C24),'KNOWIFY REVIEW'!$AD$4:$AD$400,1)/SUMIFS('KNOWIFY REVIEW'!$AG$4:$AG$400,'KNOWIFY REVIEW'!$AB$4:$AB$400,$B24,'KNOWIFY REVIEW'!$AC$4:$AC$400,IF(OR($C24=INPUTS!$B$69,$C24=INPUTS!$B$70),INPUTS!$B$71,$C24),'KNOWIFY REVIEW'!$AD$4:$AD$400,1),""))</f>
        <v>1.29241235</v>
      </c>
      <c r="S24" s="24" t="str">
        <f aca="false">IF(MAX(N($Q24),N($R24))&gt;1.1,"Past job ran over budget","")</f>
        <v>Past job ran over budget</v>
      </c>
    </row>
    <row r="25" customFormat="false" ht="15" hidden="false" customHeight="false" outlineLevel="0" collapsed="false">
      <c r="A25" s="10" t="s">
        <v>274</v>
      </c>
      <c r="B25" s="10" t="s">
        <v>95</v>
      </c>
      <c r="C25" s="10" t="s">
        <v>150</v>
      </c>
      <c r="D25" s="10" t="s">
        <v>275</v>
      </c>
      <c r="E25" s="38"/>
      <c r="F25" s="10" t="s">
        <v>276</v>
      </c>
      <c r="G25" s="39"/>
      <c r="H25" s="40"/>
      <c r="I25" s="39"/>
      <c r="J25" s="38"/>
      <c r="K25" s="10" t="s">
        <v>237</v>
      </c>
      <c r="L25" s="28" t="n">
        <f aca="false">($E25*$G25+$I25)*(1+IF($K25="N",0,INPUTS!$C$23))</f>
        <v>0</v>
      </c>
      <c r="M25" s="41" t="n">
        <f aca="false">$E25*$H25+$J25</f>
        <v>0</v>
      </c>
      <c r="N25" s="28" t="n">
        <f aca="false">$M25*IF(OR($B25="V",$B25="AC"),'LABOUR RATES'!$E$26,'LABOUR RATES'!$E$11)</f>
        <v>0</v>
      </c>
      <c r="O25" s="28" t="n">
        <f aca="false">$M25*IF(OR($B25="V",$B25="AC"),'LABOUR RATES'!$C$27,'LABOUR RATES'!$C$12)</f>
        <v>0</v>
      </c>
      <c r="P25" s="42" t="n">
        <f aca="false">$L25+$N25+$O25</f>
        <v>0</v>
      </c>
      <c r="Q25" s="43" t="n">
        <f aca="false">IF(OR($B25="",$C25=""),"",IFERROR(SUMIFS('KNOWIFY REVIEW'!$AF$4:$AF$400,'KNOWIFY REVIEW'!$AB$4:$AB$400,$B25,'KNOWIFY REVIEW'!$AC$4:$AC$400,$C25,'KNOWIFY REVIEW'!$AD$4:$AD$400,1)/SUMIFS('KNOWIFY REVIEW'!$AE$4:$AE$400,'KNOWIFY REVIEW'!$AB$4:$AB$400,$B25,'KNOWIFY REVIEW'!$AC$4:$AC$400,$C25,'KNOWIFY REVIEW'!$AD$4:$AD$400,1),""))</f>
        <v>1.349249875</v>
      </c>
      <c r="R25" s="43" t="n">
        <f aca="false">IF(OR($B25="",$C25=""),"",IFERROR(SUMIFS('KNOWIFY REVIEW'!$AH$4:$AH$400,'KNOWIFY REVIEW'!$AB$4:$AB$400,$B25,'KNOWIFY REVIEW'!$AC$4:$AC$400,IF(OR($C25=INPUTS!$B$69,$C25=INPUTS!$B$70),INPUTS!$B$71,$C25),'KNOWIFY REVIEW'!$AD$4:$AD$400,1)/SUMIFS('KNOWIFY REVIEW'!$AG$4:$AG$400,'KNOWIFY REVIEW'!$AB$4:$AB$400,$B25,'KNOWIFY REVIEW'!$AC$4:$AC$400,IF(OR($C25=INPUTS!$B$69,$C25=INPUTS!$B$70),INPUTS!$B$71,$C25),'KNOWIFY REVIEW'!$AD$4:$AD$400,1),""))</f>
        <v>1.29241235</v>
      </c>
      <c r="S25" s="24" t="str">
        <f aca="false">IF(MAX(N($Q25),N($R25))&gt;1.1,"Past job ran over budget","")</f>
        <v>Past job ran over budget</v>
      </c>
    </row>
    <row r="26" customFormat="false" ht="15" hidden="false" customHeight="false" outlineLevel="0" collapsed="false">
      <c r="A26" s="10" t="s">
        <v>277</v>
      </c>
      <c r="B26" s="10" t="s">
        <v>95</v>
      </c>
      <c r="C26" s="10" t="s">
        <v>150</v>
      </c>
      <c r="D26" s="10" t="s">
        <v>278</v>
      </c>
      <c r="E26" s="38"/>
      <c r="F26" s="10" t="s">
        <v>276</v>
      </c>
      <c r="G26" s="39"/>
      <c r="H26" s="40"/>
      <c r="I26" s="39"/>
      <c r="J26" s="38"/>
      <c r="K26" s="10" t="s">
        <v>237</v>
      </c>
      <c r="L26" s="28" t="n">
        <f aca="false">($E26*$G26+$I26)*(1+IF($K26="N",0,INPUTS!$C$23))</f>
        <v>0</v>
      </c>
      <c r="M26" s="41" t="n">
        <f aca="false">$E26*$H26+$J26</f>
        <v>0</v>
      </c>
      <c r="N26" s="28" t="n">
        <f aca="false">$M26*IF(OR($B26="V",$B26="AC"),'LABOUR RATES'!$E$26,'LABOUR RATES'!$E$11)</f>
        <v>0</v>
      </c>
      <c r="O26" s="28" t="n">
        <f aca="false">$M26*IF(OR($B26="V",$B26="AC"),'LABOUR RATES'!$C$27,'LABOUR RATES'!$C$12)</f>
        <v>0</v>
      </c>
      <c r="P26" s="42" t="n">
        <f aca="false">$L26+$N26+$O26</f>
        <v>0</v>
      </c>
      <c r="Q26" s="43" t="n">
        <f aca="false">IF(OR($B26="",$C26=""),"",IFERROR(SUMIFS('KNOWIFY REVIEW'!$AF$4:$AF$400,'KNOWIFY REVIEW'!$AB$4:$AB$400,$B26,'KNOWIFY REVIEW'!$AC$4:$AC$400,$C26,'KNOWIFY REVIEW'!$AD$4:$AD$400,1)/SUMIFS('KNOWIFY REVIEW'!$AE$4:$AE$400,'KNOWIFY REVIEW'!$AB$4:$AB$400,$B26,'KNOWIFY REVIEW'!$AC$4:$AC$400,$C26,'KNOWIFY REVIEW'!$AD$4:$AD$400,1),""))</f>
        <v>1.349249875</v>
      </c>
      <c r="R26" s="43" t="n">
        <f aca="false">IF(OR($B26="",$C26=""),"",IFERROR(SUMIFS('KNOWIFY REVIEW'!$AH$4:$AH$400,'KNOWIFY REVIEW'!$AB$4:$AB$400,$B26,'KNOWIFY REVIEW'!$AC$4:$AC$400,IF(OR($C26=INPUTS!$B$69,$C26=INPUTS!$B$70),INPUTS!$B$71,$C26),'KNOWIFY REVIEW'!$AD$4:$AD$400,1)/SUMIFS('KNOWIFY REVIEW'!$AG$4:$AG$400,'KNOWIFY REVIEW'!$AB$4:$AB$400,$B26,'KNOWIFY REVIEW'!$AC$4:$AC$400,IF(OR($C26=INPUTS!$B$69,$C26=INPUTS!$B$70),INPUTS!$B$71,$C26),'KNOWIFY REVIEW'!$AD$4:$AD$400,1),""))</f>
        <v>1.29241235</v>
      </c>
      <c r="S26" s="24" t="str">
        <f aca="false">IF(MAX(N($Q26),N($R26))&gt;1.1,"Past job ran over budget","")</f>
        <v>Past job ran over budget</v>
      </c>
    </row>
    <row r="27" customFormat="false" ht="15" hidden="false" customHeight="false" outlineLevel="0" collapsed="false">
      <c r="A27" s="10" t="s">
        <v>279</v>
      </c>
      <c r="B27" s="10" t="s">
        <v>95</v>
      </c>
      <c r="C27" s="10" t="s">
        <v>150</v>
      </c>
      <c r="D27" s="10" t="s">
        <v>280</v>
      </c>
      <c r="E27" s="38"/>
      <c r="F27" s="10" t="s">
        <v>276</v>
      </c>
      <c r="G27" s="39"/>
      <c r="H27" s="40"/>
      <c r="I27" s="39"/>
      <c r="J27" s="38"/>
      <c r="K27" s="10" t="s">
        <v>237</v>
      </c>
      <c r="L27" s="28" t="n">
        <f aca="false">($E27*$G27+$I27)*(1+IF($K27="N",0,INPUTS!$C$23))</f>
        <v>0</v>
      </c>
      <c r="M27" s="41" t="n">
        <f aca="false">$E27*$H27+$J27</f>
        <v>0</v>
      </c>
      <c r="N27" s="28" t="n">
        <f aca="false">$M27*IF(OR($B27="V",$B27="AC"),'LABOUR RATES'!$E$26,'LABOUR RATES'!$E$11)</f>
        <v>0</v>
      </c>
      <c r="O27" s="28" t="n">
        <f aca="false">$M27*IF(OR($B27="V",$B27="AC"),'LABOUR RATES'!$C$27,'LABOUR RATES'!$C$12)</f>
        <v>0</v>
      </c>
      <c r="P27" s="42" t="n">
        <f aca="false">$L27+$N27+$O27</f>
        <v>0</v>
      </c>
      <c r="Q27" s="43" t="n">
        <f aca="false">IF(OR($B27="",$C27=""),"",IFERROR(SUMIFS('KNOWIFY REVIEW'!$AF$4:$AF$400,'KNOWIFY REVIEW'!$AB$4:$AB$400,$B27,'KNOWIFY REVIEW'!$AC$4:$AC$400,$C27,'KNOWIFY REVIEW'!$AD$4:$AD$400,1)/SUMIFS('KNOWIFY REVIEW'!$AE$4:$AE$400,'KNOWIFY REVIEW'!$AB$4:$AB$400,$B27,'KNOWIFY REVIEW'!$AC$4:$AC$400,$C27,'KNOWIFY REVIEW'!$AD$4:$AD$400,1),""))</f>
        <v>1.349249875</v>
      </c>
      <c r="R27" s="43" t="n">
        <f aca="false">IF(OR($B27="",$C27=""),"",IFERROR(SUMIFS('KNOWIFY REVIEW'!$AH$4:$AH$400,'KNOWIFY REVIEW'!$AB$4:$AB$400,$B27,'KNOWIFY REVIEW'!$AC$4:$AC$400,IF(OR($C27=INPUTS!$B$69,$C27=INPUTS!$B$70),INPUTS!$B$71,$C27),'KNOWIFY REVIEW'!$AD$4:$AD$400,1)/SUMIFS('KNOWIFY REVIEW'!$AG$4:$AG$400,'KNOWIFY REVIEW'!$AB$4:$AB$400,$B27,'KNOWIFY REVIEW'!$AC$4:$AC$400,IF(OR($C27=INPUTS!$B$69,$C27=INPUTS!$B$70),INPUTS!$B$71,$C27),'KNOWIFY REVIEW'!$AD$4:$AD$400,1),""))</f>
        <v>1.29241235</v>
      </c>
      <c r="S27" s="24" t="str">
        <f aca="false">IF(MAX(N($Q27),N($R27))&gt;1.1,"Past job ran over budget","")</f>
        <v>Past job ran over budget</v>
      </c>
    </row>
    <row r="28" customFormat="false" ht="15" hidden="false" customHeight="false" outlineLevel="0" collapsed="false">
      <c r="A28" s="10" t="s">
        <v>281</v>
      </c>
      <c r="B28" s="10" t="s">
        <v>95</v>
      </c>
      <c r="C28" s="10" t="s">
        <v>150</v>
      </c>
      <c r="D28" s="10" t="s">
        <v>282</v>
      </c>
      <c r="E28" s="38"/>
      <c r="F28" s="10" t="s">
        <v>236</v>
      </c>
      <c r="G28" s="39"/>
      <c r="H28" s="40"/>
      <c r="I28" s="39"/>
      <c r="J28" s="38"/>
      <c r="K28" s="10" t="s">
        <v>237</v>
      </c>
      <c r="L28" s="28" t="n">
        <f aca="false">($E28*$G28+$I28)*(1+IF($K28="N",0,INPUTS!$C$23))</f>
        <v>0</v>
      </c>
      <c r="M28" s="41" t="n">
        <f aca="false">$E28*$H28+$J28</f>
        <v>0</v>
      </c>
      <c r="N28" s="28" t="n">
        <f aca="false">$M28*IF(OR($B28="V",$B28="AC"),'LABOUR RATES'!$E$26,'LABOUR RATES'!$E$11)</f>
        <v>0</v>
      </c>
      <c r="O28" s="28" t="n">
        <f aca="false">$M28*IF(OR($B28="V",$B28="AC"),'LABOUR RATES'!$C$27,'LABOUR RATES'!$C$12)</f>
        <v>0</v>
      </c>
      <c r="P28" s="42" t="n">
        <f aca="false">$L28+$N28+$O28</f>
        <v>0</v>
      </c>
      <c r="Q28" s="43" t="n">
        <f aca="false">IF(OR($B28="",$C28=""),"",IFERROR(SUMIFS('KNOWIFY REVIEW'!$AF$4:$AF$400,'KNOWIFY REVIEW'!$AB$4:$AB$400,$B28,'KNOWIFY REVIEW'!$AC$4:$AC$400,$C28,'KNOWIFY REVIEW'!$AD$4:$AD$400,1)/SUMIFS('KNOWIFY REVIEW'!$AE$4:$AE$400,'KNOWIFY REVIEW'!$AB$4:$AB$400,$B28,'KNOWIFY REVIEW'!$AC$4:$AC$400,$C28,'KNOWIFY REVIEW'!$AD$4:$AD$400,1),""))</f>
        <v>1.349249875</v>
      </c>
      <c r="R28" s="43" t="n">
        <f aca="false">IF(OR($B28="",$C28=""),"",IFERROR(SUMIFS('KNOWIFY REVIEW'!$AH$4:$AH$400,'KNOWIFY REVIEW'!$AB$4:$AB$400,$B28,'KNOWIFY REVIEW'!$AC$4:$AC$400,IF(OR($C28=INPUTS!$B$69,$C28=INPUTS!$B$70),INPUTS!$B$71,$C28),'KNOWIFY REVIEW'!$AD$4:$AD$400,1)/SUMIFS('KNOWIFY REVIEW'!$AG$4:$AG$400,'KNOWIFY REVIEW'!$AB$4:$AB$400,$B28,'KNOWIFY REVIEW'!$AC$4:$AC$400,IF(OR($C28=INPUTS!$B$69,$C28=INPUTS!$B$70),INPUTS!$B$71,$C28),'KNOWIFY REVIEW'!$AD$4:$AD$400,1),""))</f>
        <v>1.29241235</v>
      </c>
      <c r="S28" s="24" t="str">
        <f aca="false">IF(MAX(N($Q28),N($R28))&gt;1.1,"Past job ran over budget","")</f>
        <v>Past job ran over budget</v>
      </c>
    </row>
    <row r="29" customFormat="false" ht="15" hidden="false" customHeight="false" outlineLevel="0" collapsed="false">
      <c r="A29" s="10" t="s">
        <v>283</v>
      </c>
      <c r="B29" s="10" t="s">
        <v>95</v>
      </c>
      <c r="C29" s="10" t="s">
        <v>150</v>
      </c>
      <c r="D29" s="10" t="s">
        <v>284</v>
      </c>
      <c r="E29" s="38"/>
      <c r="F29" s="10" t="s">
        <v>276</v>
      </c>
      <c r="G29" s="39"/>
      <c r="H29" s="40"/>
      <c r="I29" s="39"/>
      <c r="J29" s="38"/>
      <c r="K29" s="10" t="s">
        <v>237</v>
      </c>
      <c r="L29" s="28" t="n">
        <f aca="false">($E29*$G29+$I29)*(1+IF($K29="N",0,INPUTS!$C$23))</f>
        <v>0</v>
      </c>
      <c r="M29" s="41" t="n">
        <f aca="false">$E29*$H29+$J29</f>
        <v>0</v>
      </c>
      <c r="N29" s="28" t="n">
        <f aca="false">$M29*IF(OR($B29="V",$B29="AC"),'LABOUR RATES'!$E$26,'LABOUR RATES'!$E$11)</f>
        <v>0</v>
      </c>
      <c r="O29" s="28" t="n">
        <f aca="false">$M29*IF(OR($B29="V",$B29="AC"),'LABOUR RATES'!$C$27,'LABOUR RATES'!$C$12)</f>
        <v>0</v>
      </c>
      <c r="P29" s="42" t="n">
        <f aca="false">$L29+$N29+$O29</f>
        <v>0</v>
      </c>
      <c r="Q29" s="43" t="n">
        <f aca="false">IF(OR($B29="",$C29=""),"",IFERROR(SUMIFS('KNOWIFY REVIEW'!$AF$4:$AF$400,'KNOWIFY REVIEW'!$AB$4:$AB$400,$B29,'KNOWIFY REVIEW'!$AC$4:$AC$400,$C29,'KNOWIFY REVIEW'!$AD$4:$AD$400,1)/SUMIFS('KNOWIFY REVIEW'!$AE$4:$AE$400,'KNOWIFY REVIEW'!$AB$4:$AB$400,$B29,'KNOWIFY REVIEW'!$AC$4:$AC$400,$C29,'KNOWIFY REVIEW'!$AD$4:$AD$400,1),""))</f>
        <v>1.349249875</v>
      </c>
      <c r="R29" s="43" t="n">
        <f aca="false">IF(OR($B29="",$C29=""),"",IFERROR(SUMIFS('KNOWIFY REVIEW'!$AH$4:$AH$400,'KNOWIFY REVIEW'!$AB$4:$AB$400,$B29,'KNOWIFY REVIEW'!$AC$4:$AC$400,IF(OR($C29=INPUTS!$B$69,$C29=INPUTS!$B$70),INPUTS!$B$71,$C29),'KNOWIFY REVIEW'!$AD$4:$AD$400,1)/SUMIFS('KNOWIFY REVIEW'!$AG$4:$AG$400,'KNOWIFY REVIEW'!$AB$4:$AB$400,$B29,'KNOWIFY REVIEW'!$AC$4:$AC$400,IF(OR($C29=INPUTS!$B$69,$C29=INPUTS!$B$70),INPUTS!$B$71,$C29),'KNOWIFY REVIEW'!$AD$4:$AD$400,1),""))</f>
        <v>1.29241235</v>
      </c>
      <c r="S29" s="24" t="str">
        <f aca="false">IF(MAX(N($Q29),N($R29))&gt;1.1,"Past job ran over budget","")</f>
        <v>Past job ran over budget</v>
      </c>
    </row>
    <row r="30" customFormat="false" ht="15" hidden="false" customHeight="false" outlineLevel="0" collapsed="false">
      <c r="A30" s="10" t="s">
        <v>285</v>
      </c>
      <c r="B30" s="10" t="s">
        <v>95</v>
      </c>
      <c r="C30" s="10" t="s">
        <v>150</v>
      </c>
      <c r="D30" s="10" t="s">
        <v>286</v>
      </c>
      <c r="E30" s="38"/>
      <c r="F30" s="10" t="s">
        <v>236</v>
      </c>
      <c r="G30" s="39"/>
      <c r="H30" s="40"/>
      <c r="I30" s="39"/>
      <c r="J30" s="38"/>
      <c r="K30" s="10" t="s">
        <v>237</v>
      </c>
      <c r="L30" s="28" t="n">
        <f aca="false">($E30*$G30+$I30)*(1+IF($K30="N",0,INPUTS!$C$23))</f>
        <v>0</v>
      </c>
      <c r="M30" s="41" t="n">
        <f aca="false">$E30*$H30+$J30</f>
        <v>0</v>
      </c>
      <c r="N30" s="28" t="n">
        <f aca="false">$M30*IF(OR($B30="V",$B30="AC"),'LABOUR RATES'!$E$26,'LABOUR RATES'!$E$11)</f>
        <v>0</v>
      </c>
      <c r="O30" s="28" t="n">
        <f aca="false">$M30*IF(OR($B30="V",$B30="AC"),'LABOUR RATES'!$C$27,'LABOUR RATES'!$C$12)</f>
        <v>0</v>
      </c>
      <c r="P30" s="42" t="n">
        <f aca="false">$L30+$N30+$O30</f>
        <v>0</v>
      </c>
      <c r="Q30" s="43" t="n">
        <f aca="false">IF(OR($B30="",$C30=""),"",IFERROR(SUMIFS('KNOWIFY REVIEW'!$AF$4:$AF$400,'KNOWIFY REVIEW'!$AB$4:$AB$400,$B30,'KNOWIFY REVIEW'!$AC$4:$AC$400,$C30,'KNOWIFY REVIEW'!$AD$4:$AD$400,1)/SUMIFS('KNOWIFY REVIEW'!$AE$4:$AE$400,'KNOWIFY REVIEW'!$AB$4:$AB$400,$B30,'KNOWIFY REVIEW'!$AC$4:$AC$400,$C30,'KNOWIFY REVIEW'!$AD$4:$AD$400,1),""))</f>
        <v>1.349249875</v>
      </c>
      <c r="R30" s="43" t="n">
        <f aca="false">IF(OR($B30="",$C30=""),"",IFERROR(SUMIFS('KNOWIFY REVIEW'!$AH$4:$AH$400,'KNOWIFY REVIEW'!$AB$4:$AB$400,$B30,'KNOWIFY REVIEW'!$AC$4:$AC$400,IF(OR($C30=INPUTS!$B$69,$C30=INPUTS!$B$70),INPUTS!$B$71,$C30),'KNOWIFY REVIEW'!$AD$4:$AD$400,1)/SUMIFS('KNOWIFY REVIEW'!$AG$4:$AG$400,'KNOWIFY REVIEW'!$AB$4:$AB$400,$B30,'KNOWIFY REVIEW'!$AC$4:$AC$400,IF(OR($C30=INPUTS!$B$69,$C30=INPUTS!$B$70),INPUTS!$B$71,$C30),'KNOWIFY REVIEW'!$AD$4:$AD$400,1),""))</f>
        <v>1.29241235</v>
      </c>
      <c r="S30" s="24" t="str">
        <f aca="false">IF(MAX(N($Q30),N($R30))&gt;1.1,"Past job ran over budget","")</f>
        <v>Past job ran over budget</v>
      </c>
    </row>
    <row r="31" customFormat="false" ht="15" hidden="false" customHeight="false" outlineLevel="0" collapsed="false">
      <c r="A31" s="10" t="s">
        <v>287</v>
      </c>
      <c r="B31" s="10" t="s">
        <v>95</v>
      </c>
      <c r="C31" s="10" t="s">
        <v>150</v>
      </c>
      <c r="D31" s="10" t="s">
        <v>288</v>
      </c>
      <c r="E31" s="38"/>
      <c r="F31" s="10" t="s">
        <v>276</v>
      </c>
      <c r="G31" s="39"/>
      <c r="H31" s="40"/>
      <c r="I31" s="39"/>
      <c r="J31" s="38"/>
      <c r="K31" s="10" t="s">
        <v>237</v>
      </c>
      <c r="L31" s="28" t="n">
        <f aca="false">($E31*$G31+$I31)*(1+IF($K31="N",0,INPUTS!$C$23))</f>
        <v>0</v>
      </c>
      <c r="M31" s="41" t="n">
        <f aca="false">$E31*$H31+$J31</f>
        <v>0</v>
      </c>
      <c r="N31" s="28" t="n">
        <f aca="false">$M31*IF(OR($B31="V",$B31="AC"),'LABOUR RATES'!$E$26,'LABOUR RATES'!$E$11)</f>
        <v>0</v>
      </c>
      <c r="O31" s="28" t="n">
        <f aca="false">$M31*IF(OR($B31="V",$B31="AC"),'LABOUR RATES'!$C$27,'LABOUR RATES'!$C$12)</f>
        <v>0</v>
      </c>
      <c r="P31" s="42" t="n">
        <f aca="false">$L31+$N31+$O31</f>
        <v>0</v>
      </c>
      <c r="Q31" s="43" t="n">
        <f aca="false">IF(OR($B31="",$C31=""),"",IFERROR(SUMIFS('KNOWIFY REVIEW'!$AF$4:$AF$400,'KNOWIFY REVIEW'!$AB$4:$AB$400,$B31,'KNOWIFY REVIEW'!$AC$4:$AC$400,$C31,'KNOWIFY REVIEW'!$AD$4:$AD$400,1)/SUMIFS('KNOWIFY REVIEW'!$AE$4:$AE$400,'KNOWIFY REVIEW'!$AB$4:$AB$400,$B31,'KNOWIFY REVIEW'!$AC$4:$AC$400,$C31,'KNOWIFY REVIEW'!$AD$4:$AD$400,1),""))</f>
        <v>1.349249875</v>
      </c>
      <c r="R31" s="43" t="n">
        <f aca="false">IF(OR($B31="",$C31=""),"",IFERROR(SUMIFS('KNOWIFY REVIEW'!$AH$4:$AH$400,'KNOWIFY REVIEW'!$AB$4:$AB$400,$B31,'KNOWIFY REVIEW'!$AC$4:$AC$400,IF(OR($C31=INPUTS!$B$69,$C31=INPUTS!$B$70),INPUTS!$B$71,$C31),'KNOWIFY REVIEW'!$AD$4:$AD$400,1)/SUMIFS('KNOWIFY REVIEW'!$AG$4:$AG$400,'KNOWIFY REVIEW'!$AB$4:$AB$400,$B31,'KNOWIFY REVIEW'!$AC$4:$AC$400,IF(OR($C31=INPUTS!$B$69,$C31=INPUTS!$B$70),INPUTS!$B$71,$C31),'KNOWIFY REVIEW'!$AD$4:$AD$400,1),""))</f>
        <v>1.29241235</v>
      </c>
      <c r="S31" s="24" t="str">
        <f aca="false">IF(MAX(N($Q31),N($R31))&gt;1.1,"Past job ran over budget","")</f>
        <v>Past job ran over budget</v>
      </c>
    </row>
    <row r="32" customFormat="false" ht="15" hidden="false" customHeight="false" outlineLevel="0" collapsed="false">
      <c r="A32" s="10" t="s">
        <v>289</v>
      </c>
      <c r="B32" s="10" t="s">
        <v>95</v>
      </c>
      <c r="C32" s="10" t="s">
        <v>150</v>
      </c>
      <c r="D32" s="10" t="s">
        <v>290</v>
      </c>
      <c r="E32" s="38"/>
      <c r="F32" s="10" t="s">
        <v>276</v>
      </c>
      <c r="G32" s="39"/>
      <c r="H32" s="40"/>
      <c r="I32" s="39"/>
      <c r="J32" s="38"/>
      <c r="K32" s="10" t="s">
        <v>237</v>
      </c>
      <c r="L32" s="28" t="n">
        <f aca="false">($E32*$G32+$I32)*(1+IF($K32="N",0,INPUTS!$C$23))</f>
        <v>0</v>
      </c>
      <c r="M32" s="41" t="n">
        <f aca="false">$E32*$H32+$J32</f>
        <v>0</v>
      </c>
      <c r="N32" s="28" t="n">
        <f aca="false">$M32*IF(OR($B32="V",$B32="AC"),'LABOUR RATES'!$E$26,'LABOUR RATES'!$E$11)</f>
        <v>0</v>
      </c>
      <c r="O32" s="28" t="n">
        <f aca="false">$M32*IF(OR($B32="V",$B32="AC"),'LABOUR RATES'!$C$27,'LABOUR RATES'!$C$12)</f>
        <v>0</v>
      </c>
      <c r="P32" s="42" t="n">
        <f aca="false">$L32+$N32+$O32</f>
        <v>0</v>
      </c>
      <c r="Q32" s="43" t="n">
        <f aca="false">IF(OR($B32="",$C32=""),"",IFERROR(SUMIFS('KNOWIFY REVIEW'!$AF$4:$AF$400,'KNOWIFY REVIEW'!$AB$4:$AB$400,$B32,'KNOWIFY REVIEW'!$AC$4:$AC$400,$C32,'KNOWIFY REVIEW'!$AD$4:$AD$400,1)/SUMIFS('KNOWIFY REVIEW'!$AE$4:$AE$400,'KNOWIFY REVIEW'!$AB$4:$AB$400,$B32,'KNOWIFY REVIEW'!$AC$4:$AC$400,$C32,'KNOWIFY REVIEW'!$AD$4:$AD$400,1),""))</f>
        <v>1.349249875</v>
      </c>
      <c r="R32" s="43" t="n">
        <f aca="false">IF(OR($B32="",$C32=""),"",IFERROR(SUMIFS('KNOWIFY REVIEW'!$AH$4:$AH$400,'KNOWIFY REVIEW'!$AB$4:$AB$400,$B32,'KNOWIFY REVIEW'!$AC$4:$AC$400,IF(OR($C32=INPUTS!$B$69,$C32=INPUTS!$B$70),INPUTS!$B$71,$C32),'KNOWIFY REVIEW'!$AD$4:$AD$400,1)/SUMIFS('KNOWIFY REVIEW'!$AG$4:$AG$400,'KNOWIFY REVIEW'!$AB$4:$AB$400,$B32,'KNOWIFY REVIEW'!$AC$4:$AC$400,IF(OR($C32=INPUTS!$B$69,$C32=INPUTS!$B$70),INPUTS!$B$71,$C32),'KNOWIFY REVIEW'!$AD$4:$AD$400,1),""))</f>
        <v>1.29241235</v>
      </c>
      <c r="S32" s="24" t="str">
        <f aca="false">IF(MAX(N($Q32),N($R32))&gt;1.1,"Past job ran over budget","")</f>
        <v>Past job ran over budget</v>
      </c>
    </row>
    <row r="33" customFormat="false" ht="15" hidden="false" customHeight="false" outlineLevel="0" collapsed="false">
      <c r="A33" s="10" t="s">
        <v>291</v>
      </c>
      <c r="B33" s="10" t="s">
        <v>95</v>
      </c>
      <c r="C33" s="10" t="s">
        <v>151</v>
      </c>
      <c r="D33" s="10" t="s">
        <v>292</v>
      </c>
      <c r="E33" s="38"/>
      <c r="F33" s="10" t="s">
        <v>236</v>
      </c>
      <c r="G33" s="39"/>
      <c r="H33" s="40"/>
      <c r="I33" s="39"/>
      <c r="J33" s="38"/>
      <c r="K33" s="10" t="s">
        <v>237</v>
      </c>
      <c r="L33" s="28" t="n">
        <f aca="false">($E33*$G33+$I33)*(1+IF($K33="N",0,INPUTS!$C$23))</f>
        <v>0</v>
      </c>
      <c r="M33" s="41" t="n">
        <f aca="false">$E33*$H33+$J33</f>
        <v>0</v>
      </c>
      <c r="N33" s="28" t="n">
        <f aca="false">$M33*IF(OR($B33="V",$B33="AC"),'LABOUR RATES'!$E$26,'LABOUR RATES'!$E$11)</f>
        <v>0</v>
      </c>
      <c r="O33" s="28" t="n">
        <f aca="false">$M33*IF(OR($B33="V",$B33="AC"),'LABOUR RATES'!$C$27,'LABOUR RATES'!$C$12)</f>
        <v>0</v>
      </c>
      <c r="P33" s="42" t="n">
        <f aca="false">$L33+$N33+$O33</f>
        <v>0</v>
      </c>
      <c r="Q33" s="43" t="str">
        <f aca="false">IF(OR($B33="",$C33=""),"",IFERROR(SUMIFS('KNOWIFY REVIEW'!$AF$4:$AF$400,'KNOWIFY REVIEW'!$AB$4:$AB$400,$B33,'KNOWIFY REVIEW'!$AC$4:$AC$400,$C33,'KNOWIFY REVIEW'!$AD$4:$AD$400,1)/SUMIFS('KNOWIFY REVIEW'!$AE$4:$AE$400,'KNOWIFY REVIEW'!$AB$4:$AB$400,$B33,'KNOWIFY REVIEW'!$AC$4:$AC$400,$C33,'KNOWIFY REVIEW'!$AD$4:$AD$400,1),""))</f>
        <v/>
      </c>
      <c r="R33" s="43" t="n">
        <f aca="false">IF(OR($B33="",$C33=""),"",IFERROR(SUMIFS('KNOWIFY REVIEW'!$AH$4:$AH$400,'KNOWIFY REVIEW'!$AB$4:$AB$400,$B33,'KNOWIFY REVIEW'!$AC$4:$AC$400,IF(OR($C33=INPUTS!$B$69,$C33=INPUTS!$B$70),INPUTS!$B$71,$C33),'KNOWIFY REVIEW'!$AD$4:$AD$400,1)/SUMIFS('KNOWIFY REVIEW'!$AG$4:$AG$400,'KNOWIFY REVIEW'!$AB$4:$AB$400,$B33,'KNOWIFY REVIEW'!$AC$4:$AC$400,IF(OR($C33=INPUTS!$B$69,$C33=INPUTS!$B$70),INPUTS!$B$71,$C33),'KNOWIFY REVIEW'!$AD$4:$AD$400,1),""))</f>
        <v>1.29241235</v>
      </c>
      <c r="S33" s="24" t="str">
        <f aca="false">IF(MAX(N($Q33),N($R33))&gt;1.1,"Past job ran over budget","")</f>
        <v>Past job ran over budget</v>
      </c>
    </row>
    <row r="34" customFormat="false" ht="15" hidden="false" customHeight="false" outlineLevel="0" collapsed="false">
      <c r="A34" s="10" t="s">
        <v>293</v>
      </c>
      <c r="B34" s="10" t="s">
        <v>95</v>
      </c>
      <c r="C34" s="10" t="s">
        <v>151</v>
      </c>
      <c r="D34" s="10" t="s">
        <v>294</v>
      </c>
      <c r="E34" s="38"/>
      <c r="F34" s="10" t="s">
        <v>236</v>
      </c>
      <c r="G34" s="39"/>
      <c r="H34" s="40"/>
      <c r="I34" s="39"/>
      <c r="J34" s="38"/>
      <c r="K34" s="10" t="s">
        <v>237</v>
      </c>
      <c r="L34" s="28" t="n">
        <f aca="false">($E34*$G34+$I34)*(1+IF($K34="N",0,INPUTS!$C$23))</f>
        <v>0</v>
      </c>
      <c r="M34" s="41" t="n">
        <f aca="false">$E34*$H34+$J34</f>
        <v>0</v>
      </c>
      <c r="N34" s="28" t="n">
        <f aca="false">$M34*IF(OR($B34="V",$B34="AC"),'LABOUR RATES'!$E$26,'LABOUR RATES'!$E$11)</f>
        <v>0</v>
      </c>
      <c r="O34" s="28" t="n">
        <f aca="false">$M34*IF(OR($B34="V",$B34="AC"),'LABOUR RATES'!$C$27,'LABOUR RATES'!$C$12)</f>
        <v>0</v>
      </c>
      <c r="P34" s="42" t="n">
        <f aca="false">$L34+$N34+$O34</f>
        <v>0</v>
      </c>
      <c r="Q34" s="43" t="str">
        <f aca="false">IF(OR($B34="",$C34=""),"",IFERROR(SUMIFS('KNOWIFY REVIEW'!$AF$4:$AF$400,'KNOWIFY REVIEW'!$AB$4:$AB$400,$B34,'KNOWIFY REVIEW'!$AC$4:$AC$400,$C34,'KNOWIFY REVIEW'!$AD$4:$AD$400,1)/SUMIFS('KNOWIFY REVIEW'!$AE$4:$AE$400,'KNOWIFY REVIEW'!$AB$4:$AB$400,$B34,'KNOWIFY REVIEW'!$AC$4:$AC$400,$C34,'KNOWIFY REVIEW'!$AD$4:$AD$400,1),""))</f>
        <v/>
      </c>
      <c r="R34" s="43" t="n">
        <f aca="false">IF(OR($B34="",$C34=""),"",IFERROR(SUMIFS('KNOWIFY REVIEW'!$AH$4:$AH$400,'KNOWIFY REVIEW'!$AB$4:$AB$400,$B34,'KNOWIFY REVIEW'!$AC$4:$AC$400,IF(OR($C34=INPUTS!$B$69,$C34=INPUTS!$B$70),INPUTS!$B$71,$C34),'KNOWIFY REVIEW'!$AD$4:$AD$400,1)/SUMIFS('KNOWIFY REVIEW'!$AG$4:$AG$400,'KNOWIFY REVIEW'!$AB$4:$AB$400,$B34,'KNOWIFY REVIEW'!$AC$4:$AC$400,IF(OR($C34=INPUTS!$B$69,$C34=INPUTS!$B$70),INPUTS!$B$71,$C34),'KNOWIFY REVIEW'!$AD$4:$AD$400,1),""))</f>
        <v>1.29241235</v>
      </c>
      <c r="S34" s="24" t="str">
        <f aca="false">IF(MAX(N($Q34),N($R34))&gt;1.1,"Past job ran over budget","")</f>
        <v>Past job ran over budget</v>
      </c>
    </row>
    <row r="35" customFormat="false" ht="15" hidden="false" customHeight="false" outlineLevel="0" collapsed="false">
      <c r="A35" s="10" t="s">
        <v>295</v>
      </c>
      <c r="B35" s="10" t="s">
        <v>95</v>
      </c>
      <c r="C35" s="10" t="s">
        <v>151</v>
      </c>
      <c r="D35" s="10" t="s">
        <v>296</v>
      </c>
      <c r="E35" s="38"/>
      <c r="F35" s="10" t="s">
        <v>276</v>
      </c>
      <c r="G35" s="39"/>
      <c r="H35" s="40"/>
      <c r="I35" s="39"/>
      <c r="J35" s="38"/>
      <c r="K35" s="10" t="s">
        <v>237</v>
      </c>
      <c r="L35" s="28" t="n">
        <f aca="false">($E35*$G35+$I35)*(1+IF($K35="N",0,INPUTS!$C$23))</f>
        <v>0</v>
      </c>
      <c r="M35" s="41" t="n">
        <f aca="false">$E35*$H35+$J35</f>
        <v>0</v>
      </c>
      <c r="N35" s="28" t="n">
        <f aca="false">$M35*IF(OR($B35="V",$B35="AC"),'LABOUR RATES'!$E$26,'LABOUR RATES'!$E$11)</f>
        <v>0</v>
      </c>
      <c r="O35" s="28" t="n">
        <f aca="false">$M35*IF(OR($B35="V",$B35="AC"),'LABOUR RATES'!$C$27,'LABOUR RATES'!$C$12)</f>
        <v>0</v>
      </c>
      <c r="P35" s="42" t="n">
        <f aca="false">$L35+$N35+$O35</f>
        <v>0</v>
      </c>
      <c r="Q35" s="43" t="str">
        <f aca="false">IF(OR($B35="",$C35=""),"",IFERROR(SUMIFS('KNOWIFY REVIEW'!$AF$4:$AF$400,'KNOWIFY REVIEW'!$AB$4:$AB$400,$B35,'KNOWIFY REVIEW'!$AC$4:$AC$400,$C35,'KNOWIFY REVIEW'!$AD$4:$AD$400,1)/SUMIFS('KNOWIFY REVIEW'!$AE$4:$AE$400,'KNOWIFY REVIEW'!$AB$4:$AB$400,$B35,'KNOWIFY REVIEW'!$AC$4:$AC$400,$C35,'KNOWIFY REVIEW'!$AD$4:$AD$400,1),""))</f>
        <v/>
      </c>
      <c r="R35" s="43" t="n">
        <f aca="false">IF(OR($B35="",$C35=""),"",IFERROR(SUMIFS('KNOWIFY REVIEW'!$AH$4:$AH$400,'KNOWIFY REVIEW'!$AB$4:$AB$400,$B35,'KNOWIFY REVIEW'!$AC$4:$AC$400,IF(OR($C35=INPUTS!$B$69,$C35=INPUTS!$B$70),INPUTS!$B$71,$C35),'KNOWIFY REVIEW'!$AD$4:$AD$400,1)/SUMIFS('KNOWIFY REVIEW'!$AG$4:$AG$400,'KNOWIFY REVIEW'!$AB$4:$AB$400,$B35,'KNOWIFY REVIEW'!$AC$4:$AC$400,IF(OR($C35=INPUTS!$B$69,$C35=INPUTS!$B$70),INPUTS!$B$71,$C35),'KNOWIFY REVIEW'!$AD$4:$AD$400,1),""))</f>
        <v>1.29241235</v>
      </c>
      <c r="S35" s="24" t="str">
        <f aca="false">IF(MAX(N($Q35),N($R35))&gt;1.1,"Past job ran over budget","")</f>
        <v>Past job ran over budget</v>
      </c>
    </row>
    <row r="36" customFormat="false" ht="15" hidden="false" customHeight="false" outlineLevel="0" collapsed="false">
      <c r="A36" s="10" t="s">
        <v>297</v>
      </c>
      <c r="B36" s="10" t="s">
        <v>95</v>
      </c>
      <c r="C36" s="10" t="s">
        <v>153</v>
      </c>
      <c r="D36" s="10" t="s">
        <v>298</v>
      </c>
      <c r="E36" s="38"/>
      <c r="F36" s="10" t="s">
        <v>276</v>
      </c>
      <c r="G36" s="39"/>
      <c r="H36" s="40"/>
      <c r="I36" s="39"/>
      <c r="J36" s="38"/>
      <c r="K36" s="10" t="s">
        <v>237</v>
      </c>
      <c r="L36" s="28" t="n">
        <f aca="false">($E36*$G36+$I36)*(1+IF($K36="N",0,INPUTS!$C$23))</f>
        <v>0</v>
      </c>
      <c r="M36" s="41" t="n">
        <f aca="false">$E36*$H36+$J36</f>
        <v>0</v>
      </c>
      <c r="N36" s="28" t="n">
        <f aca="false">$M36*IF(OR($B36="V",$B36="AC"),'LABOUR RATES'!$E$26,'LABOUR RATES'!$E$11)</f>
        <v>0</v>
      </c>
      <c r="O36" s="28" t="n">
        <f aca="false">$M36*IF(OR($B36="V",$B36="AC"),'LABOUR RATES'!$C$27,'LABOUR RATES'!$C$12)</f>
        <v>0</v>
      </c>
      <c r="P36" s="42" t="n">
        <f aca="false">$L36+$N36+$O36</f>
        <v>0</v>
      </c>
      <c r="Q36" s="43" t="str">
        <f aca="false">IF(OR($B36="",$C36=""),"",IFERROR(SUMIFS('KNOWIFY REVIEW'!$AF$4:$AF$400,'KNOWIFY REVIEW'!$AB$4:$AB$400,$B36,'KNOWIFY REVIEW'!$AC$4:$AC$400,$C36,'KNOWIFY REVIEW'!$AD$4:$AD$400,1)/SUMIFS('KNOWIFY REVIEW'!$AE$4:$AE$400,'KNOWIFY REVIEW'!$AB$4:$AB$400,$B36,'KNOWIFY REVIEW'!$AC$4:$AC$400,$C36,'KNOWIFY REVIEW'!$AD$4:$AD$400,1),""))</f>
        <v/>
      </c>
      <c r="R36" s="43" t="str">
        <f aca="false">IF(OR($B36="",$C36=""),"",IFERROR(SUMIFS('KNOWIFY REVIEW'!$AH$4:$AH$400,'KNOWIFY REVIEW'!$AB$4:$AB$400,$B36,'KNOWIFY REVIEW'!$AC$4:$AC$400,IF(OR($C36=INPUTS!$B$69,$C36=INPUTS!$B$70),INPUTS!$B$71,$C36),'KNOWIFY REVIEW'!$AD$4:$AD$400,1)/SUMIFS('KNOWIFY REVIEW'!$AG$4:$AG$400,'KNOWIFY REVIEW'!$AB$4:$AB$400,$B36,'KNOWIFY REVIEW'!$AC$4:$AC$400,IF(OR($C36=INPUTS!$B$69,$C36=INPUTS!$B$70),INPUTS!$B$71,$C36),'KNOWIFY REVIEW'!$AD$4:$AD$400,1),""))</f>
        <v/>
      </c>
      <c r="S36" s="24" t="str">
        <f aca="false">IF(MAX(N($Q36),N($R36))&gt;1.1,"Past job ran over budget","")</f>
        <v/>
      </c>
    </row>
    <row r="37" customFormat="false" ht="15" hidden="false" customHeight="false" outlineLevel="0" collapsed="false">
      <c r="A37" s="10" t="s">
        <v>299</v>
      </c>
      <c r="B37" s="10" t="s">
        <v>95</v>
      </c>
      <c r="C37" s="10" t="s">
        <v>153</v>
      </c>
      <c r="D37" s="10" t="s">
        <v>300</v>
      </c>
      <c r="E37" s="38"/>
      <c r="F37" s="10" t="s">
        <v>276</v>
      </c>
      <c r="G37" s="39"/>
      <c r="H37" s="40"/>
      <c r="I37" s="39"/>
      <c r="J37" s="38"/>
      <c r="K37" s="10" t="s">
        <v>237</v>
      </c>
      <c r="L37" s="28" t="n">
        <f aca="false">($E37*$G37+$I37)*(1+IF($K37="N",0,INPUTS!$C$23))</f>
        <v>0</v>
      </c>
      <c r="M37" s="41" t="n">
        <f aca="false">$E37*$H37+$J37</f>
        <v>0</v>
      </c>
      <c r="N37" s="28" t="n">
        <f aca="false">$M37*IF(OR($B37="V",$B37="AC"),'LABOUR RATES'!$E$26,'LABOUR RATES'!$E$11)</f>
        <v>0</v>
      </c>
      <c r="O37" s="28" t="n">
        <f aca="false">$M37*IF(OR($B37="V",$B37="AC"),'LABOUR RATES'!$C$27,'LABOUR RATES'!$C$12)</f>
        <v>0</v>
      </c>
      <c r="P37" s="42" t="n">
        <f aca="false">$L37+$N37+$O37</f>
        <v>0</v>
      </c>
      <c r="Q37" s="43" t="str">
        <f aca="false">IF(OR($B37="",$C37=""),"",IFERROR(SUMIFS('KNOWIFY REVIEW'!$AF$4:$AF$400,'KNOWIFY REVIEW'!$AB$4:$AB$400,$B37,'KNOWIFY REVIEW'!$AC$4:$AC$400,$C37,'KNOWIFY REVIEW'!$AD$4:$AD$400,1)/SUMIFS('KNOWIFY REVIEW'!$AE$4:$AE$400,'KNOWIFY REVIEW'!$AB$4:$AB$400,$B37,'KNOWIFY REVIEW'!$AC$4:$AC$400,$C37,'KNOWIFY REVIEW'!$AD$4:$AD$400,1),""))</f>
        <v/>
      </c>
      <c r="R37" s="43" t="str">
        <f aca="false">IF(OR($B37="",$C37=""),"",IFERROR(SUMIFS('KNOWIFY REVIEW'!$AH$4:$AH$400,'KNOWIFY REVIEW'!$AB$4:$AB$400,$B37,'KNOWIFY REVIEW'!$AC$4:$AC$400,IF(OR($C37=INPUTS!$B$69,$C37=INPUTS!$B$70),INPUTS!$B$71,$C37),'KNOWIFY REVIEW'!$AD$4:$AD$400,1)/SUMIFS('KNOWIFY REVIEW'!$AG$4:$AG$400,'KNOWIFY REVIEW'!$AB$4:$AB$400,$B37,'KNOWIFY REVIEW'!$AC$4:$AC$400,IF(OR($C37=INPUTS!$B$69,$C37=INPUTS!$B$70),INPUTS!$B$71,$C37),'KNOWIFY REVIEW'!$AD$4:$AD$400,1),""))</f>
        <v/>
      </c>
      <c r="S37" s="24" t="str">
        <f aca="false">IF(MAX(N($Q37),N($R37))&gt;1.1,"Past job ran over budget","")</f>
        <v/>
      </c>
    </row>
    <row r="38" customFormat="false" ht="15" hidden="false" customHeight="false" outlineLevel="0" collapsed="false">
      <c r="A38" s="10" t="s">
        <v>301</v>
      </c>
      <c r="B38" s="10" t="s">
        <v>95</v>
      </c>
      <c r="C38" s="10" t="s">
        <v>153</v>
      </c>
      <c r="D38" s="10" t="s">
        <v>302</v>
      </c>
      <c r="E38" s="38"/>
      <c r="F38" s="10" t="s">
        <v>276</v>
      </c>
      <c r="G38" s="39"/>
      <c r="H38" s="40"/>
      <c r="I38" s="39"/>
      <c r="J38" s="38"/>
      <c r="K38" s="10" t="s">
        <v>237</v>
      </c>
      <c r="L38" s="28" t="n">
        <f aca="false">($E38*$G38+$I38)*(1+IF($K38="N",0,INPUTS!$C$23))</f>
        <v>0</v>
      </c>
      <c r="M38" s="41" t="n">
        <f aca="false">$E38*$H38+$J38</f>
        <v>0</v>
      </c>
      <c r="N38" s="28" t="n">
        <f aca="false">$M38*IF(OR($B38="V",$B38="AC"),'LABOUR RATES'!$E$26,'LABOUR RATES'!$E$11)</f>
        <v>0</v>
      </c>
      <c r="O38" s="28" t="n">
        <f aca="false">$M38*IF(OR($B38="V",$B38="AC"),'LABOUR RATES'!$C$27,'LABOUR RATES'!$C$12)</f>
        <v>0</v>
      </c>
      <c r="P38" s="42" t="n">
        <f aca="false">$L38+$N38+$O38</f>
        <v>0</v>
      </c>
      <c r="Q38" s="43" t="str">
        <f aca="false">IF(OR($B38="",$C38=""),"",IFERROR(SUMIFS('KNOWIFY REVIEW'!$AF$4:$AF$400,'KNOWIFY REVIEW'!$AB$4:$AB$400,$B38,'KNOWIFY REVIEW'!$AC$4:$AC$400,$C38,'KNOWIFY REVIEW'!$AD$4:$AD$400,1)/SUMIFS('KNOWIFY REVIEW'!$AE$4:$AE$400,'KNOWIFY REVIEW'!$AB$4:$AB$400,$B38,'KNOWIFY REVIEW'!$AC$4:$AC$400,$C38,'KNOWIFY REVIEW'!$AD$4:$AD$400,1),""))</f>
        <v/>
      </c>
      <c r="R38" s="43" t="str">
        <f aca="false">IF(OR($B38="",$C38=""),"",IFERROR(SUMIFS('KNOWIFY REVIEW'!$AH$4:$AH$400,'KNOWIFY REVIEW'!$AB$4:$AB$400,$B38,'KNOWIFY REVIEW'!$AC$4:$AC$400,IF(OR($C38=INPUTS!$B$69,$C38=INPUTS!$B$70),INPUTS!$B$71,$C38),'KNOWIFY REVIEW'!$AD$4:$AD$400,1)/SUMIFS('KNOWIFY REVIEW'!$AG$4:$AG$400,'KNOWIFY REVIEW'!$AB$4:$AB$400,$B38,'KNOWIFY REVIEW'!$AC$4:$AC$400,IF(OR($C38=INPUTS!$B$69,$C38=INPUTS!$B$70),INPUTS!$B$71,$C38),'KNOWIFY REVIEW'!$AD$4:$AD$400,1),""))</f>
        <v/>
      </c>
      <c r="S38" s="24" t="str">
        <f aca="false">IF(MAX(N($Q38),N($R38))&gt;1.1,"Past job ran over budget","")</f>
        <v/>
      </c>
    </row>
    <row r="39" customFormat="false" ht="15" hidden="false" customHeight="false" outlineLevel="0" collapsed="false">
      <c r="A39" s="10" t="s">
        <v>303</v>
      </c>
      <c r="B39" s="10" t="s">
        <v>95</v>
      </c>
      <c r="C39" s="10" t="s">
        <v>154</v>
      </c>
      <c r="D39" s="10" t="s">
        <v>304</v>
      </c>
      <c r="E39" s="38"/>
      <c r="F39" s="10" t="s">
        <v>276</v>
      </c>
      <c r="G39" s="39"/>
      <c r="H39" s="40"/>
      <c r="I39" s="39"/>
      <c r="J39" s="38"/>
      <c r="K39" s="10" t="s">
        <v>237</v>
      </c>
      <c r="L39" s="28" t="n">
        <f aca="false">($E39*$G39+$I39)*(1+IF($K39="N",0,INPUTS!$C$23))</f>
        <v>0</v>
      </c>
      <c r="M39" s="41" t="n">
        <f aca="false">$E39*$H39+$J39</f>
        <v>0</v>
      </c>
      <c r="N39" s="28" t="n">
        <f aca="false">$M39*IF(OR($B39="V",$B39="AC"),'LABOUR RATES'!$E$26,'LABOUR RATES'!$E$11)</f>
        <v>0</v>
      </c>
      <c r="O39" s="28" t="n">
        <f aca="false">$M39*IF(OR($B39="V",$B39="AC"),'LABOUR RATES'!$C$27,'LABOUR RATES'!$C$12)</f>
        <v>0</v>
      </c>
      <c r="P39" s="42" t="n">
        <f aca="false">$L39+$N39+$O39</f>
        <v>0</v>
      </c>
      <c r="Q39" s="43" t="str">
        <f aca="false">IF(OR($B39="",$C39=""),"",IFERROR(SUMIFS('KNOWIFY REVIEW'!$AF$4:$AF$400,'KNOWIFY REVIEW'!$AB$4:$AB$400,$B39,'KNOWIFY REVIEW'!$AC$4:$AC$400,$C39,'KNOWIFY REVIEW'!$AD$4:$AD$400,1)/SUMIFS('KNOWIFY REVIEW'!$AE$4:$AE$400,'KNOWIFY REVIEW'!$AB$4:$AB$400,$B39,'KNOWIFY REVIEW'!$AC$4:$AC$400,$C39,'KNOWIFY REVIEW'!$AD$4:$AD$400,1),""))</f>
        <v/>
      </c>
      <c r="R39" s="43" t="str">
        <f aca="false">IF(OR($B39="",$C39=""),"",IFERROR(SUMIFS('KNOWIFY REVIEW'!$AH$4:$AH$400,'KNOWIFY REVIEW'!$AB$4:$AB$400,$B39,'KNOWIFY REVIEW'!$AC$4:$AC$400,IF(OR($C39=INPUTS!$B$69,$C39=INPUTS!$B$70),INPUTS!$B$71,$C39),'KNOWIFY REVIEW'!$AD$4:$AD$400,1)/SUMIFS('KNOWIFY REVIEW'!$AG$4:$AG$400,'KNOWIFY REVIEW'!$AB$4:$AB$400,$B39,'KNOWIFY REVIEW'!$AC$4:$AC$400,IF(OR($C39=INPUTS!$B$69,$C39=INPUTS!$B$70),INPUTS!$B$71,$C39),'KNOWIFY REVIEW'!$AD$4:$AD$400,1),""))</f>
        <v/>
      </c>
      <c r="S39" s="24" t="str">
        <f aca="false">IF(MAX(N($Q39),N($R39))&gt;1.1,"Past job ran over budget","")</f>
        <v/>
      </c>
    </row>
    <row r="40" customFormat="false" ht="15" hidden="false" customHeight="false" outlineLevel="0" collapsed="false">
      <c r="A40" s="10" t="s">
        <v>305</v>
      </c>
      <c r="B40" s="10" t="s">
        <v>95</v>
      </c>
      <c r="C40" s="10" t="s">
        <v>155</v>
      </c>
      <c r="D40" s="10" t="s">
        <v>306</v>
      </c>
      <c r="E40" s="38"/>
      <c r="F40" s="10" t="s">
        <v>276</v>
      </c>
      <c r="G40" s="39"/>
      <c r="H40" s="40"/>
      <c r="I40" s="39"/>
      <c r="J40" s="38"/>
      <c r="K40" s="10" t="s">
        <v>237</v>
      </c>
      <c r="L40" s="28" t="n">
        <f aca="false">($E40*$G40+$I40)*(1+IF($K40="N",0,INPUTS!$C$23))</f>
        <v>0</v>
      </c>
      <c r="M40" s="41" t="n">
        <f aca="false">$E40*$H40+$J40</f>
        <v>0</v>
      </c>
      <c r="N40" s="28" t="n">
        <f aca="false">$M40*IF(OR($B40="V",$B40="AC"),'LABOUR RATES'!$E$26,'LABOUR RATES'!$E$11)</f>
        <v>0</v>
      </c>
      <c r="O40" s="28" t="n">
        <f aca="false">$M40*IF(OR($B40="V",$B40="AC"),'LABOUR RATES'!$C$27,'LABOUR RATES'!$C$12)</f>
        <v>0</v>
      </c>
      <c r="P40" s="42" t="n">
        <f aca="false">$L40+$N40+$O40</f>
        <v>0</v>
      </c>
      <c r="Q40" s="43" t="str">
        <f aca="false">IF(OR($B40="",$C40=""),"",IFERROR(SUMIFS('KNOWIFY REVIEW'!$AF$4:$AF$400,'KNOWIFY REVIEW'!$AB$4:$AB$400,$B40,'KNOWIFY REVIEW'!$AC$4:$AC$400,$C40,'KNOWIFY REVIEW'!$AD$4:$AD$400,1)/SUMIFS('KNOWIFY REVIEW'!$AE$4:$AE$400,'KNOWIFY REVIEW'!$AB$4:$AB$400,$B40,'KNOWIFY REVIEW'!$AC$4:$AC$400,$C40,'KNOWIFY REVIEW'!$AD$4:$AD$400,1),""))</f>
        <v/>
      </c>
      <c r="R40" s="43" t="str">
        <f aca="false">IF(OR($B40="",$C40=""),"",IFERROR(SUMIFS('KNOWIFY REVIEW'!$AH$4:$AH$400,'KNOWIFY REVIEW'!$AB$4:$AB$400,$B40,'KNOWIFY REVIEW'!$AC$4:$AC$400,IF(OR($C40=INPUTS!$B$69,$C40=INPUTS!$B$70),INPUTS!$B$71,$C40),'KNOWIFY REVIEW'!$AD$4:$AD$400,1)/SUMIFS('KNOWIFY REVIEW'!$AG$4:$AG$400,'KNOWIFY REVIEW'!$AB$4:$AB$400,$B40,'KNOWIFY REVIEW'!$AC$4:$AC$400,IF(OR($C40=INPUTS!$B$69,$C40=INPUTS!$B$70),INPUTS!$B$71,$C40),'KNOWIFY REVIEW'!$AD$4:$AD$400,1),""))</f>
        <v/>
      </c>
      <c r="S40" s="24" t="str">
        <f aca="false">IF(MAX(N($Q40),N($R40))&gt;1.1,"Past job ran over budget","")</f>
        <v/>
      </c>
    </row>
    <row r="41" customFormat="false" ht="15" hidden="false" customHeight="false" outlineLevel="0" collapsed="false">
      <c r="A41" s="10" t="s">
        <v>307</v>
      </c>
      <c r="B41" s="10" t="s">
        <v>99</v>
      </c>
      <c r="C41" s="10" t="s">
        <v>148</v>
      </c>
      <c r="D41" s="10" t="s">
        <v>308</v>
      </c>
      <c r="E41" s="38"/>
      <c r="F41" s="10" t="s">
        <v>240</v>
      </c>
      <c r="G41" s="39"/>
      <c r="H41" s="40"/>
      <c r="I41" s="39"/>
      <c r="J41" s="38"/>
      <c r="K41" s="10" t="s">
        <v>237</v>
      </c>
      <c r="L41" s="28" t="n">
        <f aca="false">($E41*$G41+$I41)*(1+IF($K41="N",0,INPUTS!$C$23))</f>
        <v>0</v>
      </c>
      <c r="M41" s="41" t="n">
        <f aca="false">$E41*$H41+$J41</f>
        <v>0</v>
      </c>
      <c r="N41" s="28" t="n">
        <f aca="false">$M41*IF(OR($B41="V",$B41="AC"),'LABOUR RATES'!$E$26,'LABOUR RATES'!$E$11)</f>
        <v>0</v>
      </c>
      <c r="O41" s="28" t="n">
        <f aca="false">$M41*IF(OR($B41="V",$B41="AC"),'LABOUR RATES'!$C$27,'LABOUR RATES'!$C$12)</f>
        <v>0</v>
      </c>
      <c r="P41" s="42" t="n">
        <f aca="false">$L41+$N41+$O41</f>
        <v>0</v>
      </c>
      <c r="Q41" s="43" t="str">
        <f aca="false">IF(OR($B41="",$C41=""),"",IFERROR(SUMIFS('KNOWIFY REVIEW'!$AF$4:$AF$400,'KNOWIFY REVIEW'!$AB$4:$AB$400,$B41,'KNOWIFY REVIEW'!$AC$4:$AC$400,$C41,'KNOWIFY REVIEW'!$AD$4:$AD$400,1)/SUMIFS('KNOWIFY REVIEW'!$AE$4:$AE$400,'KNOWIFY REVIEW'!$AB$4:$AB$400,$B41,'KNOWIFY REVIEW'!$AC$4:$AC$400,$C41,'KNOWIFY REVIEW'!$AD$4:$AD$400,1),""))</f>
        <v/>
      </c>
      <c r="R41" s="43" t="str">
        <f aca="false">IF(OR($B41="",$C41=""),"",IFERROR(SUMIFS('KNOWIFY REVIEW'!$AH$4:$AH$400,'KNOWIFY REVIEW'!$AB$4:$AB$400,$B41,'KNOWIFY REVIEW'!$AC$4:$AC$400,IF(OR($C41=INPUTS!$B$69,$C41=INPUTS!$B$70),INPUTS!$B$71,$C41),'KNOWIFY REVIEW'!$AD$4:$AD$400,1)/SUMIFS('KNOWIFY REVIEW'!$AG$4:$AG$400,'KNOWIFY REVIEW'!$AB$4:$AB$400,$B41,'KNOWIFY REVIEW'!$AC$4:$AC$400,IF(OR($C41=INPUTS!$B$69,$C41=INPUTS!$B$70),INPUTS!$B$71,$C41),'KNOWIFY REVIEW'!$AD$4:$AD$400,1),""))</f>
        <v/>
      </c>
      <c r="S41" s="24" t="str">
        <f aca="false">IF(MAX(N($Q41),N($R41))&gt;1.1,"Past job ran over budget","")</f>
        <v/>
      </c>
    </row>
    <row r="42" customFormat="false" ht="15" hidden="false" customHeight="false" outlineLevel="0" collapsed="false">
      <c r="A42" s="10" t="s">
        <v>309</v>
      </c>
      <c r="B42" s="10" t="s">
        <v>99</v>
      </c>
      <c r="C42" s="10" t="s">
        <v>150</v>
      </c>
      <c r="D42" s="10" t="s">
        <v>310</v>
      </c>
      <c r="E42" s="38"/>
      <c r="F42" s="10" t="s">
        <v>240</v>
      </c>
      <c r="G42" s="39"/>
      <c r="H42" s="40"/>
      <c r="I42" s="39"/>
      <c r="J42" s="38"/>
      <c r="K42" s="10" t="s">
        <v>237</v>
      </c>
      <c r="L42" s="28" t="n">
        <f aca="false">($E42*$G42+$I42)*(1+IF($K42="N",0,INPUTS!$C$23))</f>
        <v>0</v>
      </c>
      <c r="M42" s="41" t="n">
        <f aca="false">$E42*$H42+$J42</f>
        <v>0</v>
      </c>
      <c r="N42" s="28" t="n">
        <f aca="false">$M42*IF(OR($B42="V",$B42="AC"),'LABOUR RATES'!$E$26,'LABOUR RATES'!$E$11)</f>
        <v>0</v>
      </c>
      <c r="O42" s="28" t="n">
        <f aca="false">$M42*IF(OR($B42="V",$B42="AC"),'LABOUR RATES'!$C$27,'LABOUR RATES'!$C$12)</f>
        <v>0</v>
      </c>
      <c r="P42" s="42" t="n">
        <f aca="false">$L42+$N42+$O42</f>
        <v>0</v>
      </c>
      <c r="Q42" s="43" t="str">
        <f aca="false">IF(OR($B42="",$C42=""),"",IFERROR(SUMIFS('KNOWIFY REVIEW'!$AF$4:$AF$400,'KNOWIFY REVIEW'!$AB$4:$AB$400,$B42,'KNOWIFY REVIEW'!$AC$4:$AC$400,$C42,'KNOWIFY REVIEW'!$AD$4:$AD$400,1)/SUMIFS('KNOWIFY REVIEW'!$AE$4:$AE$400,'KNOWIFY REVIEW'!$AB$4:$AB$400,$B42,'KNOWIFY REVIEW'!$AC$4:$AC$400,$C42,'KNOWIFY REVIEW'!$AD$4:$AD$400,1),""))</f>
        <v/>
      </c>
      <c r="R42" s="43" t="str">
        <f aca="false">IF(OR($B42="",$C42=""),"",IFERROR(SUMIFS('KNOWIFY REVIEW'!$AH$4:$AH$400,'KNOWIFY REVIEW'!$AB$4:$AB$400,$B42,'KNOWIFY REVIEW'!$AC$4:$AC$400,IF(OR($C42=INPUTS!$B$69,$C42=INPUTS!$B$70),INPUTS!$B$71,$C42),'KNOWIFY REVIEW'!$AD$4:$AD$400,1)/SUMIFS('KNOWIFY REVIEW'!$AG$4:$AG$400,'KNOWIFY REVIEW'!$AB$4:$AB$400,$B42,'KNOWIFY REVIEW'!$AC$4:$AC$400,IF(OR($C42=INPUTS!$B$69,$C42=INPUTS!$B$70),INPUTS!$B$71,$C42),'KNOWIFY REVIEW'!$AD$4:$AD$400,1),""))</f>
        <v/>
      </c>
      <c r="S42" s="24" t="str">
        <f aca="false">IF(MAX(N($Q42),N($R42))&gt;1.1,"Past job ran over budget","")</f>
        <v/>
      </c>
    </row>
    <row r="43" customFormat="false" ht="15" hidden="false" customHeight="false" outlineLevel="0" collapsed="false">
      <c r="A43" s="10" t="s">
        <v>311</v>
      </c>
      <c r="B43" s="10" t="s">
        <v>99</v>
      </c>
      <c r="C43" s="10" t="s">
        <v>150</v>
      </c>
      <c r="D43" s="10" t="s">
        <v>312</v>
      </c>
      <c r="E43" s="38"/>
      <c r="F43" s="10" t="s">
        <v>236</v>
      </c>
      <c r="G43" s="39"/>
      <c r="H43" s="40"/>
      <c r="I43" s="39"/>
      <c r="J43" s="38"/>
      <c r="K43" s="10" t="s">
        <v>237</v>
      </c>
      <c r="L43" s="28" t="n">
        <f aca="false">($E43*$G43+$I43)*(1+IF($K43="N",0,INPUTS!$C$23))</f>
        <v>0</v>
      </c>
      <c r="M43" s="41" t="n">
        <f aca="false">$E43*$H43+$J43</f>
        <v>0</v>
      </c>
      <c r="N43" s="28" t="n">
        <f aca="false">$M43*IF(OR($B43="V",$B43="AC"),'LABOUR RATES'!$E$26,'LABOUR RATES'!$E$11)</f>
        <v>0</v>
      </c>
      <c r="O43" s="28" t="n">
        <f aca="false">$M43*IF(OR($B43="V",$B43="AC"),'LABOUR RATES'!$C$27,'LABOUR RATES'!$C$12)</f>
        <v>0</v>
      </c>
      <c r="P43" s="42" t="n">
        <f aca="false">$L43+$N43+$O43</f>
        <v>0</v>
      </c>
      <c r="Q43" s="43" t="str">
        <f aca="false">IF(OR($B43="",$C43=""),"",IFERROR(SUMIFS('KNOWIFY REVIEW'!$AF$4:$AF$400,'KNOWIFY REVIEW'!$AB$4:$AB$400,$B43,'KNOWIFY REVIEW'!$AC$4:$AC$400,$C43,'KNOWIFY REVIEW'!$AD$4:$AD$400,1)/SUMIFS('KNOWIFY REVIEW'!$AE$4:$AE$400,'KNOWIFY REVIEW'!$AB$4:$AB$400,$B43,'KNOWIFY REVIEW'!$AC$4:$AC$400,$C43,'KNOWIFY REVIEW'!$AD$4:$AD$400,1),""))</f>
        <v/>
      </c>
      <c r="R43" s="43" t="str">
        <f aca="false">IF(OR($B43="",$C43=""),"",IFERROR(SUMIFS('KNOWIFY REVIEW'!$AH$4:$AH$400,'KNOWIFY REVIEW'!$AB$4:$AB$400,$B43,'KNOWIFY REVIEW'!$AC$4:$AC$400,IF(OR($C43=INPUTS!$B$69,$C43=INPUTS!$B$70),INPUTS!$B$71,$C43),'KNOWIFY REVIEW'!$AD$4:$AD$400,1)/SUMIFS('KNOWIFY REVIEW'!$AG$4:$AG$400,'KNOWIFY REVIEW'!$AB$4:$AB$400,$B43,'KNOWIFY REVIEW'!$AC$4:$AC$400,IF(OR($C43=INPUTS!$B$69,$C43=INPUTS!$B$70),INPUTS!$B$71,$C43),'KNOWIFY REVIEW'!$AD$4:$AD$400,1),""))</f>
        <v/>
      </c>
      <c r="S43" s="24" t="str">
        <f aca="false">IF(MAX(N($Q43),N($R43))&gt;1.1,"Past job ran over budget","")</f>
        <v/>
      </c>
    </row>
    <row r="44" customFormat="false" ht="15" hidden="false" customHeight="false" outlineLevel="0" collapsed="false">
      <c r="A44" s="10" t="s">
        <v>313</v>
      </c>
      <c r="B44" s="10" t="s">
        <v>99</v>
      </c>
      <c r="C44" s="10" t="s">
        <v>150</v>
      </c>
      <c r="D44" s="10" t="s">
        <v>314</v>
      </c>
      <c r="E44" s="38"/>
      <c r="F44" s="10" t="s">
        <v>273</v>
      </c>
      <c r="G44" s="39"/>
      <c r="H44" s="40" t="n">
        <v>8</v>
      </c>
      <c r="I44" s="39"/>
      <c r="J44" s="38"/>
      <c r="K44" s="10" t="s">
        <v>237</v>
      </c>
      <c r="L44" s="28" t="n">
        <f aca="false">($E44*$G44+$I44)*(1+IF($K44="N",0,INPUTS!$C$23))</f>
        <v>0</v>
      </c>
      <c r="M44" s="41" t="n">
        <f aca="false">$E44*$H44+$J44</f>
        <v>0</v>
      </c>
      <c r="N44" s="28" t="n">
        <f aca="false">$M44*IF(OR($B44="V",$B44="AC"),'LABOUR RATES'!$E$26,'LABOUR RATES'!$E$11)</f>
        <v>0</v>
      </c>
      <c r="O44" s="28" t="n">
        <f aca="false">$M44*IF(OR($B44="V",$B44="AC"),'LABOUR RATES'!$C$27,'LABOUR RATES'!$C$12)</f>
        <v>0</v>
      </c>
      <c r="P44" s="42" t="n">
        <f aca="false">$L44+$N44+$O44</f>
        <v>0</v>
      </c>
      <c r="Q44" s="43" t="str">
        <f aca="false">IF(OR($B44="",$C44=""),"",IFERROR(SUMIFS('KNOWIFY REVIEW'!$AF$4:$AF$400,'KNOWIFY REVIEW'!$AB$4:$AB$400,$B44,'KNOWIFY REVIEW'!$AC$4:$AC$400,$C44,'KNOWIFY REVIEW'!$AD$4:$AD$400,1)/SUMIFS('KNOWIFY REVIEW'!$AE$4:$AE$400,'KNOWIFY REVIEW'!$AB$4:$AB$400,$B44,'KNOWIFY REVIEW'!$AC$4:$AC$400,$C44,'KNOWIFY REVIEW'!$AD$4:$AD$400,1),""))</f>
        <v/>
      </c>
      <c r="R44" s="43" t="str">
        <f aca="false">IF(OR($B44="",$C44=""),"",IFERROR(SUMIFS('KNOWIFY REVIEW'!$AH$4:$AH$400,'KNOWIFY REVIEW'!$AB$4:$AB$400,$B44,'KNOWIFY REVIEW'!$AC$4:$AC$400,IF(OR($C44=INPUTS!$B$69,$C44=INPUTS!$B$70),INPUTS!$B$71,$C44),'KNOWIFY REVIEW'!$AD$4:$AD$400,1)/SUMIFS('KNOWIFY REVIEW'!$AG$4:$AG$400,'KNOWIFY REVIEW'!$AB$4:$AB$400,$B44,'KNOWIFY REVIEW'!$AC$4:$AC$400,IF(OR($C44=INPUTS!$B$69,$C44=INPUTS!$B$70),INPUTS!$B$71,$C44),'KNOWIFY REVIEW'!$AD$4:$AD$400,1),""))</f>
        <v/>
      </c>
      <c r="S44" s="24" t="str">
        <f aca="false">IF(MAX(N($Q44),N($R44))&gt;1.1,"Past job ran over budget","")</f>
        <v/>
      </c>
    </row>
    <row r="45" customFormat="false" ht="15" hidden="false" customHeight="false" outlineLevel="0" collapsed="false">
      <c r="A45" s="10" t="s">
        <v>315</v>
      </c>
      <c r="B45" s="10" t="s">
        <v>99</v>
      </c>
      <c r="C45" s="10" t="s">
        <v>150</v>
      </c>
      <c r="D45" s="10" t="s">
        <v>316</v>
      </c>
      <c r="E45" s="38"/>
      <c r="F45" s="10" t="s">
        <v>276</v>
      </c>
      <c r="G45" s="39"/>
      <c r="H45" s="40"/>
      <c r="I45" s="39"/>
      <c r="J45" s="38"/>
      <c r="K45" s="10" t="s">
        <v>237</v>
      </c>
      <c r="L45" s="28" t="n">
        <f aca="false">($E45*$G45+$I45)*(1+IF($K45="N",0,INPUTS!$C$23))</f>
        <v>0</v>
      </c>
      <c r="M45" s="41" t="n">
        <f aca="false">$E45*$H45+$J45</f>
        <v>0</v>
      </c>
      <c r="N45" s="28" t="n">
        <f aca="false">$M45*IF(OR($B45="V",$B45="AC"),'LABOUR RATES'!$E$26,'LABOUR RATES'!$E$11)</f>
        <v>0</v>
      </c>
      <c r="O45" s="28" t="n">
        <f aca="false">$M45*IF(OR($B45="V",$B45="AC"),'LABOUR RATES'!$C$27,'LABOUR RATES'!$C$12)</f>
        <v>0</v>
      </c>
      <c r="P45" s="42" t="n">
        <f aca="false">$L45+$N45+$O45</f>
        <v>0</v>
      </c>
      <c r="Q45" s="43" t="str">
        <f aca="false">IF(OR($B45="",$C45=""),"",IFERROR(SUMIFS('KNOWIFY REVIEW'!$AF$4:$AF$400,'KNOWIFY REVIEW'!$AB$4:$AB$400,$B45,'KNOWIFY REVIEW'!$AC$4:$AC$400,$C45,'KNOWIFY REVIEW'!$AD$4:$AD$400,1)/SUMIFS('KNOWIFY REVIEW'!$AE$4:$AE$400,'KNOWIFY REVIEW'!$AB$4:$AB$400,$B45,'KNOWIFY REVIEW'!$AC$4:$AC$400,$C45,'KNOWIFY REVIEW'!$AD$4:$AD$400,1),""))</f>
        <v/>
      </c>
      <c r="R45" s="43" t="str">
        <f aca="false">IF(OR($B45="",$C45=""),"",IFERROR(SUMIFS('KNOWIFY REVIEW'!$AH$4:$AH$400,'KNOWIFY REVIEW'!$AB$4:$AB$400,$B45,'KNOWIFY REVIEW'!$AC$4:$AC$400,IF(OR($C45=INPUTS!$B$69,$C45=INPUTS!$B$70),INPUTS!$B$71,$C45),'KNOWIFY REVIEW'!$AD$4:$AD$400,1)/SUMIFS('KNOWIFY REVIEW'!$AG$4:$AG$400,'KNOWIFY REVIEW'!$AB$4:$AB$400,$B45,'KNOWIFY REVIEW'!$AC$4:$AC$400,IF(OR($C45=INPUTS!$B$69,$C45=INPUTS!$B$70),INPUTS!$B$71,$C45),'KNOWIFY REVIEW'!$AD$4:$AD$400,1),""))</f>
        <v/>
      </c>
      <c r="S45" s="24" t="str">
        <f aca="false">IF(MAX(N($Q45),N($R45))&gt;1.1,"Past job ran over budget","")</f>
        <v/>
      </c>
    </row>
    <row r="46" customFormat="false" ht="15" hidden="false" customHeight="false" outlineLevel="0" collapsed="false">
      <c r="A46" s="10" t="s">
        <v>317</v>
      </c>
      <c r="B46" s="10" t="s">
        <v>99</v>
      </c>
      <c r="C46" s="10" t="s">
        <v>150</v>
      </c>
      <c r="D46" s="10" t="s">
        <v>288</v>
      </c>
      <c r="E46" s="38"/>
      <c r="F46" s="10" t="s">
        <v>276</v>
      </c>
      <c r="G46" s="39"/>
      <c r="H46" s="40"/>
      <c r="I46" s="39"/>
      <c r="J46" s="38"/>
      <c r="K46" s="10" t="s">
        <v>237</v>
      </c>
      <c r="L46" s="28" t="n">
        <f aca="false">($E46*$G46+$I46)*(1+IF($K46="N",0,INPUTS!$C$23))</f>
        <v>0</v>
      </c>
      <c r="M46" s="41" t="n">
        <f aca="false">$E46*$H46+$J46</f>
        <v>0</v>
      </c>
      <c r="N46" s="28" t="n">
        <f aca="false">$M46*IF(OR($B46="V",$B46="AC"),'LABOUR RATES'!$E$26,'LABOUR RATES'!$E$11)</f>
        <v>0</v>
      </c>
      <c r="O46" s="28" t="n">
        <f aca="false">$M46*IF(OR($B46="V",$B46="AC"),'LABOUR RATES'!$C$27,'LABOUR RATES'!$C$12)</f>
        <v>0</v>
      </c>
      <c r="P46" s="42" t="n">
        <f aca="false">$L46+$N46+$O46</f>
        <v>0</v>
      </c>
      <c r="Q46" s="43" t="str">
        <f aca="false">IF(OR($B46="",$C46=""),"",IFERROR(SUMIFS('KNOWIFY REVIEW'!$AF$4:$AF$400,'KNOWIFY REVIEW'!$AB$4:$AB$400,$B46,'KNOWIFY REVIEW'!$AC$4:$AC$400,$C46,'KNOWIFY REVIEW'!$AD$4:$AD$400,1)/SUMIFS('KNOWIFY REVIEW'!$AE$4:$AE$400,'KNOWIFY REVIEW'!$AB$4:$AB$400,$B46,'KNOWIFY REVIEW'!$AC$4:$AC$400,$C46,'KNOWIFY REVIEW'!$AD$4:$AD$400,1),""))</f>
        <v/>
      </c>
      <c r="R46" s="43" t="str">
        <f aca="false">IF(OR($B46="",$C46=""),"",IFERROR(SUMIFS('KNOWIFY REVIEW'!$AH$4:$AH$400,'KNOWIFY REVIEW'!$AB$4:$AB$400,$B46,'KNOWIFY REVIEW'!$AC$4:$AC$400,IF(OR($C46=INPUTS!$B$69,$C46=INPUTS!$B$70),INPUTS!$B$71,$C46),'KNOWIFY REVIEW'!$AD$4:$AD$400,1)/SUMIFS('KNOWIFY REVIEW'!$AG$4:$AG$400,'KNOWIFY REVIEW'!$AB$4:$AB$400,$B46,'KNOWIFY REVIEW'!$AC$4:$AC$400,IF(OR($C46=INPUTS!$B$69,$C46=INPUTS!$B$70),INPUTS!$B$71,$C46),'KNOWIFY REVIEW'!$AD$4:$AD$400,1),""))</f>
        <v/>
      </c>
      <c r="S46" s="24" t="str">
        <f aca="false">IF(MAX(N($Q46),N($R46))&gt;1.1,"Past job ran over budget","")</f>
        <v/>
      </c>
    </row>
    <row r="47" customFormat="false" ht="15" hidden="false" customHeight="false" outlineLevel="0" collapsed="false">
      <c r="A47" s="10" t="s">
        <v>318</v>
      </c>
      <c r="B47" s="10" t="s">
        <v>99</v>
      </c>
      <c r="C47" s="10" t="s">
        <v>150</v>
      </c>
      <c r="D47" s="10" t="s">
        <v>290</v>
      </c>
      <c r="E47" s="38"/>
      <c r="F47" s="10" t="s">
        <v>276</v>
      </c>
      <c r="G47" s="39"/>
      <c r="H47" s="40"/>
      <c r="I47" s="39"/>
      <c r="J47" s="38"/>
      <c r="K47" s="10" t="s">
        <v>237</v>
      </c>
      <c r="L47" s="28" t="n">
        <f aca="false">($E47*$G47+$I47)*(1+IF($K47="N",0,INPUTS!$C$23))</f>
        <v>0</v>
      </c>
      <c r="M47" s="41" t="n">
        <f aca="false">$E47*$H47+$J47</f>
        <v>0</v>
      </c>
      <c r="N47" s="28" t="n">
        <f aca="false">$M47*IF(OR($B47="V",$B47="AC"),'LABOUR RATES'!$E$26,'LABOUR RATES'!$E$11)</f>
        <v>0</v>
      </c>
      <c r="O47" s="28" t="n">
        <f aca="false">$M47*IF(OR($B47="V",$B47="AC"),'LABOUR RATES'!$C$27,'LABOUR RATES'!$C$12)</f>
        <v>0</v>
      </c>
      <c r="P47" s="42" t="n">
        <f aca="false">$L47+$N47+$O47</f>
        <v>0</v>
      </c>
      <c r="Q47" s="43" t="str">
        <f aca="false">IF(OR($B47="",$C47=""),"",IFERROR(SUMIFS('KNOWIFY REVIEW'!$AF$4:$AF$400,'KNOWIFY REVIEW'!$AB$4:$AB$400,$B47,'KNOWIFY REVIEW'!$AC$4:$AC$400,$C47,'KNOWIFY REVIEW'!$AD$4:$AD$400,1)/SUMIFS('KNOWIFY REVIEW'!$AE$4:$AE$400,'KNOWIFY REVIEW'!$AB$4:$AB$400,$B47,'KNOWIFY REVIEW'!$AC$4:$AC$400,$C47,'KNOWIFY REVIEW'!$AD$4:$AD$400,1),""))</f>
        <v/>
      </c>
      <c r="R47" s="43" t="str">
        <f aca="false">IF(OR($B47="",$C47=""),"",IFERROR(SUMIFS('KNOWIFY REVIEW'!$AH$4:$AH$400,'KNOWIFY REVIEW'!$AB$4:$AB$400,$B47,'KNOWIFY REVIEW'!$AC$4:$AC$400,IF(OR($C47=INPUTS!$B$69,$C47=INPUTS!$B$70),INPUTS!$B$71,$C47),'KNOWIFY REVIEW'!$AD$4:$AD$400,1)/SUMIFS('KNOWIFY REVIEW'!$AG$4:$AG$400,'KNOWIFY REVIEW'!$AB$4:$AB$400,$B47,'KNOWIFY REVIEW'!$AC$4:$AC$400,IF(OR($C47=INPUTS!$B$69,$C47=INPUTS!$B$70),INPUTS!$B$71,$C47),'KNOWIFY REVIEW'!$AD$4:$AD$400,1),""))</f>
        <v/>
      </c>
      <c r="S47" s="24" t="str">
        <f aca="false">IF(MAX(N($Q47),N($R47))&gt;1.1,"Past job ran over budget","")</f>
        <v/>
      </c>
    </row>
    <row r="48" customFormat="false" ht="15" hidden="false" customHeight="false" outlineLevel="0" collapsed="false">
      <c r="A48" s="10" t="s">
        <v>319</v>
      </c>
      <c r="B48" s="10" t="s">
        <v>99</v>
      </c>
      <c r="C48" s="10" t="s">
        <v>151</v>
      </c>
      <c r="D48" s="10" t="s">
        <v>294</v>
      </c>
      <c r="E48" s="38"/>
      <c r="F48" s="10" t="s">
        <v>236</v>
      </c>
      <c r="G48" s="39"/>
      <c r="H48" s="40"/>
      <c r="I48" s="39"/>
      <c r="J48" s="38"/>
      <c r="K48" s="10" t="s">
        <v>237</v>
      </c>
      <c r="L48" s="28" t="n">
        <f aca="false">($E48*$G48+$I48)*(1+IF($K48="N",0,INPUTS!$C$23))</f>
        <v>0</v>
      </c>
      <c r="M48" s="41" t="n">
        <f aca="false">$E48*$H48+$J48</f>
        <v>0</v>
      </c>
      <c r="N48" s="28" t="n">
        <f aca="false">$M48*IF(OR($B48="V",$B48="AC"),'LABOUR RATES'!$E$26,'LABOUR RATES'!$E$11)</f>
        <v>0</v>
      </c>
      <c r="O48" s="28" t="n">
        <f aca="false">$M48*IF(OR($B48="V",$B48="AC"),'LABOUR RATES'!$C$27,'LABOUR RATES'!$C$12)</f>
        <v>0</v>
      </c>
      <c r="P48" s="42" t="n">
        <f aca="false">$L48+$N48+$O48</f>
        <v>0</v>
      </c>
      <c r="Q48" s="43" t="str">
        <f aca="false">IF(OR($B48="",$C48=""),"",IFERROR(SUMIFS('KNOWIFY REVIEW'!$AF$4:$AF$400,'KNOWIFY REVIEW'!$AB$4:$AB$400,$B48,'KNOWIFY REVIEW'!$AC$4:$AC$400,$C48,'KNOWIFY REVIEW'!$AD$4:$AD$400,1)/SUMIFS('KNOWIFY REVIEW'!$AE$4:$AE$400,'KNOWIFY REVIEW'!$AB$4:$AB$400,$B48,'KNOWIFY REVIEW'!$AC$4:$AC$400,$C48,'KNOWIFY REVIEW'!$AD$4:$AD$400,1),""))</f>
        <v/>
      </c>
      <c r="R48" s="43" t="str">
        <f aca="false">IF(OR($B48="",$C48=""),"",IFERROR(SUMIFS('KNOWIFY REVIEW'!$AH$4:$AH$400,'KNOWIFY REVIEW'!$AB$4:$AB$400,$B48,'KNOWIFY REVIEW'!$AC$4:$AC$400,IF(OR($C48=INPUTS!$B$69,$C48=INPUTS!$B$70),INPUTS!$B$71,$C48),'KNOWIFY REVIEW'!$AD$4:$AD$400,1)/SUMIFS('KNOWIFY REVIEW'!$AG$4:$AG$400,'KNOWIFY REVIEW'!$AB$4:$AB$400,$B48,'KNOWIFY REVIEW'!$AC$4:$AC$400,IF(OR($C48=INPUTS!$B$69,$C48=INPUTS!$B$70),INPUTS!$B$71,$C48),'KNOWIFY REVIEW'!$AD$4:$AD$400,1),""))</f>
        <v/>
      </c>
      <c r="S48" s="24" t="str">
        <f aca="false">IF(MAX(N($Q48),N($R48))&gt;1.1,"Past job ran over budget","")</f>
        <v/>
      </c>
    </row>
    <row r="49" customFormat="false" ht="15" hidden="false" customHeight="false" outlineLevel="0" collapsed="false">
      <c r="A49" s="10" t="s">
        <v>320</v>
      </c>
      <c r="B49" s="10" t="s">
        <v>99</v>
      </c>
      <c r="C49" s="10" t="s">
        <v>151</v>
      </c>
      <c r="D49" s="10" t="s">
        <v>296</v>
      </c>
      <c r="E49" s="38"/>
      <c r="F49" s="10" t="s">
        <v>276</v>
      </c>
      <c r="G49" s="39"/>
      <c r="H49" s="40"/>
      <c r="I49" s="39"/>
      <c r="J49" s="38"/>
      <c r="K49" s="10" t="s">
        <v>237</v>
      </c>
      <c r="L49" s="28" t="n">
        <f aca="false">($E49*$G49+$I49)*(1+IF($K49="N",0,INPUTS!$C$23))</f>
        <v>0</v>
      </c>
      <c r="M49" s="41" t="n">
        <f aca="false">$E49*$H49+$J49</f>
        <v>0</v>
      </c>
      <c r="N49" s="28" t="n">
        <f aca="false">$M49*IF(OR($B49="V",$B49="AC"),'LABOUR RATES'!$E$26,'LABOUR RATES'!$E$11)</f>
        <v>0</v>
      </c>
      <c r="O49" s="28" t="n">
        <f aca="false">$M49*IF(OR($B49="V",$B49="AC"),'LABOUR RATES'!$C$27,'LABOUR RATES'!$C$12)</f>
        <v>0</v>
      </c>
      <c r="P49" s="42" t="n">
        <f aca="false">$L49+$N49+$O49</f>
        <v>0</v>
      </c>
      <c r="Q49" s="43" t="str">
        <f aca="false">IF(OR($B49="",$C49=""),"",IFERROR(SUMIFS('KNOWIFY REVIEW'!$AF$4:$AF$400,'KNOWIFY REVIEW'!$AB$4:$AB$400,$B49,'KNOWIFY REVIEW'!$AC$4:$AC$400,$C49,'KNOWIFY REVIEW'!$AD$4:$AD$400,1)/SUMIFS('KNOWIFY REVIEW'!$AE$4:$AE$400,'KNOWIFY REVIEW'!$AB$4:$AB$400,$B49,'KNOWIFY REVIEW'!$AC$4:$AC$400,$C49,'KNOWIFY REVIEW'!$AD$4:$AD$400,1),""))</f>
        <v/>
      </c>
      <c r="R49" s="43" t="str">
        <f aca="false">IF(OR($B49="",$C49=""),"",IFERROR(SUMIFS('KNOWIFY REVIEW'!$AH$4:$AH$400,'KNOWIFY REVIEW'!$AB$4:$AB$400,$B49,'KNOWIFY REVIEW'!$AC$4:$AC$400,IF(OR($C49=INPUTS!$B$69,$C49=INPUTS!$B$70),INPUTS!$B$71,$C49),'KNOWIFY REVIEW'!$AD$4:$AD$400,1)/SUMIFS('KNOWIFY REVIEW'!$AG$4:$AG$400,'KNOWIFY REVIEW'!$AB$4:$AB$400,$B49,'KNOWIFY REVIEW'!$AC$4:$AC$400,IF(OR($C49=INPUTS!$B$69,$C49=INPUTS!$B$70),INPUTS!$B$71,$C49),'KNOWIFY REVIEW'!$AD$4:$AD$400,1),""))</f>
        <v/>
      </c>
      <c r="S49" s="24" t="str">
        <f aca="false">IF(MAX(N($Q49),N($R49))&gt;1.1,"Past job ran over budget","")</f>
        <v/>
      </c>
    </row>
    <row r="50" customFormat="false" ht="15" hidden="false" customHeight="false" outlineLevel="0" collapsed="false">
      <c r="A50" s="10" t="s">
        <v>321</v>
      </c>
      <c r="B50" s="10" t="s">
        <v>99</v>
      </c>
      <c r="C50" s="10" t="s">
        <v>153</v>
      </c>
      <c r="D50" s="10" t="s">
        <v>322</v>
      </c>
      <c r="E50" s="38"/>
      <c r="F50" s="10" t="s">
        <v>276</v>
      </c>
      <c r="G50" s="39"/>
      <c r="H50" s="40"/>
      <c r="I50" s="39"/>
      <c r="J50" s="38"/>
      <c r="K50" s="10" t="s">
        <v>237</v>
      </c>
      <c r="L50" s="28" t="n">
        <f aca="false">($E50*$G50+$I50)*(1+IF($K50="N",0,INPUTS!$C$23))</f>
        <v>0</v>
      </c>
      <c r="M50" s="41" t="n">
        <f aca="false">$E50*$H50+$J50</f>
        <v>0</v>
      </c>
      <c r="N50" s="28" t="n">
        <f aca="false">$M50*IF(OR($B50="V",$B50="AC"),'LABOUR RATES'!$E$26,'LABOUR RATES'!$E$11)</f>
        <v>0</v>
      </c>
      <c r="O50" s="28" t="n">
        <f aca="false">$M50*IF(OR($B50="V",$B50="AC"),'LABOUR RATES'!$C$27,'LABOUR RATES'!$C$12)</f>
        <v>0</v>
      </c>
      <c r="P50" s="42" t="n">
        <f aca="false">$L50+$N50+$O50</f>
        <v>0</v>
      </c>
      <c r="Q50" s="43" t="str">
        <f aca="false">IF(OR($B50="",$C50=""),"",IFERROR(SUMIFS('KNOWIFY REVIEW'!$AF$4:$AF$400,'KNOWIFY REVIEW'!$AB$4:$AB$400,$B50,'KNOWIFY REVIEW'!$AC$4:$AC$400,$C50,'KNOWIFY REVIEW'!$AD$4:$AD$400,1)/SUMIFS('KNOWIFY REVIEW'!$AE$4:$AE$400,'KNOWIFY REVIEW'!$AB$4:$AB$400,$B50,'KNOWIFY REVIEW'!$AC$4:$AC$400,$C50,'KNOWIFY REVIEW'!$AD$4:$AD$400,1),""))</f>
        <v/>
      </c>
      <c r="R50" s="43" t="str">
        <f aca="false">IF(OR($B50="",$C50=""),"",IFERROR(SUMIFS('KNOWIFY REVIEW'!$AH$4:$AH$400,'KNOWIFY REVIEW'!$AB$4:$AB$400,$B50,'KNOWIFY REVIEW'!$AC$4:$AC$400,IF(OR($C50=INPUTS!$B$69,$C50=INPUTS!$B$70),INPUTS!$B$71,$C50),'KNOWIFY REVIEW'!$AD$4:$AD$400,1)/SUMIFS('KNOWIFY REVIEW'!$AG$4:$AG$400,'KNOWIFY REVIEW'!$AB$4:$AB$400,$B50,'KNOWIFY REVIEW'!$AC$4:$AC$400,IF(OR($C50=INPUTS!$B$69,$C50=INPUTS!$B$70),INPUTS!$B$71,$C50),'KNOWIFY REVIEW'!$AD$4:$AD$400,1),""))</f>
        <v/>
      </c>
      <c r="S50" s="24" t="str">
        <f aca="false">IF(MAX(N($Q50),N($R50))&gt;1.1,"Past job ran over budget","")</f>
        <v/>
      </c>
    </row>
    <row r="51" customFormat="false" ht="15" hidden="false" customHeight="false" outlineLevel="0" collapsed="false">
      <c r="A51" s="10" t="s">
        <v>323</v>
      </c>
      <c r="B51" s="10" t="s">
        <v>99</v>
      </c>
      <c r="C51" s="10" t="s">
        <v>153</v>
      </c>
      <c r="D51" s="10" t="s">
        <v>324</v>
      </c>
      <c r="E51" s="38"/>
      <c r="F51" s="10" t="s">
        <v>276</v>
      </c>
      <c r="G51" s="39"/>
      <c r="H51" s="40"/>
      <c r="I51" s="39"/>
      <c r="J51" s="38"/>
      <c r="K51" s="10" t="s">
        <v>237</v>
      </c>
      <c r="L51" s="28" t="n">
        <f aca="false">($E51*$G51+$I51)*(1+IF($K51="N",0,INPUTS!$C$23))</f>
        <v>0</v>
      </c>
      <c r="M51" s="41" t="n">
        <f aca="false">$E51*$H51+$J51</f>
        <v>0</v>
      </c>
      <c r="N51" s="28" t="n">
        <f aca="false">$M51*IF(OR($B51="V",$B51="AC"),'LABOUR RATES'!$E$26,'LABOUR RATES'!$E$11)</f>
        <v>0</v>
      </c>
      <c r="O51" s="28" t="n">
        <f aca="false">$M51*IF(OR($B51="V",$B51="AC"),'LABOUR RATES'!$C$27,'LABOUR RATES'!$C$12)</f>
        <v>0</v>
      </c>
      <c r="P51" s="42" t="n">
        <f aca="false">$L51+$N51+$O51</f>
        <v>0</v>
      </c>
      <c r="Q51" s="43" t="str">
        <f aca="false">IF(OR($B51="",$C51=""),"",IFERROR(SUMIFS('KNOWIFY REVIEW'!$AF$4:$AF$400,'KNOWIFY REVIEW'!$AB$4:$AB$400,$B51,'KNOWIFY REVIEW'!$AC$4:$AC$400,$C51,'KNOWIFY REVIEW'!$AD$4:$AD$400,1)/SUMIFS('KNOWIFY REVIEW'!$AE$4:$AE$400,'KNOWIFY REVIEW'!$AB$4:$AB$400,$B51,'KNOWIFY REVIEW'!$AC$4:$AC$400,$C51,'KNOWIFY REVIEW'!$AD$4:$AD$400,1),""))</f>
        <v/>
      </c>
      <c r="R51" s="43" t="str">
        <f aca="false">IF(OR($B51="",$C51=""),"",IFERROR(SUMIFS('KNOWIFY REVIEW'!$AH$4:$AH$400,'KNOWIFY REVIEW'!$AB$4:$AB$400,$B51,'KNOWIFY REVIEW'!$AC$4:$AC$400,IF(OR($C51=INPUTS!$B$69,$C51=INPUTS!$B$70),INPUTS!$B$71,$C51),'KNOWIFY REVIEW'!$AD$4:$AD$400,1)/SUMIFS('KNOWIFY REVIEW'!$AG$4:$AG$400,'KNOWIFY REVIEW'!$AB$4:$AB$400,$B51,'KNOWIFY REVIEW'!$AC$4:$AC$400,IF(OR($C51=INPUTS!$B$69,$C51=INPUTS!$B$70),INPUTS!$B$71,$C51),'KNOWIFY REVIEW'!$AD$4:$AD$400,1),""))</f>
        <v/>
      </c>
      <c r="S51" s="24" t="str">
        <f aca="false">IF(MAX(N($Q51),N($R51))&gt;1.1,"Past job ran over budget","")</f>
        <v/>
      </c>
    </row>
    <row r="52" customFormat="false" ht="15" hidden="false" customHeight="false" outlineLevel="0" collapsed="false">
      <c r="A52" s="10" t="s">
        <v>325</v>
      </c>
      <c r="B52" s="10" t="s">
        <v>99</v>
      </c>
      <c r="C52" s="10" t="s">
        <v>154</v>
      </c>
      <c r="D52" s="10" t="s">
        <v>304</v>
      </c>
      <c r="E52" s="38"/>
      <c r="F52" s="10" t="s">
        <v>276</v>
      </c>
      <c r="G52" s="39"/>
      <c r="H52" s="40"/>
      <c r="I52" s="39"/>
      <c r="J52" s="38"/>
      <c r="K52" s="10" t="s">
        <v>237</v>
      </c>
      <c r="L52" s="28" t="n">
        <f aca="false">($E52*$G52+$I52)*(1+IF($K52="N",0,INPUTS!$C$23))</f>
        <v>0</v>
      </c>
      <c r="M52" s="41" t="n">
        <f aca="false">$E52*$H52+$J52</f>
        <v>0</v>
      </c>
      <c r="N52" s="28" t="n">
        <f aca="false">$M52*IF(OR($B52="V",$B52="AC"),'LABOUR RATES'!$E$26,'LABOUR RATES'!$E$11)</f>
        <v>0</v>
      </c>
      <c r="O52" s="28" t="n">
        <f aca="false">$M52*IF(OR($B52="V",$B52="AC"),'LABOUR RATES'!$C$27,'LABOUR RATES'!$C$12)</f>
        <v>0</v>
      </c>
      <c r="P52" s="42" t="n">
        <f aca="false">$L52+$N52+$O52</f>
        <v>0</v>
      </c>
      <c r="Q52" s="43" t="str">
        <f aca="false">IF(OR($B52="",$C52=""),"",IFERROR(SUMIFS('KNOWIFY REVIEW'!$AF$4:$AF$400,'KNOWIFY REVIEW'!$AB$4:$AB$400,$B52,'KNOWIFY REVIEW'!$AC$4:$AC$400,$C52,'KNOWIFY REVIEW'!$AD$4:$AD$400,1)/SUMIFS('KNOWIFY REVIEW'!$AE$4:$AE$400,'KNOWIFY REVIEW'!$AB$4:$AB$400,$B52,'KNOWIFY REVIEW'!$AC$4:$AC$400,$C52,'KNOWIFY REVIEW'!$AD$4:$AD$400,1),""))</f>
        <v/>
      </c>
      <c r="R52" s="43" t="str">
        <f aca="false">IF(OR($B52="",$C52=""),"",IFERROR(SUMIFS('KNOWIFY REVIEW'!$AH$4:$AH$400,'KNOWIFY REVIEW'!$AB$4:$AB$400,$B52,'KNOWIFY REVIEW'!$AC$4:$AC$400,IF(OR($C52=INPUTS!$B$69,$C52=INPUTS!$B$70),INPUTS!$B$71,$C52),'KNOWIFY REVIEW'!$AD$4:$AD$400,1)/SUMIFS('KNOWIFY REVIEW'!$AG$4:$AG$400,'KNOWIFY REVIEW'!$AB$4:$AB$400,$B52,'KNOWIFY REVIEW'!$AC$4:$AC$400,IF(OR($C52=INPUTS!$B$69,$C52=INPUTS!$B$70),INPUTS!$B$71,$C52),'KNOWIFY REVIEW'!$AD$4:$AD$400,1),""))</f>
        <v/>
      </c>
      <c r="S52" s="24" t="str">
        <f aca="false">IF(MAX(N($Q52),N($R52))&gt;1.1,"Past job ran over budget","")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38"/>
      <c r="F53" s="10"/>
      <c r="G53" s="39"/>
      <c r="H53" s="40"/>
      <c r="I53" s="39"/>
      <c r="J53" s="38"/>
      <c r="K53" s="10" t="s">
        <v>237</v>
      </c>
      <c r="L53" s="28" t="n">
        <f aca="false">($E53*$G53+$I53)*(1+IF($K53="N",0,INPUTS!$C$23))</f>
        <v>0</v>
      </c>
      <c r="M53" s="41" t="n">
        <f aca="false">$E53*$H53+$J53</f>
        <v>0</v>
      </c>
      <c r="N53" s="28" t="n">
        <f aca="false">$M53*IF(OR($B53="V",$B53="AC"),'LABOUR RATES'!$E$26,'LABOUR RATES'!$E$11)</f>
        <v>0</v>
      </c>
      <c r="O53" s="28" t="n">
        <f aca="false">$M53*IF(OR($B53="V",$B53="AC"),'LABOUR RATES'!$C$27,'LABOUR RATES'!$C$12)</f>
        <v>0</v>
      </c>
      <c r="P53" s="42" t="n">
        <f aca="false">$L53+$N53+$O53</f>
        <v>0</v>
      </c>
      <c r="Q53" s="43" t="str">
        <f aca="false">IF(OR($B53="",$C53=""),"",IFERROR(SUMIFS('KNOWIFY REVIEW'!$AF$4:$AF$400,'KNOWIFY REVIEW'!$AB$4:$AB$400,$B53,'KNOWIFY REVIEW'!$AC$4:$AC$400,$C53,'KNOWIFY REVIEW'!$AD$4:$AD$400,1)/SUMIFS('KNOWIFY REVIEW'!$AE$4:$AE$400,'KNOWIFY REVIEW'!$AB$4:$AB$400,$B53,'KNOWIFY REVIEW'!$AC$4:$AC$400,$C53,'KNOWIFY REVIEW'!$AD$4:$AD$400,1),""))</f>
        <v/>
      </c>
      <c r="R53" s="43" t="str">
        <f aca="false">IF(OR($B53="",$C53=""),"",IFERROR(SUMIFS('KNOWIFY REVIEW'!$AH$4:$AH$400,'KNOWIFY REVIEW'!$AB$4:$AB$400,$B53,'KNOWIFY REVIEW'!$AC$4:$AC$400,IF(OR($C53=INPUTS!$B$69,$C53=INPUTS!$B$70),INPUTS!$B$71,$C53),'KNOWIFY REVIEW'!$AD$4:$AD$400,1)/SUMIFS('KNOWIFY REVIEW'!$AG$4:$AG$400,'KNOWIFY REVIEW'!$AB$4:$AB$400,$B53,'KNOWIFY REVIEW'!$AC$4:$AC$400,IF(OR($C53=INPUTS!$B$69,$C53=INPUTS!$B$70),INPUTS!$B$71,$C53),'KNOWIFY REVIEW'!$AD$4:$AD$400,1),""))</f>
        <v/>
      </c>
      <c r="S53" s="24" t="str">
        <f aca="false">IF(MAX(N($Q53),N($R53))&gt;1.1,"Past job ran over budget","")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38"/>
      <c r="F54" s="10"/>
      <c r="G54" s="39"/>
      <c r="H54" s="40"/>
      <c r="I54" s="39"/>
      <c r="J54" s="38"/>
      <c r="K54" s="10" t="s">
        <v>237</v>
      </c>
      <c r="L54" s="28" t="n">
        <f aca="false">($E54*$G54+$I54)*(1+IF($K54="N",0,INPUTS!$C$23))</f>
        <v>0</v>
      </c>
      <c r="M54" s="41" t="n">
        <f aca="false">$E54*$H54+$J54</f>
        <v>0</v>
      </c>
      <c r="N54" s="28" t="n">
        <f aca="false">$M54*IF(OR($B54="V",$B54="AC"),'LABOUR RATES'!$E$26,'LABOUR RATES'!$E$11)</f>
        <v>0</v>
      </c>
      <c r="O54" s="28" t="n">
        <f aca="false">$M54*IF(OR($B54="V",$B54="AC"),'LABOUR RATES'!$C$27,'LABOUR RATES'!$C$12)</f>
        <v>0</v>
      </c>
      <c r="P54" s="42" t="n">
        <f aca="false">$L54+$N54+$O54</f>
        <v>0</v>
      </c>
      <c r="Q54" s="43" t="str">
        <f aca="false">IF(OR($B54="",$C54=""),"",IFERROR(SUMIFS('KNOWIFY REVIEW'!$AF$4:$AF$400,'KNOWIFY REVIEW'!$AB$4:$AB$400,$B54,'KNOWIFY REVIEW'!$AC$4:$AC$400,$C54,'KNOWIFY REVIEW'!$AD$4:$AD$400,1)/SUMIFS('KNOWIFY REVIEW'!$AE$4:$AE$400,'KNOWIFY REVIEW'!$AB$4:$AB$400,$B54,'KNOWIFY REVIEW'!$AC$4:$AC$400,$C54,'KNOWIFY REVIEW'!$AD$4:$AD$400,1),""))</f>
        <v/>
      </c>
      <c r="R54" s="43" t="str">
        <f aca="false">IF(OR($B54="",$C54=""),"",IFERROR(SUMIFS('KNOWIFY REVIEW'!$AH$4:$AH$400,'KNOWIFY REVIEW'!$AB$4:$AB$400,$B54,'KNOWIFY REVIEW'!$AC$4:$AC$400,IF(OR($C54=INPUTS!$B$69,$C54=INPUTS!$B$70),INPUTS!$B$71,$C54),'KNOWIFY REVIEW'!$AD$4:$AD$400,1)/SUMIFS('KNOWIFY REVIEW'!$AG$4:$AG$400,'KNOWIFY REVIEW'!$AB$4:$AB$400,$B54,'KNOWIFY REVIEW'!$AC$4:$AC$400,IF(OR($C54=INPUTS!$B$69,$C54=INPUTS!$B$70),INPUTS!$B$71,$C54),'KNOWIFY REVIEW'!$AD$4:$AD$400,1),""))</f>
        <v/>
      </c>
      <c r="S54" s="24" t="str">
        <f aca="false">IF(MAX(N($Q54),N($R54))&gt;1.1,"Past job ran over budget","")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38"/>
      <c r="F55" s="10"/>
      <c r="G55" s="39"/>
      <c r="H55" s="40"/>
      <c r="I55" s="39"/>
      <c r="J55" s="38"/>
      <c r="K55" s="10" t="s">
        <v>237</v>
      </c>
      <c r="L55" s="28" t="n">
        <f aca="false">($E55*$G55+$I55)*(1+IF($K55="N",0,INPUTS!$C$23))</f>
        <v>0</v>
      </c>
      <c r="M55" s="41" t="n">
        <f aca="false">$E55*$H55+$J55</f>
        <v>0</v>
      </c>
      <c r="N55" s="28" t="n">
        <f aca="false">$M55*IF(OR($B55="V",$B55="AC"),'LABOUR RATES'!$E$26,'LABOUR RATES'!$E$11)</f>
        <v>0</v>
      </c>
      <c r="O55" s="28" t="n">
        <f aca="false">$M55*IF(OR($B55="V",$B55="AC"),'LABOUR RATES'!$C$27,'LABOUR RATES'!$C$12)</f>
        <v>0</v>
      </c>
      <c r="P55" s="42" t="n">
        <f aca="false">$L55+$N55+$O55</f>
        <v>0</v>
      </c>
      <c r="Q55" s="43" t="str">
        <f aca="false">IF(OR($B55="",$C55=""),"",IFERROR(SUMIFS('KNOWIFY REVIEW'!$AF$4:$AF$400,'KNOWIFY REVIEW'!$AB$4:$AB$400,$B55,'KNOWIFY REVIEW'!$AC$4:$AC$400,$C55,'KNOWIFY REVIEW'!$AD$4:$AD$400,1)/SUMIFS('KNOWIFY REVIEW'!$AE$4:$AE$400,'KNOWIFY REVIEW'!$AB$4:$AB$400,$B55,'KNOWIFY REVIEW'!$AC$4:$AC$400,$C55,'KNOWIFY REVIEW'!$AD$4:$AD$400,1),""))</f>
        <v/>
      </c>
      <c r="R55" s="43" t="str">
        <f aca="false">IF(OR($B55="",$C55=""),"",IFERROR(SUMIFS('KNOWIFY REVIEW'!$AH$4:$AH$400,'KNOWIFY REVIEW'!$AB$4:$AB$400,$B55,'KNOWIFY REVIEW'!$AC$4:$AC$400,IF(OR($C55=INPUTS!$B$69,$C55=INPUTS!$B$70),INPUTS!$B$71,$C55),'KNOWIFY REVIEW'!$AD$4:$AD$400,1)/SUMIFS('KNOWIFY REVIEW'!$AG$4:$AG$400,'KNOWIFY REVIEW'!$AB$4:$AB$400,$B55,'KNOWIFY REVIEW'!$AC$4:$AC$400,IF(OR($C55=INPUTS!$B$69,$C55=INPUTS!$B$70),INPUTS!$B$71,$C55),'KNOWIFY REVIEW'!$AD$4:$AD$400,1),""))</f>
        <v/>
      </c>
      <c r="S55" s="24" t="str">
        <f aca="false">IF(MAX(N($Q55),N($R55))&gt;1.1,"Past job ran over budget","")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38"/>
      <c r="F56" s="10"/>
      <c r="G56" s="39"/>
      <c r="H56" s="40"/>
      <c r="I56" s="39"/>
      <c r="J56" s="38"/>
      <c r="K56" s="10" t="s">
        <v>237</v>
      </c>
      <c r="L56" s="28" t="n">
        <f aca="false">($E56*$G56+$I56)*(1+IF($K56="N",0,INPUTS!$C$23))</f>
        <v>0</v>
      </c>
      <c r="M56" s="41" t="n">
        <f aca="false">$E56*$H56+$J56</f>
        <v>0</v>
      </c>
      <c r="N56" s="28" t="n">
        <f aca="false">$M56*IF(OR($B56="V",$B56="AC"),'LABOUR RATES'!$E$26,'LABOUR RATES'!$E$11)</f>
        <v>0</v>
      </c>
      <c r="O56" s="28" t="n">
        <f aca="false">$M56*IF(OR($B56="V",$B56="AC"),'LABOUR RATES'!$C$27,'LABOUR RATES'!$C$12)</f>
        <v>0</v>
      </c>
      <c r="P56" s="42" t="n">
        <f aca="false">$L56+$N56+$O56</f>
        <v>0</v>
      </c>
      <c r="Q56" s="43" t="str">
        <f aca="false">IF(OR($B56="",$C56=""),"",IFERROR(SUMIFS('KNOWIFY REVIEW'!$AF$4:$AF$400,'KNOWIFY REVIEW'!$AB$4:$AB$400,$B56,'KNOWIFY REVIEW'!$AC$4:$AC$400,$C56,'KNOWIFY REVIEW'!$AD$4:$AD$400,1)/SUMIFS('KNOWIFY REVIEW'!$AE$4:$AE$400,'KNOWIFY REVIEW'!$AB$4:$AB$400,$B56,'KNOWIFY REVIEW'!$AC$4:$AC$400,$C56,'KNOWIFY REVIEW'!$AD$4:$AD$400,1),""))</f>
        <v/>
      </c>
      <c r="R56" s="43" t="str">
        <f aca="false">IF(OR($B56="",$C56=""),"",IFERROR(SUMIFS('KNOWIFY REVIEW'!$AH$4:$AH$400,'KNOWIFY REVIEW'!$AB$4:$AB$400,$B56,'KNOWIFY REVIEW'!$AC$4:$AC$400,IF(OR($C56=INPUTS!$B$69,$C56=INPUTS!$B$70),INPUTS!$B$71,$C56),'KNOWIFY REVIEW'!$AD$4:$AD$400,1)/SUMIFS('KNOWIFY REVIEW'!$AG$4:$AG$400,'KNOWIFY REVIEW'!$AB$4:$AB$400,$B56,'KNOWIFY REVIEW'!$AC$4:$AC$400,IF(OR($C56=INPUTS!$B$69,$C56=INPUTS!$B$70),INPUTS!$B$71,$C56),'KNOWIFY REVIEW'!$AD$4:$AD$400,1),""))</f>
        <v/>
      </c>
      <c r="S56" s="24" t="str">
        <f aca="false">IF(MAX(N($Q56),N($R56))&gt;1.1,"Past job ran over budget","")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38"/>
      <c r="F57" s="10"/>
      <c r="G57" s="39"/>
      <c r="H57" s="40"/>
      <c r="I57" s="39"/>
      <c r="J57" s="38"/>
      <c r="K57" s="10" t="s">
        <v>237</v>
      </c>
      <c r="L57" s="28" t="n">
        <f aca="false">($E57*$G57+$I57)*(1+IF($K57="N",0,INPUTS!$C$23))</f>
        <v>0</v>
      </c>
      <c r="M57" s="41" t="n">
        <f aca="false">$E57*$H57+$J57</f>
        <v>0</v>
      </c>
      <c r="N57" s="28" t="n">
        <f aca="false">$M57*IF(OR($B57="V",$B57="AC"),'LABOUR RATES'!$E$26,'LABOUR RATES'!$E$11)</f>
        <v>0</v>
      </c>
      <c r="O57" s="28" t="n">
        <f aca="false">$M57*IF(OR($B57="V",$B57="AC"),'LABOUR RATES'!$C$27,'LABOUR RATES'!$C$12)</f>
        <v>0</v>
      </c>
      <c r="P57" s="42" t="n">
        <f aca="false">$L57+$N57+$O57</f>
        <v>0</v>
      </c>
      <c r="Q57" s="43" t="str">
        <f aca="false">IF(OR($B57="",$C57=""),"",IFERROR(SUMIFS('KNOWIFY REVIEW'!$AF$4:$AF$400,'KNOWIFY REVIEW'!$AB$4:$AB$400,$B57,'KNOWIFY REVIEW'!$AC$4:$AC$400,$C57,'KNOWIFY REVIEW'!$AD$4:$AD$400,1)/SUMIFS('KNOWIFY REVIEW'!$AE$4:$AE$400,'KNOWIFY REVIEW'!$AB$4:$AB$400,$B57,'KNOWIFY REVIEW'!$AC$4:$AC$400,$C57,'KNOWIFY REVIEW'!$AD$4:$AD$400,1),""))</f>
        <v/>
      </c>
      <c r="R57" s="43" t="str">
        <f aca="false">IF(OR($B57="",$C57=""),"",IFERROR(SUMIFS('KNOWIFY REVIEW'!$AH$4:$AH$400,'KNOWIFY REVIEW'!$AB$4:$AB$400,$B57,'KNOWIFY REVIEW'!$AC$4:$AC$400,IF(OR($C57=INPUTS!$B$69,$C57=INPUTS!$B$70),INPUTS!$B$71,$C57),'KNOWIFY REVIEW'!$AD$4:$AD$400,1)/SUMIFS('KNOWIFY REVIEW'!$AG$4:$AG$400,'KNOWIFY REVIEW'!$AB$4:$AB$400,$B57,'KNOWIFY REVIEW'!$AC$4:$AC$400,IF(OR($C57=INPUTS!$B$69,$C57=INPUTS!$B$70),INPUTS!$B$71,$C57),'KNOWIFY REVIEW'!$AD$4:$AD$400,1),""))</f>
        <v/>
      </c>
      <c r="S57" s="24" t="str">
        <f aca="false">IF(MAX(N($Q57),N($R57))&gt;1.1,"Past job ran over budget","")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38"/>
      <c r="F58" s="10"/>
      <c r="G58" s="39"/>
      <c r="H58" s="40"/>
      <c r="I58" s="39"/>
      <c r="J58" s="38"/>
      <c r="K58" s="10" t="s">
        <v>237</v>
      </c>
      <c r="L58" s="28" t="n">
        <f aca="false">($E58*$G58+$I58)*(1+IF($K58="N",0,INPUTS!$C$23))</f>
        <v>0</v>
      </c>
      <c r="M58" s="41" t="n">
        <f aca="false">$E58*$H58+$J58</f>
        <v>0</v>
      </c>
      <c r="N58" s="28" t="n">
        <f aca="false">$M58*IF(OR($B58="V",$B58="AC"),'LABOUR RATES'!$E$26,'LABOUR RATES'!$E$11)</f>
        <v>0</v>
      </c>
      <c r="O58" s="28" t="n">
        <f aca="false">$M58*IF(OR($B58="V",$B58="AC"),'LABOUR RATES'!$C$27,'LABOUR RATES'!$C$12)</f>
        <v>0</v>
      </c>
      <c r="P58" s="42" t="n">
        <f aca="false">$L58+$N58+$O58</f>
        <v>0</v>
      </c>
      <c r="Q58" s="43" t="str">
        <f aca="false">IF(OR($B58="",$C58=""),"",IFERROR(SUMIFS('KNOWIFY REVIEW'!$AF$4:$AF$400,'KNOWIFY REVIEW'!$AB$4:$AB$400,$B58,'KNOWIFY REVIEW'!$AC$4:$AC$400,$C58,'KNOWIFY REVIEW'!$AD$4:$AD$400,1)/SUMIFS('KNOWIFY REVIEW'!$AE$4:$AE$400,'KNOWIFY REVIEW'!$AB$4:$AB$400,$B58,'KNOWIFY REVIEW'!$AC$4:$AC$400,$C58,'KNOWIFY REVIEW'!$AD$4:$AD$400,1),""))</f>
        <v/>
      </c>
      <c r="R58" s="43" t="str">
        <f aca="false">IF(OR($B58="",$C58=""),"",IFERROR(SUMIFS('KNOWIFY REVIEW'!$AH$4:$AH$400,'KNOWIFY REVIEW'!$AB$4:$AB$400,$B58,'KNOWIFY REVIEW'!$AC$4:$AC$400,IF(OR($C58=INPUTS!$B$69,$C58=INPUTS!$B$70),INPUTS!$B$71,$C58),'KNOWIFY REVIEW'!$AD$4:$AD$400,1)/SUMIFS('KNOWIFY REVIEW'!$AG$4:$AG$400,'KNOWIFY REVIEW'!$AB$4:$AB$400,$B58,'KNOWIFY REVIEW'!$AC$4:$AC$400,IF(OR($C58=INPUTS!$B$69,$C58=INPUTS!$B$70),INPUTS!$B$71,$C58),'KNOWIFY REVIEW'!$AD$4:$AD$400,1),""))</f>
        <v/>
      </c>
      <c r="S58" s="24" t="str">
        <f aca="false">IF(MAX(N($Q58),N($R58))&gt;1.1,"Past job ran over budget","")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38"/>
      <c r="F59" s="10"/>
      <c r="G59" s="39"/>
      <c r="H59" s="40"/>
      <c r="I59" s="39"/>
      <c r="J59" s="38"/>
      <c r="K59" s="10" t="s">
        <v>237</v>
      </c>
      <c r="L59" s="28" t="n">
        <f aca="false">($E59*$G59+$I59)*(1+IF($K59="N",0,INPUTS!$C$23))</f>
        <v>0</v>
      </c>
      <c r="M59" s="41" t="n">
        <f aca="false">$E59*$H59+$J59</f>
        <v>0</v>
      </c>
      <c r="N59" s="28" t="n">
        <f aca="false">$M59*IF(OR($B59="V",$B59="AC"),'LABOUR RATES'!$E$26,'LABOUR RATES'!$E$11)</f>
        <v>0</v>
      </c>
      <c r="O59" s="28" t="n">
        <f aca="false">$M59*IF(OR($B59="V",$B59="AC"),'LABOUR RATES'!$C$27,'LABOUR RATES'!$C$12)</f>
        <v>0</v>
      </c>
      <c r="P59" s="42" t="n">
        <f aca="false">$L59+$N59+$O59</f>
        <v>0</v>
      </c>
      <c r="Q59" s="43" t="str">
        <f aca="false">IF(OR($B59="",$C59=""),"",IFERROR(SUMIFS('KNOWIFY REVIEW'!$AF$4:$AF$400,'KNOWIFY REVIEW'!$AB$4:$AB$400,$B59,'KNOWIFY REVIEW'!$AC$4:$AC$400,$C59,'KNOWIFY REVIEW'!$AD$4:$AD$400,1)/SUMIFS('KNOWIFY REVIEW'!$AE$4:$AE$400,'KNOWIFY REVIEW'!$AB$4:$AB$400,$B59,'KNOWIFY REVIEW'!$AC$4:$AC$400,$C59,'KNOWIFY REVIEW'!$AD$4:$AD$400,1),""))</f>
        <v/>
      </c>
      <c r="R59" s="43" t="str">
        <f aca="false">IF(OR($B59="",$C59=""),"",IFERROR(SUMIFS('KNOWIFY REVIEW'!$AH$4:$AH$400,'KNOWIFY REVIEW'!$AB$4:$AB$400,$B59,'KNOWIFY REVIEW'!$AC$4:$AC$400,IF(OR($C59=INPUTS!$B$69,$C59=INPUTS!$B$70),INPUTS!$B$71,$C59),'KNOWIFY REVIEW'!$AD$4:$AD$400,1)/SUMIFS('KNOWIFY REVIEW'!$AG$4:$AG$400,'KNOWIFY REVIEW'!$AB$4:$AB$400,$B59,'KNOWIFY REVIEW'!$AC$4:$AC$400,IF(OR($C59=INPUTS!$B$69,$C59=INPUTS!$B$70),INPUTS!$B$71,$C59),'KNOWIFY REVIEW'!$AD$4:$AD$400,1),""))</f>
        <v/>
      </c>
      <c r="S59" s="24" t="str">
        <f aca="false">IF(MAX(N($Q59),N($R59))&gt;1.1,"Past job ran over budget","")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38"/>
      <c r="F60" s="10"/>
      <c r="G60" s="39"/>
      <c r="H60" s="40"/>
      <c r="I60" s="39"/>
      <c r="J60" s="38"/>
      <c r="K60" s="10" t="s">
        <v>237</v>
      </c>
      <c r="L60" s="28" t="n">
        <f aca="false">($E60*$G60+$I60)*(1+IF($K60="N",0,INPUTS!$C$23))</f>
        <v>0</v>
      </c>
      <c r="M60" s="41" t="n">
        <f aca="false">$E60*$H60+$J60</f>
        <v>0</v>
      </c>
      <c r="N60" s="28" t="n">
        <f aca="false">$M60*IF(OR($B60="V",$B60="AC"),'LABOUR RATES'!$E$26,'LABOUR RATES'!$E$11)</f>
        <v>0</v>
      </c>
      <c r="O60" s="28" t="n">
        <f aca="false">$M60*IF(OR($B60="V",$B60="AC"),'LABOUR RATES'!$C$27,'LABOUR RATES'!$C$12)</f>
        <v>0</v>
      </c>
      <c r="P60" s="42" t="n">
        <f aca="false">$L60+$N60+$O60</f>
        <v>0</v>
      </c>
      <c r="Q60" s="43" t="str">
        <f aca="false">IF(OR($B60="",$C60=""),"",IFERROR(SUMIFS('KNOWIFY REVIEW'!$AF$4:$AF$400,'KNOWIFY REVIEW'!$AB$4:$AB$400,$B60,'KNOWIFY REVIEW'!$AC$4:$AC$400,$C60,'KNOWIFY REVIEW'!$AD$4:$AD$400,1)/SUMIFS('KNOWIFY REVIEW'!$AE$4:$AE$400,'KNOWIFY REVIEW'!$AB$4:$AB$400,$B60,'KNOWIFY REVIEW'!$AC$4:$AC$400,$C60,'KNOWIFY REVIEW'!$AD$4:$AD$400,1),""))</f>
        <v/>
      </c>
      <c r="R60" s="43" t="str">
        <f aca="false">IF(OR($B60="",$C60=""),"",IFERROR(SUMIFS('KNOWIFY REVIEW'!$AH$4:$AH$400,'KNOWIFY REVIEW'!$AB$4:$AB$400,$B60,'KNOWIFY REVIEW'!$AC$4:$AC$400,IF(OR($C60=INPUTS!$B$69,$C60=INPUTS!$B$70),INPUTS!$B$71,$C60),'KNOWIFY REVIEW'!$AD$4:$AD$400,1)/SUMIFS('KNOWIFY REVIEW'!$AG$4:$AG$400,'KNOWIFY REVIEW'!$AB$4:$AB$400,$B60,'KNOWIFY REVIEW'!$AC$4:$AC$400,IF(OR($C60=INPUTS!$B$69,$C60=INPUTS!$B$70),INPUTS!$B$71,$C60),'KNOWIFY REVIEW'!$AD$4:$AD$400,1),""))</f>
        <v/>
      </c>
      <c r="S60" s="24" t="str">
        <f aca="false">IF(MAX(N($Q60),N($R60))&gt;1.1,"Past job ran over budget","")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38"/>
      <c r="F61" s="10"/>
      <c r="G61" s="39"/>
      <c r="H61" s="40"/>
      <c r="I61" s="39"/>
      <c r="J61" s="38"/>
      <c r="K61" s="10" t="s">
        <v>237</v>
      </c>
      <c r="L61" s="28" t="n">
        <f aca="false">($E61*$G61+$I61)*(1+IF($K61="N",0,INPUTS!$C$23))</f>
        <v>0</v>
      </c>
      <c r="M61" s="41" t="n">
        <f aca="false">$E61*$H61+$J61</f>
        <v>0</v>
      </c>
      <c r="N61" s="28" t="n">
        <f aca="false">$M61*IF(OR($B61="V",$B61="AC"),'LABOUR RATES'!$E$26,'LABOUR RATES'!$E$11)</f>
        <v>0</v>
      </c>
      <c r="O61" s="28" t="n">
        <f aca="false">$M61*IF(OR($B61="V",$B61="AC"),'LABOUR RATES'!$C$27,'LABOUR RATES'!$C$12)</f>
        <v>0</v>
      </c>
      <c r="P61" s="42" t="n">
        <f aca="false">$L61+$N61+$O61</f>
        <v>0</v>
      </c>
      <c r="Q61" s="43" t="str">
        <f aca="false">IF(OR($B61="",$C61=""),"",IFERROR(SUMIFS('KNOWIFY REVIEW'!$AF$4:$AF$400,'KNOWIFY REVIEW'!$AB$4:$AB$400,$B61,'KNOWIFY REVIEW'!$AC$4:$AC$400,$C61,'KNOWIFY REVIEW'!$AD$4:$AD$400,1)/SUMIFS('KNOWIFY REVIEW'!$AE$4:$AE$400,'KNOWIFY REVIEW'!$AB$4:$AB$400,$B61,'KNOWIFY REVIEW'!$AC$4:$AC$400,$C61,'KNOWIFY REVIEW'!$AD$4:$AD$400,1),""))</f>
        <v/>
      </c>
      <c r="R61" s="43" t="str">
        <f aca="false">IF(OR($B61="",$C61=""),"",IFERROR(SUMIFS('KNOWIFY REVIEW'!$AH$4:$AH$400,'KNOWIFY REVIEW'!$AB$4:$AB$400,$B61,'KNOWIFY REVIEW'!$AC$4:$AC$400,IF(OR($C61=INPUTS!$B$69,$C61=INPUTS!$B$70),INPUTS!$B$71,$C61),'KNOWIFY REVIEW'!$AD$4:$AD$400,1)/SUMIFS('KNOWIFY REVIEW'!$AG$4:$AG$400,'KNOWIFY REVIEW'!$AB$4:$AB$400,$B61,'KNOWIFY REVIEW'!$AC$4:$AC$400,IF(OR($C61=INPUTS!$B$69,$C61=INPUTS!$B$70),INPUTS!$B$71,$C61),'KNOWIFY REVIEW'!$AD$4:$AD$400,1),""))</f>
        <v/>
      </c>
      <c r="S61" s="24" t="str">
        <f aca="false">IF(MAX(N($Q61),N($R61))&gt;1.1,"Past job ran over budget","")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38"/>
      <c r="F62" s="10"/>
      <c r="G62" s="39"/>
      <c r="H62" s="40"/>
      <c r="I62" s="39"/>
      <c r="J62" s="38"/>
      <c r="K62" s="10" t="s">
        <v>237</v>
      </c>
      <c r="L62" s="28" t="n">
        <f aca="false">($E62*$G62+$I62)*(1+IF($K62="N",0,INPUTS!$C$23))</f>
        <v>0</v>
      </c>
      <c r="M62" s="41" t="n">
        <f aca="false">$E62*$H62+$J62</f>
        <v>0</v>
      </c>
      <c r="N62" s="28" t="n">
        <f aca="false">$M62*IF(OR($B62="V",$B62="AC"),'LABOUR RATES'!$E$26,'LABOUR RATES'!$E$11)</f>
        <v>0</v>
      </c>
      <c r="O62" s="28" t="n">
        <f aca="false">$M62*IF(OR($B62="V",$B62="AC"),'LABOUR RATES'!$C$27,'LABOUR RATES'!$C$12)</f>
        <v>0</v>
      </c>
      <c r="P62" s="42" t="n">
        <f aca="false">$L62+$N62+$O62</f>
        <v>0</v>
      </c>
      <c r="Q62" s="43" t="str">
        <f aca="false">IF(OR($B62="",$C62=""),"",IFERROR(SUMIFS('KNOWIFY REVIEW'!$AF$4:$AF$400,'KNOWIFY REVIEW'!$AB$4:$AB$400,$B62,'KNOWIFY REVIEW'!$AC$4:$AC$400,$C62,'KNOWIFY REVIEW'!$AD$4:$AD$400,1)/SUMIFS('KNOWIFY REVIEW'!$AE$4:$AE$400,'KNOWIFY REVIEW'!$AB$4:$AB$400,$B62,'KNOWIFY REVIEW'!$AC$4:$AC$400,$C62,'KNOWIFY REVIEW'!$AD$4:$AD$400,1),""))</f>
        <v/>
      </c>
      <c r="R62" s="43" t="str">
        <f aca="false">IF(OR($B62="",$C62=""),"",IFERROR(SUMIFS('KNOWIFY REVIEW'!$AH$4:$AH$400,'KNOWIFY REVIEW'!$AB$4:$AB$400,$B62,'KNOWIFY REVIEW'!$AC$4:$AC$400,IF(OR($C62=INPUTS!$B$69,$C62=INPUTS!$B$70),INPUTS!$B$71,$C62),'KNOWIFY REVIEW'!$AD$4:$AD$400,1)/SUMIFS('KNOWIFY REVIEW'!$AG$4:$AG$400,'KNOWIFY REVIEW'!$AB$4:$AB$400,$B62,'KNOWIFY REVIEW'!$AC$4:$AC$400,IF(OR($C62=INPUTS!$B$69,$C62=INPUTS!$B$70),INPUTS!$B$71,$C62),'KNOWIFY REVIEW'!$AD$4:$AD$400,1),""))</f>
        <v/>
      </c>
      <c r="S62" s="24" t="str">
        <f aca="false">IF(MAX(N($Q62),N($R62))&gt;1.1,"Past job ran over budget","")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38"/>
      <c r="F63" s="10"/>
      <c r="G63" s="39"/>
      <c r="H63" s="40"/>
      <c r="I63" s="39"/>
      <c r="J63" s="38"/>
      <c r="K63" s="10" t="s">
        <v>237</v>
      </c>
      <c r="L63" s="28" t="n">
        <f aca="false">($E63*$G63+$I63)*(1+IF($K63="N",0,INPUTS!$C$23))</f>
        <v>0</v>
      </c>
      <c r="M63" s="41" t="n">
        <f aca="false">$E63*$H63+$J63</f>
        <v>0</v>
      </c>
      <c r="N63" s="28" t="n">
        <f aca="false">$M63*IF(OR($B63="V",$B63="AC"),'LABOUR RATES'!$E$26,'LABOUR RATES'!$E$11)</f>
        <v>0</v>
      </c>
      <c r="O63" s="28" t="n">
        <f aca="false">$M63*IF(OR($B63="V",$B63="AC"),'LABOUR RATES'!$C$27,'LABOUR RATES'!$C$12)</f>
        <v>0</v>
      </c>
      <c r="P63" s="42" t="n">
        <f aca="false">$L63+$N63+$O63</f>
        <v>0</v>
      </c>
      <c r="Q63" s="43" t="str">
        <f aca="false">IF(OR($B63="",$C63=""),"",IFERROR(SUMIFS('KNOWIFY REVIEW'!$AF$4:$AF$400,'KNOWIFY REVIEW'!$AB$4:$AB$400,$B63,'KNOWIFY REVIEW'!$AC$4:$AC$400,$C63,'KNOWIFY REVIEW'!$AD$4:$AD$400,1)/SUMIFS('KNOWIFY REVIEW'!$AE$4:$AE$400,'KNOWIFY REVIEW'!$AB$4:$AB$400,$B63,'KNOWIFY REVIEW'!$AC$4:$AC$400,$C63,'KNOWIFY REVIEW'!$AD$4:$AD$400,1),""))</f>
        <v/>
      </c>
      <c r="R63" s="43" t="str">
        <f aca="false">IF(OR($B63="",$C63=""),"",IFERROR(SUMIFS('KNOWIFY REVIEW'!$AH$4:$AH$400,'KNOWIFY REVIEW'!$AB$4:$AB$400,$B63,'KNOWIFY REVIEW'!$AC$4:$AC$400,IF(OR($C63=INPUTS!$B$69,$C63=INPUTS!$B$70),INPUTS!$B$71,$C63),'KNOWIFY REVIEW'!$AD$4:$AD$400,1)/SUMIFS('KNOWIFY REVIEW'!$AG$4:$AG$400,'KNOWIFY REVIEW'!$AB$4:$AB$400,$B63,'KNOWIFY REVIEW'!$AC$4:$AC$400,IF(OR($C63=INPUTS!$B$69,$C63=INPUTS!$B$70),INPUTS!$B$71,$C63),'KNOWIFY REVIEW'!$AD$4:$AD$400,1),""))</f>
        <v/>
      </c>
      <c r="S63" s="24" t="str">
        <f aca="false">IF(MAX(N($Q63),N($R63))&gt;1.1,"Past job ran over budget","")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38"/>
      <c r="F64" s="10"/>
      <c r="G64" s="39"/>
      <c r="H64" s="40"/>
      <c r="I64" s="39"/>
      <c r="J64" s="38"/>
      <c r="K64" s="10" t="s">
        <v>237</v>
      </c>
      <c r="L64" s="28" t="n">
        <f aca="false">($E64*$G64+$I64)*(1+IF($K64="N",0,INPUTS!$C$23))</f>
        <v>0</v>
      </c>
      <c r="M64" s="41" t="n">
        <f aca="false">$E64*$H64+$J64</f>
        <v>0</v>
      </c>
      <c r="N64" s="28" t="n">
        <f aca="false">$M64*IF(OR($B64="V",$B64="AC"),'LABOUR RATES'!$E$26,'LABOUR RATES'!$E$11)</f>
        <v>0</v>
      </c>
      <c r="O64" s="28" t="n">
        <f aca="false">$M64*IF(OR($B64="V",$B64="AC"),'LABOUR RATES'!$C$27,'LABOUR RATES'!$C$12)</f>
        <v>0</v>
      </c>
      <c r="P64" s="42" t="n">
        <f aca="false">$L64+$N64+$O64</f>
        <v>0</v>
      </c>
      <c r="Q64" s="43" t="str">
        <f aca="false">IF(OR($B64="",$C64=""),"",IFERROR(SUMIFS('KNOWIFY REVIEW'!$AF$4:$AF$400,'KNOWIFY REVIEW'!$AB$4:$AB$400,$B64,'KNOWIFY REVIEW'!$AC$4:$AC$400,$C64,'KNOWIFY REVIEW'!$AD$4:$AD$400,1)/SUMIFS('KNOWIFY REVIEW'!$AE$4:$AE$400,'KNOWIFY REVIEW'!$AB$4:$AB$400,$B64,'KNOWIFY REVIEW'!$AC$4:$AC$400,$C64,'KNOWIFY REVIEW'!$AD$4:$AD$400,1),""))</f>
        <v/>
      </c>
      <c r="R64" s="43" t="str">
        <f aca="false">IF(OR($B64="",$C64=""),"",IFERROR(SUMIFS('KNOWIFY REVIEW'!$AH$4:$AH$400,'KNOWIFY REVIEW'!$AB$4:$AB$400,$B64,'KNOWIFY REVIEW'!$AC$4:$AC$400,IF(OR($C64=INPUTS!$B$69,$C64=INPUTS!$B$70),INPUTS!$B$71,$C64),'KNOWIFY REVIEW'!$AD$4:$AD$400,1)/SUMIFS('KNOWIFY REVIEW'!$AG$4:$AG$400,'KNOWIFY REVIEW'!$AB$4:$AB$400,$B64,'KNOWIFY REVIEW'!$AC$4:$AC$400,IF(OR($C64=INPUTS!$B$69,$C64=INPUTS!$B$70),INPUTS!$B$71,$C64),'KNOWIFY REVIEW'!$AD$4:$AD$400,1),""))</f>
        <v/>
      </c>
      <c r="S64" s="24" t="str">
        <f aca="false">IF(MAX(N($Q64),N($R64))&gt;1.1,"Past job ran over budget","")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38"/>
      <c r="F65" s="10"/>
      <c r="G65" s="39"/>
      <c r="H65" s="40"/>
      <c r="I65" s="39"/>
      <c r="J65" s="38"/>
      <c r="K65" s="10" t="s">
        <v>237</v>
      </c>
      <c r="L65" s="28" t="n">
        <f aca="false">($E65*$G65+$I65)*(1+IF($K65="N",0,INPUTS!$C$23))</f>
        <v>0</v>
      </c>
      <c r="M65" s="41" t="n">
        <f aca="false">$E65*$H65+$J65</f>
        <v>0</v>
      </c>
      <c r="N65" s="28" t="n">
        <f aca="false">$M65*IF(OR($B65="V",$B65="AC"),'LABOUR RATES'!$E$26,'LABOUR RATES'!$E$11)</f>
        <v>0</v>
      </c>
      <c r="O65" s="28" t="n">
        <f aca="false">$M65*IF(OR($B65="V",$B65="AC"),'LABOUR RATES'!$C$27,'LABOUR RATES'!$C$12)</f>
        <v>0</v>
      </c>
      <c r="P65" s="42" t="n">
        <f aca="false">$L65+$N65+$O65</f>
        <v>0</v>
      </c>
      <c r="Q65" s="43" t="str">
        <f aca="false">IF(OR($B65="",$C65=""),"",IFERROR(SUMIFS('KNOWIFY REVIEW'!$AF$4:$AF$400,'KNOWIFY REVIEW'!$AB$4:$AB$400,$B65,'KNOWIFY REVIEW'!$AC$4:$AC$400,$C65,'KNOWIFY REVIEW'!$AD$4:$AD$400,1)/SUMIFS('KNOWIFY REVIEW'!$AE$4:$AE$400,'KNOWIFY REVIEW'!$AB$4:$AB$400,$B65,'KNOWIFY REVIEW'!$AC$4:$AC$400,$C65,'KNOWIFY REVIEW'!$AD$4:$AD$400,1),""))</f>
        <v/>
      </c>
      <c r="R65" s="43" t="str">
        <f aca="false">IF(OR($B65="",$C65=""),"",IFERROR(SUMIFS('KNOWIFY REVIEW'!$AH$4:$AH$400,'KNOWIFY REVIEW'!$AB$4:$AB$400,$B65,'KNOWIFY REVIEW'!$AC$4:$AC$400,IF(OR($C65=INPUTS!$B$69,$C65=INPUTS!$B$70),INPUTS!$B$71,$C65),'KNOWIFY REVIEW'!$AD$4:$AD$400,1)/SUMIFS('KNOWIFY REVIEW'!$AG$4:$AG$400,'KNOWIFY REVIEW'!$AB$4:$AB$400,$B65,'KNOWIFY REVIEW'!$AC$4:$AC$400,IF(OR($C65=INPUTS!$B$69,$C65=INPUTS!$B$70),INPUTS!$B$71,$C65),'KNOWIFY REVIEW'!$AD$4:$AD$400,1),""))</f>
        <v/>
      </c>
      <c r="S65" s="24" t="str">
        <f aca="false">IF(MAX(N($Q65),N($R65))&gt;1.1,"Past job ran over budget","")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38"/>
      <c r="F66" s="10"/>
      <c r="G66" s="39"/>
      <c r="H66" s="40"/>
      <c r="I66" s="39"/>
      <c r="J66" s="38"/>
      <c r="K66" s="10" t="s">
        <v>237</v>
      </c>
      <c r="L66" s="28" t="n">
        <f aca="false">($E66*$G66+$I66)*(1+IF($K66="N",0,INPUTS!$C$23))</f>
        <v>0</v>
      </c>
      <c r="M66" s="41" t="n">
        <f aca="false">$E66*$H66+$J66</f>
        <v>0</v>
      </c>
      <c r="N66" s="28" t="n">
        <f aca="false">$M66*IF(OR($B66="V",$B66="AC"),'LABOUR RATES'!$E$26,'LABOUR RATES'!$E$11)</f>
        <v>0</v>
      </c>
      <c r="O66" s="28" t="n">
        <f aca="false">$M66*IF(OR($B66="V",$B66="AC"),'LABOUR RATES'!$C$27,'LABOUR RATES'!$C$12)</f>
        <v>0</v>
      </c>
      <c r="P66" s="42" t="n">
        <f aca="false">$L66+$N66+$O66</f>
        <v>0</v>
      </c>
      <c r="Q66" s="43" t="str">
        <f aca="false">IF(OR($B66="",$C66=""),"",IFERROR(SUMIFS('KNOWIFY REVIEW'!$AF$4:$AF$400,'KNOWIFY REVIEW'!$AB$4:$AB$400,$B66,'KNOWIFY REVIEW'!$AC$4:$AC$400,$C66,'KNOWIFY REVIEW'!$AD$4:$AD$400,1)/SUMIFS('KNOWIFY REVIEW'!$AE$4:$AE$400,'KNOWIFY REVIEW'!$AB$4:$AB$400,$B66,'KNOWIFY REVIEW'!$AC$4:$AC$400,$C66,'KNOWIFY REVIEW'!$AD$4:$AD$400,1),""))</f>
        <v/>
      </c>
      <c r="R66" s="43" t="str">
        <f aca="false">IF(OR($B66="",$C66=""),"",IFERROR(SUMIFS('KNOWIFY REVIEW'!$AH$4:$AH$400,'KNOWIFY REVIEW'!$AB$4:$AB$400,$B66,'KNOWIFY REVIEW'!$AC$4:$AC$400,IF(OR($C66=INPUTS!$B$69,$C66=INPUTS!$B$70),INPUTS!$B$71,$C66),'KNOWIFY REVIEW'!$AD$4:$AD$400,1)/SUMIFS('KNOWIFY REVIEW'!$AG$4:$AG$400,'KNOWIFY REVIEW'!$AB$4:$AB$400,$B66,'KNOWIFY REVIEW'!$AC$4:$AC$400,IF(OR($C66=INPUTS!$B$69,$C66=INPUTS!$B$70),INPUTS!$B$71,$C66),'KNOWIFY REVIEW'!$AD$4:$AD$400,1),""))</f>
        <v/>
      </c>
      <c r="S66" s="24" t="str">
        <f aca="false">IF(MAX(N($Q66),N($R66))&gt;1.1,"Past job ran over budget","")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38"/>
      <c r="F67" s="10"/>
      <c r="G67" s="39"/>
      <c r="H67" s="40"/>
      <c r="I67" s="39"/>
      <c r="J67" s="38"/>
      <c r="K67" s="10" t="s">
        <v>237</v>
      </c>
      <c r="L67" s="28" t="n">
        <f aca="false">($E67*$G67+$I67)*(1+IF($K67="N",0,INPUTS!$C$23))</f>
        <v>0</v>
      </c>
      <c r="M67" s="41" t="n">
        <f aca="false">$E67*$H67+$J67</f>
        <v>0</v>
      </c>
      <c r="N67" s="28" t="n">
        <f aca="false">$M67*IF(OR($B67="V",$B67="AC"),'LABOUR RATES'!$E$26,'LABOUR RATES'!$E$11)</f>
        <v>0</v>
      </c>
      <c r="O67" s="28" t="n">
        <f aca="false">$M67*IF(OR($B67="V",$B67="AC"),'LABOUR RATES'!$C$27,'LABOUR RATES'!$C$12)</f>
        <v>0</v>
      </c>
      <c r="P67" s="42" t="n">
        <f aca="false">$L67+$N67+$O67</f>
        <v>0</v>
      </c>
      <c r="Q67" s="43" t="str">
        <f aca="false">IF(OR($B67="",$C67=""),"",IFERROR(SUMIFS('KNOWIFY REVIEW'!$AF$4:$AF$400,'KNOWIFY REVIEW'!$AB$4:$AB$400,$B67,'KNOWIFY REVIEW'!$AC$4:$AC$400,$C67,'KNOWIFY REVIEW'!$AD$4:$AD$400,1)/SUMIFS('KNOWIFY REVIEW'!$AE$4:$AE$400,'KNOWIFY REVIEW'!$AB$4:$AB$400,$B67,'KNOWIFY REVIEW'!$AC$4:$AC$400,$C67,'KNOWIFY REVIEW'!$AD$4:$AD$400,1),""))</f>
        <v/>
      </c>
      <c r="R67" s="43" t="str">
        <f aca="false">IF(OR($B67="",$C67=""),"",IFERROR(SUMIFS('KNOWIFY REVIEW'!$AH$4:$AH$400,'KNOWIFY REVIEW'!$AB$4:$AB$400,$B67,'KNOWIFY REVIEW'!$AC$4:$AC$400,IF(OR($C67=INPUTS!$B$69,$C67=INPUTS!$B$70),INPUTS!$B$71,$C67),'KNOWIFY REVIEW'!$AD$4:$AD$400,1)/SUMIFS('KNOWIFY REVIEW'!$AG$4:$AG$400,'KNOWIFY REVIEW'!$AB$4:$AB$400,$B67,'KNOWIFY REVIEW'!$AC$4:$AC$400,IF(OR($C67=INPUTS!$B$69,$C67=INPUTS!$B$70),INPUTS!$B$71,$C67),'KNOWIFY REVIEW'!$AD$4:$AD$400,1),""))</f>
        <v/>
      </c>
      <c r="S67" s="24" t="str">
        <f aca="false">IF(MAX(N($Q67),N($R67))&gt;1.1,"Past job ran over budget","")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38"/>
      <c r="F68" s="10"/>
      <c r="G68" s="39"/>
      <c r="H68" s="40"/>
      <c r="I68" s="39"/>
      <c r="J68" s="38"/>
      <c r="K68" s="10" t="s">
        <v>237</v>
      </c>
      <c r="L68" s="28" t="n">
        <f aca="false">($E68*$G68+$I68)*(1+IF($K68="N",0,INPUTS!$C$23))</f>
        <v>0</v>
      </c>
      <c r="M68" s="41" t="n">
        <f aca="false">$E68*$H68+$J68</f>
        <v>0</v>
      </c>
      <c r="N68" s="28" t="n">
        <f aca="false">$M68*IF(OR($B68="V",$B68="AC"),'LABOUR RATES'!$E$26,'LABOUR RATES'!$E$11)</f>
        <v>0</v>
      </c>
      <c r="O68" s="28" t="n">
        <f aca="false">$M68*IF(OR($B68="V",$B68="AC"),'LABOUR RATES'!$C$27,'LABOUR RATES'!$C$12)</f>
        <v>0</v>
      </c>
      <c r="P68" s="42" t="n">
        <f aca="false">$L68+$N68+$O68</f>
        <v>0</v>
      </c>
      <c r="Q68" s="43" t="str">
        <f aca="false">IF(OR($B68="",$C68=""),"",IFERROR(SUMIFS('KNOWIFY REVIEW'!$AF$4:$AF$400,'KNOWIFY REVIEW'!$AB$4:$AB$400,$B68,'KNOWIFY REVIEW'!$AC$4:$AC$400,$C68,'KNOWIFY REVIEW'!$AD$4:$AD$400,1)/SUMIFS('KNOWIFY REVIEW'!$AE$4:$AE$400,'KNOWIFY REVIEW'!$AB$4:$AB$400,$B68,'KNOWIFY REVIEW'!$AC$4:$AC$400,$C68,'KNOWIFY REVIEW'!$AD$4:$AD$400,1),""))</f>
        <v/>
      </c>
      <c r="R68" s="43" t="str">
        <f aca="false">IF(OR($B68="",$C68=""),"",IFERROR(SUMIFS('KNOWIFY REVIEW'!$AH$4:$AH$400,'KNOWIFY REVIEW'!$AB$4:$AB$400,$B68,'KNOWIFY REVIEW'!$AC$4:$AC$400,IF(OR($C68=INPUTS!$B$69,$C68=INPUTS!$B$70),INPUTS!$B$71,$C68),'KNOWIFY REVIEW'!$AD$4:$AD$400,1)/SUMIFS('KNOWIFY REVIEW'!$AG$4:$AG$400,'KNOWIFY REVIEW'!$AB$4:$AB$400,$B68,'KNOWIFY REVIEW'!$AC$4:$AC$400,IF(OR($C68=INPUTS!$B$69,$C68=INPUTS!$B$70),INPUTS!$B$71,$C68),'KNOWIFY REVIEW'!$AD$4:$AD$400,1),""))</f>
        <v/>
      </c>
      <c r="S68" s="24" t="str">
        <f aca="false">IF(MAX(N($Q68),N($R68))&gt;1.1,"Past job ran over budget","")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38"/>
      <c r="F69" s="10"/>
      <c r="G69" s="39"/>
      <c r="H69" s="40"/>
      <c r="I69" s="39"/>
      <c r="J69" s="38"/>
      <c r="K69" s="10" t="s">
        <v>237</v>
      </c>
      <c r="L69" s="28" t="n">
        <f aca="false">($E69*$G69+$I69)*(1+IF($K69="N",0,INPUTS!$C$23))</f>
        <v>0</v>
      </c>
      <c r="M69" s="41" t="n">
        <f aca="false">$E69*$H69+$J69</f>
        <v>0</v>
      </c>
      <c r="N69" s="28" t="n">
        <f aca="false">$M69*IF(OR($B69="V",$B69="AC"),'LABOUR RATES'!$E$26,'LABOUR RATES'!$E$11)</f>
        <v>0</v>
      </c>
      <c r="O69" s="28" t="n">
        <f aca="false">$M69*IF(OR($B69="V",$B69="AC"),'LABOUR RATES'!$C$27,'LABOUR RATES'!$C$12)</f>
        <v>0</v>
      </c>
      <c r="P69" s="42" t="n">
        <f aca="false">$L69+$N69+$O69</f>
        <v>0</v>
      </c>
      <c r="Q69" s="43" t="str">
        <f aca="false">IF(OR($B69="",$C69=""),"",IFERROR(SUMIFS('KNOWIFY REVIEW'!$AF$4:$AF$400,'KNOWIFY REVIEW'!$AB$4:$AB$400,$B69,'KNOWIFY REVIEW'!$AC$4:$AC$400,$C69,'KNOWIFY REVIEW'!$AD$4:$AD$400,1)/SUMIFS('KNOWIFY REVIEW'!$AE$4:$AE$400,'KNOWIFY REVIEW'!$AB$4:$AB$400,$B69,'KNOWIFY REVIEW'!$AC$4:$AC$400,$C69,'KNOWIFY REVIEW'!$AD$4:$AD$400,1),""))</f>
        <v/>
      </c>
      <c r="R69" s="43" t="str">
        <f aca="false">IF(OR($B69="",$C69=""),"",IFERROR(SUMIFS('KNOWIFY REVIEW'!$AH$4:$AH$400,'KNOWIFY REVIEW'!$AB$4:$AB$400,$B69,'KNOWIFY REVIEW'!$AC$4:$AC$400,IF(OR($C69=INPUTS!$B$69,$C69=INPUTS!$B$70),INPUTS!$B$71,$C69),'KNOWIFY REVIEW'!$AD$4:$AD$400,1)/SUMIFS('KNOWIFY REVIEW'!$AG$4:$AG$400,'KNOWIFY REVIEW'!$AB$4:$AB$400,$B69,'KNOWIFY REVIEW'!$AC$4:$AC$400,IF(OR($C69=INPUTS!$B$69,$C69=INPUTS!$B$70),INPUTS!$B$71,$C69),'KNOWIFY REVIEW'!$AD$4:$AD$400,1),""))</f>
        <v/>
      </c>
      <c r="S69" s="24" t="str">
        <f aca="false">IF(MAX(N($Q69),N($R69))&gt;1.1,"Past job ran over budget","")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38"/>
      <c r="F70" s="10"/>
      <c r="G70" s="39"/>
      <c r="H70" s="40"/>
      <c r="I70" s="39"/>
      <c r="J70" s="38"/>
      <c r="K70" s="10" t="s">
        <v>237</v>
      </c>
      <c r="L70" s="28" t="n">
        <f aca="false">($E70*$G70+$I70)*(1+IF($K70="N",0,INPUTS!$C$23))</f>
        <v>0</v>
      </c>
      <c r="M70" s="41" t="n">
        <f aca="false">$E70*$H70+$J70</f>
        <v>0</v>
      </c>
      <c r="N70" s="28" t="n">
        <f aca="false">$M70*IF(OR($B70="V",$B70="AC"),'LABOUR RATES'!$E$26,'LABOUR RATES'!$E$11)</f>
        <v>0</v>
      </c>
      <c r="O70" s="28" t="n">
        <f aca="false">$M70*IF(OR($B70="V",$B70="AC"),'LABOUR RATES'!$C$27,'LABOUR RATES'!$C$12)</f>
        <v>0</v>
      </c>
      <c r="P70" s="42" t="n">
        <f aca="false">$L70+$N70+$O70</f>
        <v>0</v>
      </c>
      <c r="Q70" s="43" t="str">
        <f aca="false">IF(OR($B70="",$C70=""),"",IFERROR(SUMIFS('KNOWIFY REVIEW'!$AF$4:$AF$400,'KNOWIFY REVIEW'!$AB$4:$AB$400,$B70,'KNOWIFY REVIEW'!$AC$4:$AC$400,$C70,'KNOWIFY REVIEW'!$AD$4:$AD$400,1)/SUMIFS('KNOWIFY REVIEW'!$AE$4:$AE$400,'KNOWIFY REVIEW'!$AB$4:$AB$400,$B70,'KNOWIFY REVIEW'!$AC$4:$AC$400,$C70,'KNOWIFY REVIEW'!$AD$4:$AD$400,1),""))</f>
        <v/>
      </c>
      <c r="R70" s="43" t="str">
        <f aca="false">IF(OR($B70="",$C70=""),"",IFERROR(SUMIFS('KNOWIFY REVIEW'!$AH$4:$AH$400,'KNOWIFY REVIEW'!$AB$4:$AB$400,$B70,'KNOWIFY REVIEW'!$AC$4:$AC$400,IF(OR($C70=INPUTS!$B$69,$C70=INPUTS!$B$70),INPUTS!$B$71,$C70),'KNOWIFY REVIEW'!$AD$4:$AD$400,1)/SUMIFS('KNOWIFY REVIEW'!$AG$4:$AG$400,'KNOWIFY REVIEW'!$AB$4:$AB$400,$B70,'KNOWIFY REVIEW'!$AC$4:$AC$400,IF(OR($C70=INPUTS!$B$69,$C70=INPUTS!$B$70),INPUTS!$B$71,$C70),'KNOWIFY REVIEW'!$AD$4:$AD$400,1),""))</f>
        <v/>
      </c>
      <c r="S70" s="24" t="str">
        <f aca="false">IF(MAX(N($Q70),N($R70))&gt;1.1,"Past job ran over budget","")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38"/>
      <c r="F71" s="10"/>
      <c r="G71" s="39"/>
      <c r="H71" s="40"/>
      <c r="I71" s="39"/>
      <c r="J71" s="38"/>
      <c r="K71" s="10" t="s">
        <v>237</v>
      </c>
      <c r="L71" s="28" t="n">
        <f aca="false">($E71*$G71+$I71)*(1+IF($K71="N",0,INPUTS!$C$23))</f>
        <v>0</v>
      </c>
      <c r="M71" s="41" t="n">
        <f aca="false">$E71*$H71+$J71</f>
        <v>0</v>
      </c>
      <c r="N71" s="28" t="n">
        <f aca="false">$M71*IF(OR($B71="V",$B71="AC"),'LABOUR RATES'!$E$26,'LABOUR RATES'!$E$11)</f>
        <v>0</v>
      </c>
      <c r="O71" s="28" t="n">
        <f aca="false">$M71*IF(OR($B71="V",$B71="AC"),'LABOUR RATES'!$C$27,'LABOUR RATES'!$C$12)</f>
        <v>0</v>
      </c>
      <c r="P71" s="42" t="n">
        <f aca="false">$L71+$N71+$O71</f>
        <v>0</v>
      </c>
      <c r="Q71" s="43" t="str">
        <f aca="false">IF(OR($B71="",$C71=""),"",IFERROR(SUMIFS('KNOWIFY REVIEW'!$AF$4:$AF$400,'KNOWIFY REVIEW'!$AB$4:$AB$400,$B71,'KNOWIFY REVIEW'!$AC$4:$AC$400,$C71,'KNOWIFY REVIEW'!$AD$4:$AD$400,1)/SUMIFS('KNOWIFY REVIEW'!$AE$4:$AE$400,'KNOWIFY REVIEW'!$AB$4:$AB$400,$B71,'KNOWIFY REVIEW'!$AC$4:$AC$400,$C71,'KNOWIFY REVIEW'!$AD$4:$AD$400,1),""))</f>
        <v/>
      </c>
      <c r="R71" s="43" t="str">
        <f aca="false">IF(OR($B71="",$C71=""),"",IFERROR(SUMIFS('KNOWIFY REVIEW'!$AH$4:$AH$400,'KNOWIFY REVIEW'!$AB$4:$AB$400,$B71,'KNOWIFY REVIEW'!$AC$4:$AC$400,IF(OR($C71=INPUTS!$B$69,$C71=INPUTS!$B$70),INPUTS!$B$71,$C71),'KNOWIFY REVIEW'!$AD$4:$AD$400,1)/SUMIFS('KNOWIFY REVIEW'!$AG$4:$AG$400,'KNOWIFY REVIEW'!$AB$4:$AB$400,$B71,'KNOWIFY REVIEW'!$AC$4:$AC$400,IF(OR($C71=INPUTS!$B$69,$C71=INPUTS!$B$70),INPUTS!$B$71,$C71),'KNOWIFY REVIEW'!$AD$4:$AD$400,1),""))</f>
        <v/>
      </c>
      <c r="S71" s="24" t="str">
        <f aca="false">IF(MAX(N($Q71),N($R71))&gt;1.1,"Past job ran over budget","")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38"/>
      <c r="F72" s="10"/>
      <c r="G72" s="39"/>
      <c r="H72" s="40"/>
      <c r="I72" s="39"/>
      <c r="J72" s="38"/>
      <c r="K72" s="10" t="s">
        <v>237</v>
      </c>
      <c r="L72" s="28" t="n">
        <f aca="false">($E72*$G72+$I72)*(1+IF($K72="N",0,INPUTS!$C$23))</f>
        <v>0</v>
      </c>
      <c r="M72" s="41" t="n">
        <f aca="false">$E72*$H72+$J72</f>
        <v>0</v>
      </c>
      <c r="N72" s="28" t="n">
        <f aca="false">$M72*IF(OR($B72="V",$B72="AC"),'LABOUR RATES'!$E$26,'LABOUR RATES'!$E$11)</f>
        <v>0</v>
      </c>
      <c r="O72" s="28" t="n">
        <f aca="false">$M72*IF(OR($B72="V",$B72="AC"),'LABOUR RATES'!$C$27,'LABOUR RATES'!$C$12)</f>
        <v>0</v>
      </c>
      <c r="P72" s="42" t="n">
        <f aca="false">$L72+$N72+$O72</f>
        <v>0</v>
      </c>
      <c r="Q72" s="43" t="str">
        <f aca="false">IF(OR($B72="",$C72=""),"",IFERROR(SUMIFS('KNOWIFY REVIEW'!$AF$4:$AF$400,'KNOWIFY REVIEW'!$AB$4:$AB$400,$B72,'KNOWIFY REVIEW'!$AC$4:$AC$400,$C72,'KNOWIFY REVIEW'!$AD$4:$AD$400,1)/SUMIFS('KNOWIFY REVIEW'!$AE$4:$AE$400,'KNOWIFY REVIEW'!$AB$4:$AB$400,$B72,'KNOWIFY REVIEW'!$AC$4:$AC$400,$C72,'KNOWIFY REVIEW'!$AD$4:$AD$400,1),""))</f>
        <v/>
      </c>
      <c r="R72" s="43" t="str">
        <f aca="false">IF(OR($B72="",$C72=""),"",IFERROR(SUMIFS('KNOWIFY REVIEW'!$AH$4:$AH$400,'KNOWIFY REVIEW'!$AB$4:$AB$400,$B72,'KNOWIFY REVIEW'!$AC$4:$AC$400,IF(OR($C72=INPUTS!$B$69,$C72=INPUTS!$B$70),INPUTS!$B$71,$C72),'KNOWIFY REVIEW'!$AD$4:$AD$400,1)/SUMIFS('KNOWIFY REVIEW'!$AG$4:$AG$400,'KNOWIFY REVIEW'!$AB$4:$AB$400,$B72,'KNOWIFY REVIEW'!$AC$4:$AC$400,IF(OR($C72=INPUTS!$B$69,$C72=INPUTS!$B$70),INPUTS!$B$71,$C72),'KNOWIFY REVIEW'!$AD$4:$AD$400,1),""))</f>
        <v/>
      </c>
      <c r="S72" s="24" t="str">
        <f aca="false">IF(MAX(N($Q72),N($R72))&gt;1.1,"Past job ran over budget","")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38"/>
      <c r="F73" s="10"/>
      <c r="G73" s="39"/>
      <c r="H73" s="40"/>
      <c r="I73" s="39"/>
      <c r="J73" s="38"/>
      <c r="K73" s="10" t="s">
        <v>237</v>
      </c>
      <c r="L73" s="28" t="n">
        <f aca="false">($E73*$G73+$I73)*(1+IF($K73="N",0,INPUTS!$C$23))</f>
        <v>0</v>
      </c>
      <c r="M73" s="41" t="n">
        <f aca="false">$E73*$H73+$J73</f>
        <v>0</v>
      </c>
      <c r="N73" s="28" t="n">
        <f aca="false">$M73*IF(OR($B73="V",$B73="AC"),'LABOUR RATES'!$E$26,'LABOUR RATES'!$E$11)</f>
        <v>0</v>
      </c>
      <c r="O73" s="28" t="n">
        <f aca="false">$M73*IF(OR($B73="V",$B73="AC"),'LABOUR RATES'!$C$27,'LABOUR RATES'!$C$12)</f>
        <v>0</v>
      </c>
      <c r="P73" s="42" t="n">
        <f aca="false">$L73+$N73+$O73</f>
        <v>0</v>
      </c>
      <c r="Q73" s="43" t="str">
        <f aca="false">IF(OR($B73="",$C73=""),"",IFERROR(SUMIFS('KNOWIFY REVIEW'!$AF$4:$AF$400,'KNOWIFY REVIEW'!$AB$4:$AB$400,$B73,'KNOWIFY REVIEW'!$AC$4:$AC$400,$C73,'KNOWIFY REVIEW'!$AD$4:$AD$400,1)/SUMIFS('KNOWIFY REVIEW'!$AE$4:$AE$400,'KNOWIFY REVIEW'!$AB$4:$AB$400,$B73,'KNOWIFY REVIEW'!$AC$4:$AC$400,$C73,'KNOWIFY REVIEW'!$AD$4:$AD$400,1),""))</f>
        <v/>
      </c>
      <c r="R73" s="43" t="str">
        <f aca="false">IF(OR($B73="",$C73=""),"",IFERROR(SUMIFS('KNOWIFY REVIEW'!$AH$4:$AH$400,'KNOWIFY REVIEW'!$AB$4:$AB$400,$B73,'KNOWIFY REVIEW'!$AC$4:$AC$400,IF(OR($C73=INPUTS!$B$69,$C73=INPUTS!$B$70),INPUTS!$B$71,$C73),'KNOWIFY REVIEW'!$AD$4:$AD$400,1)/SUMIFS('KNOWIFY REVIEW'!$AG$4:$AG$400,'KNOWIFY REVIEW'!$AB$4:$AB$400,$B73,'KNOWIFY REVIEW'!$AC$4:$AC$400,IF(OR($C73=INPUTS!$B$69,$C73=INPUTS!$B$70),INPUTS!$B$71,$C73),'KNOWIFY REVIEW'!$AD$4:$AD$400,1),""))</f>
        <v/>
      </c>
      <c r="S73" s="24" t="str">
        <f aca="false">IF(MAX(N($Q73),N($R73))&gt;1.1,"Past job ran over budget","")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38"/>
      <c r="F74" s="10"/>
      <c r="G74" s="39"/>
      <c r="H74" s="40"/>
      <c r="I74" s="39"/>
      <c r="J74" s="38"/>
      <c r="K74" s="10" t="s">
        <v>237</v>
      </c>
      <c r="L74" s="28" t="n">
        <f aca="false">($E74*$G74+$I74)*(1+IF($K74="N",0,INPUTS!$C$23))</f>
        <v>0</v>
      </c>
      <c r="M74" s="41" t="n">
        <f aca="false">$E74*$H74+$J74</f>
        <v>0</v>
      </c>
      <c r="N74" s="28" t="n">
        <f aca="false">$M74*IF(OR($B74="V",$B74="AC"),'LABOUR RATES'!$E$26,'LABOUR RATES'!$E$11)</f>
        <v>0</v>
      </c>
      <c r="O74" s="28" t="n">
        <f aca="false">$M74*IF(OR($B74="V",$B74="AC"),'LABOUR RATES'!$C$27,'LABOUR RATES'!$C$12)</f>
        <v>0</v>
      </c>
      <c r="P74" s="42" t="n">
        <f aca="false">$L74+$N74+$O74</f>
        <v>0</v>
      </c>
      <c r="Q74" s="43" t="str">
        <f aca="false">IF(OR($B74="",$C74=""),"",IFERROR(SUMIFS('KNOWIFY REVIEW'!$AF$4:$AF$400,'KNOWIFY REVIEW'!$AB$4:$AB$400,$B74,'KNOWIFY REVIEW'!$AC$4:$AC$400,$C74,'KNOWIFY REVIEW'!$AD$4:$AD$400,1)/SUMIFS('KNOWIFY REVIEW'!$AE$4:$AE$400,'KNOWIFY REVIEW'!$AB$4:$AB$400,$B74,'KNOWIFY REVIEW'!$AC$4:$AC$400,$C74,'KNOWIFY REVIEW'!$AD$4:$AD$400,1),""))</f>
        <v/>
      </c>
      <c r="R74" s="43" t="str">
        <f aca="false">IF(OR($B74="",$C74=""),"",IFERROR(SUMIFS('KNOWIFY REVIEW'!$AH$4:$AH$400,'KNOWIFY REVIEW'!$AB$4:$AB$400,$B74,'KNOWIFY REVIEW'!$AC$4:$AC$400,IF(OR($C74=INPUTS!$B$69,$C74=INPUTS!$B$70),INPUTS!$B$71,$C74),'KNOWIFY REVIEW'!$AD$4:$AD$400,1)/SUMIFS('KNOWIFY REVIEW'!$AG$4:$AG$400,'KNOWIFY REVIEW'!$AB$4:$AB$400,$B74,'KNOWIFY REVIEW'!$AC$4:$AC$400,IF(OR($C74=INPUTS!$B$69,$C74=INPUTS!$B$70),INPUTS!$B$71,$C74),'KNOWIFY REVIEW'!$AD$4:$AD$400,1),""))</f>
        <v/>
      </c>
      <c r="S74" s="24" t="str">
        <f aca="false">IF(MAX(N($Q74),N($R74))&gt;1.1,"Past job ran over budget","")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38"/>
      <c r="F75" s="10"/>
      <c r="G75" s="39"/>
      <c r="H75" s="40"/>
      <c r="I75" s="39"/>
      <c r="J75" s="38"/>
      <c r="K75" s="10" t="s">
        <v>237</v>
      </c>
      <c r="L75" s="28" t="n">
        <f aca="false">($E75*$G75+$I75)*(1+IF($K75="N",0,INPUTS!$C$23))</f>
        <v>0</v>
      </c>
      <c r="M75" s="41" t="n">
        <f aca="false">$E75*$H75+$J75</f>
        <v>0</v>
      </c>
      <c r="N75" s="28" t="n">
        <f aca="false">$M75*IF(OR($B75="V",$B75="AC"),'LABOUR RATES'!$E$26,'LABOUR RATES'!$E$11)</f>
        <v>0</v>
      </c>
      <c r="O75" s="28" t="n">
        <f aca="false">$M75*IF(OR($B75="V",$B75="AC"),'LABOUR RATES'!$C$27,'LABOUR RATES'!$C$12)</f>
        <v>0</v>
      </c>
      <c r="P75" s="42" t="n">
        <f aca="false">$L75+$N75+$O75</f>
        <v>0</v>
      </c>
      <c r="Q75" s="43" t="str">
        <f aca="false">IF(OR($B75="",$C75=""),"",IFERROR(SUMIFS('KNOWIFY REVIEW'!$AF$4:$AF$400,'KNOWIFY REVIEW'!$AB$4:$AB$400,$B75,'KNOWIFY REVIEW'!$AC$4:$AC$400,$C75,'KNOWIFY REVIEW'!$AD$4:$AD$400,1)/SUMIFS('KNOWIFY REVIEW'!$AE$4:$AE$400,'KNOWIFY REVIEW'!$AB$4:$AB$400,$B75,'KNOWIFY REVIEW'!$AC$4:$AC$400,$C75,'KNOWIFY REVIEW'!$AD$4:$AD$400,1),""))</f>
        <v/>
      </c>
      <c r="R75" s="43" t="str">
        <f aca="false">IF(OR($B75="",$C75=""),"",IFERROR(SUMIFS('KNOWIFY REVIEW'!$AH$4:$AH$400,'KNOWIFY REVIEW'!$AB$4:$AB$400,$B75,'KNOWIFY REVIEW'!$AC$4:$AC$400,IF(OR($C75=INPUTS!$B$69,$C75=INPUTS!$B$70),INPUTS!$B$71,$C75),'KNOWIFY REVIEW'!$AD$4:$AD$400,1)/SUMIFS('KNOWIFY REVIEW'!$AG$4:$AG$400,'KNOWIFY REVIEW'!$AB$4:$AB$400,$B75,'KNOWIFY REVIEW'!$AC$4:$AC$400,IF(OR($C75=INPUTS!$B$69,$C75=INPUTS!$B$70),INPUTS!$B$71,$C75),'KNOWIFY REVIEW'!$AD$4:$AD$400,1),""))</f>
        <v/>
      </c>
      <c r="S75" s="24" t="str">
        <f aca="false">IF(MAX(N($Q75),N($R75))&gt;1.1,"Past job ran over budget","")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38"/>
      <c r="F76" s="10"/>
      <c r="G76" s="39"/>
      <c r="H76" s="40"/>
      <c r="I76" s="39"/>
      <c r="J76" s="38"/>
      <c r="K76" s="10" t="s">
        <v>237</v>
      </c>
      <c r="L76" s="28" t="n">
        <f aca="false">($E76*$G76+$I76)*(1+IF($K76="N",0,INPUTS!$C$23))</f>
        <v>0</v>
      </c>
      <c r="M76" s="41" t="n">
        <f aca="false">$E76*$H76+$J76</f>
        <v>0</v>
      </c>
      <c r="N76" s="28" t="n">
        <f aca="false">$M76*IF(OR($B76="V",$B76="AC"),'LABOUR RATES'!$E$26,'LABOUR RATES'!$E$11)</f>
        <v>0</v>
      </c>
      <c r="O76" s="28" t="n">
        <f aca="false">$M76*IF(OR($B76="V",$B76="AC"),'LABOUR RATES'!$C$27,'LABOUR RATES'!$C$12)</f>
        <v>0</v>
      </c>
      <c r="P76" s="42" t="n">
        <f aca="false">$L76+$N76+$O76</f>
        <v>0</v>
      </c>
      <c r="Q76" s="43" t="str">
        <f aca="false">IF(OR($B76="",$C76=""),"",IFERROR(SUMIFS('KNOWIFY REVIEW'!$AF$4:$AF$400,'KNOWIFY REVIEW'!$AB$4:$AB$400,$B76,'KNOWIFY REVIEW'!$AC$4:$AC$400,$C76,'KNOWIFY REVIEW'!$AD$4:$AD$400,1)/SUMIFS('KNOWIFY REVIEW'!$AE$4:$AE$400,'KNOWIFY REVIEW'!$AB$4:$AB$400,$B76,'KNOWIFY REVIEW'!$AC$4:$AC$400,$C76,'KNOWIFY REVIEW'!$AD$4:$AD$400,1),""))</f>
        <v/>
      </c>
      <c r="R76" s="43" t="str">
        <f aca="false">IF(OR($B76="",$C76=""),"",IFERROR(SUMIFS('KNOWIFY REVIEW'!$AH$4:$AH$400,'KNOWIFY REVIEW'!$AB$4:$AB$400,$B76,'KNOWIFY REVIEW'!$AC$4:$AC$400,IF(OR($C76=INPUTS!$B$69,$C76=INPUTS!$B$70),INPUTS!$B$71,$C76),'KNOWIFY REVIEW'!$AD$4:$AD$400,1)/SUMIFS('KNOWIFY REVIEW'!$AG$4:$AG$400,'KNOWIFY REVIEW'!$AB$4:$AB$400,$B76,'KNOWIFY REVIEW'!$AC$4:$AC$400,IF(OR($C76=INPUTS!$B$69,$C76=INPUTS!$B$70),INPUTS!$B$71,$C76),'KNOWIFY REVIEW'!$AD$4:$AD$400,1),""))</f>
        <v/>
      </c>
      <c r="S76" s="24" t="str">
        <f aca="false">IF(MAX(N($Q76),N($R76))&gt;1.1,"Past job ran over budget","")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38"/>
      <c r="F77" s="10"/>
      <c r="G77" s="39"/>
      <c r="H77" s="40"/>
      <c r="I77" s="39"/>
      <c r="J77" s="38"/>
      <c r="K77" s="10" t="s">
        <v>237</v>
      </c>
      <c r="L77" s="28" t="n">
        <f aca="false">($E77*$G77+$I77)*(1+IF($K77="N",0,INPUTS!$C$23))</f>
        <v>0</v>
      </c>
      <c r="M77" s="41" t="n">
        <f aca="false">$E77*$H77+$J77</f>
        <v>0</v>
      </c>
      <c r="N77" s="28" t="n">
        <f aca="false">$M77*IF(OR($B77="V",$B77="AC"),'LABOUR RATES'!$E$26,'LABOUR RATES'!$E$11)</f>
        <v>0</v>
      </c>
      <c r="O77" s="28" t="n">
        <f aca="false">$M77*IF(OR($B77="V",$B77="AC"),'LABOUR RATES'!$C$27,'LABOUR RATES'!$C$12)</f>
        <v>0</v>
      </c>
      <c r="P77" s="42" t="n">
        <f aca="false">$L77+$N77+$O77</f>
        <v>0</v>
      </c>
      <c r="Q77" s="43" t="str">
        <f aca="false">IF(OR($B77="",$C77=""),"",IFERROR(SUMIFS('KNOWIFY REVIEW'!$AF$4:$AF$400,'KNOWIFY REVIEW'!$AB$4:$AB$400,$B77,'KNOWIFY REVIEW'!$AC$4:$AC$400,$C77,'KNOWIFY REVIEW'!$AD$4:$AD$400,1)/SUMIFS('KNOWIFY REVIEW'!$AE$4:$AE$400,'KNOWIFY REVIEW'!$AB$4:$AB$400,$B77,'KNOWIFY REVIEW'!$AC$4:$AC$400,$C77,'KNOWIFY REVIEW'!$AD$4:$AD$400,1),""))</f>
        <v/>
      </c>
      <c r="R77" s="43" t="str">
        <f aca="false">IF(OR($B77="",$C77=""),"",IFERROR(SUMIFS('KNOWIFY REVIEW'!$AH$4:$AH$400,'KNOWIFY REVIEW'!$AB$4:$AB$400,$B77,'KNOWIFY REVIEW'!$AC$4:$AC$400,IF(OR($C77=INPUTS!$B$69,$C77=INPUTS!$B$70),INPUTS!$B$71,$C77),'KNOWIFY REVIEW'!$AD$4:$AD$400,1)/SUMIFS('KNOWIFY REVIEW'!$AG$4:$AG$400,'KNOWIFY REVIEW'!$AB$4:$AB$400,$B77,'KNOWIFY REVIEW'!$AC$4:$AC$400,IF(OR($C77=INPUTS!$B$69,$C77=INPUTS!$B$70),INPUTS!$B$71,$C77),'KNOWIFY REVIEW'!$AD$4:$AD$400,1),""))</f>
        <v/>
      </c>
      <c r="S77" s="24" t="str">
        <f aca="false">IF(MAX(N($Q77),N($R77))&gt;1.1,"Past job ran over budget","")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38"/>
      <c r="F78" s="10"/>
      <c r="G78" s="39"/>
      <c r="H78" s="40"/>
      <c r="I78" s="39"/>
      <c r="J78" s="38"/>
      <c r="K78" s="10" t="s">
        <v>237</v>
      </c>
      <c r="L78" s="28" t="n">
        <f aca="false">($E78*$G78+$I78)*(1+IF($K78="N",0,INPUTS!$C$23))</f>
        <v>0</v>
      </c>
      <c r="M78" s="41" t="n">
        <f aca="false">$E78*$H78+$J78</f>
        <v>0</v>
      </c>
      <c r="N78" s="28" t="n">
        <f aca="false">$M78*IF(OR($B78="V",$B78="AC"),'LABOUR RATES'!$E$26,'LABOUR RATES'!$E$11)</f>
        <v>0</v>
      </c>
      <c r="O78" s="28" t="n">
        <f aca="false">$M78*IF(OR($B78="V",$B78="AC"),'LABOUR RATES'!$C$27,'LABOUR RATES'!$C$12)</f>
        <v>0</v>
      </c>
      <c r="P78" s="42" t="n">
        <f aca="false">$L78+$N78+$O78</f>
        <v>0</v>
      </c>
      <c r="Q78" s="43" t="str">
        <f aca="false">IF(OR($B78="",$C78=""),"",IFERROR(SUMIFS('KNOWIFY REVIEW'!$AF$4:$AF$400,'KNOWIFY REVIEW'!$AB$4:$AB$400,$B78,'KNOWIFY REVIEW'!$AC$4:$AC$400,$C78,'KNOWIFY REVIEW'!$AD$4:$AD$400,1)/SUMIFS('KNOWIFY REVIEW'!$AE$4:$AE$400,'KNOWIFY REVIEW'!$AB$4:$AB$400,$B78,'KNOWIFY REVIEW'!$AC$4:$AC$400,$C78,'KNOWIFY REVIEW'!$AD$4:$AD$400,1),""))</f>
        <v/>
      </c>
      <c r="R78" s="43" t="str">
        <f aca="false">IF(OR($B78="",$C78=""),"",IFERROR(SUMIFS('KNOWIFY REVIEW'!$AH$4:$AH$400,'KNOWIFY REVIEW'!$AB$4:$AB$400,$B78,'KNOWIFY REVIEW'!$AC$4:$AC$400,IF(OR($C78=INPUTS!$B$69,$C78=INPUTS!$B$70),INPUTS!$B$71,$C78),'KNOWIFY REVIEW'!$AD$4:$AD$400,1)/SUMIFS('KNOWIFY REVIEW'!$AG$4:$AG$400,'KNOWIFY REVIEW'!$AB$4:$AB$400,$B78,'KNOWIFY REVIEW'!$AC$4:$AC$400,IF(OR($C78=INPUTS!$B$69,$C78=INPUTS!$B$70),INPUTS!$B$71,$C78),'KNOWIFY REVIEW'!$AD$4:$AD$400,1),""))</f>
        <v/>
      </c>
      <c r="S78" s="24" t="str">
        <f aca="false">IF(MAX(N($Q78),N($R78))&gt;1.1,"Past job ran over budget","")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38"/>
      <c r="F79" s="10"/>
      <c r="G79" s="39"/>
      <c r="H79" s="40"/>
      <c r="I79" s="39"/>
      <c r="J79" s="38"/>
      <c r="K79" s="10" t="s">
        <v>237</v>
      </c>
      <c r="L79" s="28" t="n">
        <f aca="false">($E79*$G79+$I79)*(1+IF($K79="N",0,INPUTS!$C$23))</f>
        <v>0</v>
      </c>
      <c r="M79" s="41" t="n">
        <f aca="false">$E79*$H79+$J79</f>
        <v>0</v>
      </c>
      <c r="N79" s="28" t="n">
        <f aca="false">$M79*IF(OR($B79="V",$B79="AC"),'LABOUR RATES'!$E$26,'LABOUR RATES'!$E$11)</f>
        <v>0</v>
      </c>
      <c r="O79" s="28" t="n">
        <f aca="false">$M79*IF(OR($B79="V",$B79="AC"),'LABOUR RATES'!$C$27,'LABOUR RATES'!$C$12)</f>
        <v>0</v>
      </c>
      <c r="P79" s="42" t="n">
        <f aca="false">$L79+$N79+$O79</f>
        <v>0</v>
      </c>
      <c r="Q79" s="43" t="str">
        <f aca="false">IF(OR($B79="",$C79=""),"",IFERROR(SUMIFS('KNOWIFY REVIEW'!$AF$4:$AF$400,'KNOWIFY REVIEW'!$AB$4:$AB$400,$B79,'KNOWIFY REVIEW'!$AC$4:$AC$400,$C79,'KNOWIFY REVIEW'!$AD$4:$AD$400,1)/SUMIFS('KNOWIFY REVIEW'!$AE$4:$AE$400,'KNOWIFY REVIEW'!$AB$4:$AB$400,$B79,'KNOWIFY REVIEW'!$AC$4:$AC$400,$C79,'KNOWIFY REVIEW'!$AD$4:$AD$400,1),""))</f>
        <v/>
      </c>
      <c r="R79" s="43" t="str">
        <f aca="false">IF(OR($B79="",$C79=""),"",IFERROR(SUMIFS('KNOWIFY REVIEW'!$AH$4:$AH$400,'KNOWIFY REVIEW'!$AB$4:$AB$400,$B79,'KNOWIFY REVIEW'!$AC$4:$AC$400,IF(OR($C79=INPUTS!$B$69,$C79=INPUTS!$B$70),INPUTS!$B$71,$C79),'KNOWIFY REVIEW'!$AD$4:$AD$400,1)/SUMIFS('KNOWIFY REVIEW'!$AG$4:$AG$400,'KNOWIFY REVIEW'!$AB$4:$AB$400,$B79,'KNOWIFY REVIEW'!$AC$4:$AC$400,IF(OR($C79=INPUTS!$B$69,$C79=INPUTS!$B$70),INPUTS!$B$71,$C79),'KNOWIFY REVIEW'!$AD$4:$AD$400,1),""))</f>
        <v/>
      </c>
      <c r="S79" s="24" t="str">
        <f aca="false">IF(MAX(N($Q79),N($R79))&gt;1.1,"Past job ran over budget","")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38"/>
      <c r="F80" s="10"/>
      <c r="G80" s="39"/>
      <c r="H80" s="40"/>
      <c r="I80" s="39"/>
      <c r="J80" s="38"/>
      <c r="K80" s="10" t="s">
        <v>237</v>
      </c>
      <c r="L80" s="28" t="n">
        <f aca="false">($E80*$G80+$I80)*(1+IF($K80="N",0,INPUTS!$C$23))</f>
        <v>0</v>
      </c>
      <c r="M80" s="41" t="n">
        <f aca="false">$E80*$H80+$J80</f>
        <v>0</v>
      </c>
      <c r="N80" s="28" t="n">
        <f aca="false">$M80*IF(OR($B80="V",$B80="AC"),'LABOUR RATES'!$E$26,'LABOUR RATES'!$E$11)</f>
        <v>0</v>
      </c>
      <c r="O80" s="28" t="n">
        <f aca="false">$M80*IF(OR($B80="V",$B80="AC"),'LABOUR RATES'!$C$27,'LABOUR RATES'!$C$12)</f>
        <v>0</v>
      </c>
      <c r="P80" s="42" t="n">
        <f aca="false">$L80+$N80+$O80</f>
        <v>0</v>
      </c>
      <c r="Q80" s="43" t="str">
        <f aca="false">IF(OR($B80="",$C80=""),"",IFERROR(SUMIFS('KNOWIFY REVIEW'!$AF$4:$AF$400,'KNOWIFY REVIEW'!$AB$4:$AB$400,$B80,'KNOWIFY REVIEW'!$AC$4:$AC$400,$C80,'KNOWIFY REVIEW'!$AD$4:$AD$400,1)/SUMIFS('KNOWIFY REVIEW'!$AE$4:$AE$400,'KNOWIFY REVIEW'!$AB$4:$AB$400,$B80,'KNOWIFY REVIEW'!$AC$4:$AC$400,$C80,'KNOWIFY REVIEW'!$AD$4:$AD$400,1),""))</f>
        <v/>
      </c>
      <c r="R80" s="43" t="str">
        <f aca="false">IF(OR($B80="",$C80=""),"",IFERROR(SUMIFS('KNOWIFY REVIEW'!$AH$4:$AH$400,'KNOWIFY REVIEW'!$AB$4:$AB$400,$B80,'KNOWIFY REVIEW'!$AC$4:$AC$400,IF(OR($C80=INPUTS!$B$69,$C80=INPUTS!$B$70),INPUTS!$B$71,$C80),'KNOWIFY REVIEW'!$AD$4:$AD$400,1)/SUMIFS('KNOWIFY REVIEW'!$AG$4:$AG$400,'KNOWIFY REVIEW'!$AB$4:$AB$400,$B80,'KNOWIFY REVIEW'!$AC$4:$AC$400,IF(OR($C80=INPUTS!$B$69,$C80=INPUTS!$B$70),INPUTS!$B$71,$C80),'KNOWIFY REVIEW'!$AD$4:$AD$400,1),""))</f>
        <v/>
      </c>
      <c r="S80" s="24" t="str">
        <f aca="false">IF(MAX(N($Q80),N($R80))&gt;1.1,"Past job ran over budget","")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38"/>
      <c r="F81" s="10"/>
      <c r="G81" s="39"/>
      <c r="H81" s="40"/>
      <c r="I81" s="39"/>
      <c r="J81" s="38"/>
      <c r="K81" s="10" t="s">
        <v>237</v>
      </c>
      <c r="L81" s="28" t="n">
        <f aca="false">($E81*$G81+$I81)*(1+IF($K81="N",0,INPUTS!$C$23))</f>
        <v>0</v>
      </c>
      <c r="M81" s="41" t="n">
        <f aca="false">$E81*$H81+$J81</f>
        <v>0</v>
      </c>
      <c r="N81" s="28" t="n">
        <f aca="false">$M81*IF(OR($B81="V",$B81="AC"),'LABOUR RATES'!$E$26,'LABOUR RATES'!$E$11)</f>
        <v>0</v>
      </c>
      <c r="O81" s="28" t="n">
        <f aca="false">$M81*IF(OR($B81="V",$B81="AC"),'LABOUR RATES'!$C$27,'LABOUR RATES'!$C$12)</f>
        <v>0</v>
      </c>
      <c r="P81" s="42" t="n">
        <f aca="false">$L81+$N81+$O81</f>
        <v>0</v>
      </c>
      <c r="Q81" s="43" t="str">
        <f aca="false">IF(OR($B81="",$C81=""),"",IFERROR(SUMIFS('KNOWIFY REVIEW'!$AF$4:$AF$400,'KNOWIFY REVIEW'!$AB$4:$AB$400,$B81,'KNOWIFY REVIEW'!$AC$4:$AC$400,$C81,'KNOWIFY REVIEW'!$AD$4:$AD$400,1)/SUMIFS('KNOWIFY REVIEW'!$AE$4:$AE$400,'KNOWIFY REVIEW'!$AB$4:$AB$400,$B81,'KNOWIFY REVIEW'!$AC$4:$AC$400,$C81,'KNOWIFY REVIEW'!$AD$4:$AD$400,1),""))</f>
        <v/>
      </c>
      <c r="R81" s="43" t="str">
        <f aca="false">IF(OR($B81="",$C81=""),"",IFERROR(SUMIFS('KNOWIFY REVIEW'!$AH$4:$AH$400,'KNOWIFY REVIEW'!$AB$4:$AB$400,$B81,'KNOWIFY REVIEW'!$AC$4:$AC$400,IF(OR($C81=INPUTS!$B$69,$C81=INPUTS!$B$70),INPUTS!$B$71,$C81),'KNOWIFY REVIEW'!$AD$4:$AD$400,1)/SUMIFS('KNOWIFY REVIEW'!$AG$4:$AG$400,'KNOWIFY REVIEW'!$AB$4:$AB$400,$B81,'KNOWIFY REVIEW'!$AC$4:$AC$400,IF(OR($C81=INPUTS!$B$69,$C81=INPUTS!$B$70),INPUTS!$B$71,$C81),'KNOWIFY REVIEW'!$AD$4:$AD$400,1),""))</f>
        <v/>
      </c>
      <c r="S81" s="24" t="str">
        <f aca="false">IF(MAX(N($Q81),N($R81))&gt;1.1,"Past job ran over budget","")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38"/>
      <c r="F82" s="10"/>
      <c r="G82" s="39"/>
      <c r="H82" s="40"/>
      <c r="I82" s="39"/>
      <c r="J82" s="38"/>
      <c r="K82" s="10" t="s">
        <v>237</v>
      </c>
      <c r="L82" s="28" t="n">
        <f aca="false">($E82*$G82+$I82)*(1+IF($K82="N",0,INPUTS!$C$23))</f>
        <v>0</v>
      </c>
      <c r="M82" s="41" t="n">
        <f aca="false">$E82*$H82+$J82</f>
        <v>0</v>
      </c>
      <c r="N82" s="28" t="n">
        <f aca="false">$M82*IF(OR($B82="V",$B82="AC"),'LABOUR RATES'!$E$26,'LABOUR RATES'!$E$11)</f>
        <v>0</v>
      </c>
      <c r="O82" s="28" t="n">
        <f aca="false">$M82*IF(OR($B82="V",$B82="AC"),'LABOUR RATES'!$C$27,'LABOUR RATES'!$C$12)</f>
        <v>0</v>
      </c>
      <c r="P82" s="42" t="n">
        <f aca="false">$L82+$N82+$O82</f>
        <v>0</v>
      </c>
      <c r="Q82" s="43" t="str">
        <f aca="false">IF(OR($B82="",$C82=""),"",IFERROR(SUMIFS('KNOWIFY REVIEW'!$AF$4:$AF$400,'KNOWIFY REVIEW'!$AB$4:$AB$400,$B82,'KNOWIFY REVIEW'!$AC$4:$AC$400,$C82,'KNOWIFY REVIEW'!$AD$4:$AD$400,1)/SUMIFS('KNOWIFY REVIEW'!$AE$4:$AE$400,'KNOWIFY REVIEW'!$AB$4:$AB$400,$B82,'KNOWIFY REVIEW'!$AC$4:$AC$400,$C82,'KNOWIFY REVIEW'!$AD$4:$AD$400,1),""))</f>
        <v/>
      </c>
      <c r="R82" s="43" t="str">
        <f aca="false">IF(OR($B82="",$C82=""),"",IFERROR(SUMIFS('KNOWIFY REVIEW'!$AH$4:$AH$400,'KNOWIFY REVIEW'!$AB$4:$AB$400,$B82,'KNOWIFY REVIEW'!$AC$4:$AC$400,IF(OR($C82=INPUTS!$B$69,$C82=INPUTS!$B$70),INPUTS!$B$71,$C82),'KNOWIFY REVIEW'!$AD$4:$AD$400,1)/SUMIFS('KNOWIFY REVIEW'!$AG$4:$AG$400,'KNOWIFY REVIEW'!$AB$4:$AB$400,$B82,'KNOWIFY REVIEW'!$AC$4:$AC$400,IF(OR($C82=INPUTS!$B$69,$C82=INPUTS!$B$70),INPUTS!$B$71,$C82),'KNOWIFY REVIEW'!$AD$4:$AD$400,1),""))</f>
        <v/>
      </c>
      <c r="S82" s="24" t="str">
        <f aca="false">IF(MAX(N($Q82),N($R82))&gt;1.1,"Past job ran over budget","")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38"/>
      <c r="F83" s="10"/>
      <c r="G83" s="39"/>
      <c r="H83" s="40"/>
      <c r="I83" s="39"/>
      <c r="J83" s="38"/>
      <c r="K83" s="10" t="s">
        <v>237</v>
      </c>
      <c r="L83" s="28" t="n">
        <f aca="false">($E83*$G83+$I83)*(1+IF($K83="N",0,INPUTS!$C$23))</f>
        <v>0</v>
      </c>
      <c r="M83" s="41" t="n">
        <f aca="false">$E83*$H83+$J83</f>
        <v>0</v>
      </c>
      <c r="N83" s="28" t="n">
        <f aca="false">$M83*IF(OR($B83="V",$B83="AC"),'LABOUR RATES'!$E$26,'LABOUR RATES'!$E$11)</f>
        <v>0</v>
      </c>
      <c r="O83" s="28" t="n">
        <f aca="false">$M83*IF(OR($B83="V",$B83="AC"),'LABOUR RATES'!$C$27,'LABOUR RATES'!$C$12)</f>
        <v>0</v>
      </c>
      <c r="P83" s="42" t="n">
        <f aca="false">$L83+$N83+$O83</f>
        <v>0</v>
      </c>
      <c r="Q83" s="43" t="str">
        <f aca="false">IF(OR($B83="",$C83=""),"",IFERROR(SUMIFS('KNOWIFY REVIEW'!$AF$4:$AF$400,'KNOWIFY REVIEW'!$AB$4:$AB$400,$B83,'KNOWIFY REVIEW'!$AC$4:$AC$400,$C83,'KNOWIFY REVIEW'!$AD$4:$AD$400,1)/SUMIFS('KNOWIFY REVIEW'!$AE$4:$AE$400,'KNOWIFY REVIEW'!$AB$4:$AB$400,$B83,'KNOWIFY REVIEW'!$AC$4:$AC$400,$C83,'KNOWIFY REVIEW'!$AD$4:$AD$400,1),""))</f>
        <v/>
      </c>
      <c r="R83" s="43" t="str">
        <f aca="false">IF(OR($B83="",$C83=""),"",IFERROR(SUMIFS('KNOWIFY REVIEW'!$AH$4:$AH$400,'KNOWIFY REVIEW'!$AB$4:$AB$400,$B83,'KNOWIFY REVIEW'!$AC$4:$AC$400,IF(OR($C83=INPUTS!$B$69,$C83=INPUTS!$B$70),INPUTS!$B$71,$C83),'KNOWIFY REVIEW'!$AD$4:$AD$400,1)/SUMIFS('KNOWIFY REVIEW'!$AG$4:$AG$400,'KNOWIFY REVIEW'!$AB$4:$AB$400,$B83,'KNOWIFY REVIEW'!$AC$4:$AC$400,IF(OR($C83=INPUTS!$B$69,$C83=INPUTS!$B$70),INPUTS!$B$71,$C83),'KNOWIFY REVIEW'!$AD$4:$AD$400,1),""))</f>
        <v/>
      </c>
      <c r="S83" s="24" t="str">
        <f aca="false">IF(MAX(N($Q83),N($R83))&gt;1.1,"Past job ran over budget","")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38"/>
      <c r="F84" s="10"/>
      <c r="G84" s="39"/>
      <c r="H84" s="40"/>
      <c r="I84" s="39"/>
      <c r="J84" s="38"/>
      <c r="K84" s="10" t="s">
        <v>237</v>
      </c>
      <c r="L84" s="28" t="n">
        <f aca="false">($E84*$G84+$I84)*(1+IF($K84="N",0,INPUTS!$C$23))</f>
        <v>0</v>
      </c>
      <c r="M84" s="41" t="n">
        <f aca="false">$E84*$H84+$J84</f>
        <v>0</v>
      </c>
      <c r="N84" s="28" t="n">
        <f aca="false">$M84*IF(OR($B84="V",$B84="AC"),'LABOUR RATES'!$E$26,'LABOUR RATES'!$E$11)</f>
        <v>0</v>
      </c>
      <c r="O84" s="28" t="n">
        <f aca="false">$M84*IF(OR($B84="V",$B84="AC"),'LABOUR RATES'!$C$27,'LABOUR RATES'!$C$12)</f>
        <v>0</v>
      </c>
      <c r="P84" s="42" t="n">
        <f aca="false">$L84+$N84+$O84</f>
        <v>0</v>
      </c>
      <c r="Q84" s="43" t="str">
        <f aca="false">IF(OR($B84="",$C84=""),"",IFERROR(SUMIFS('KNOWIFY REVIEW'!$AF$4:$AF$400,'KNOWIFY REVIEW'!$AB$4:$AB$400,$B84,'KNOWIFY REVIEW'!$AC$4:$AC$400,$C84,'KNOWIFY REVIEW'!$AD$4:$AD$400,1)/SUMIFS('KNOWIFY REVIEW'!$AE$4:$AE$400,'KNOWIFY REVIEW'!$AB$4:$AB$400,$B84,'KNOWIFY REVIEW'!$AC$4:$AC$400,$C84,'KNOWIFY REVIEW'!$AD$4:$AD$400,1),""))</f>
        <v/>
      </c>
      <c r="R84" s="43" t="str">
        <f aca="false">IF(OR($B84="",$C84=""),"",IFERROR(SUMIFS('KNOWIFY REVIEW'!$AH$4:$AH$400,'KNOWIFY REVIEW'!$AB$4:$AB$400,$B84,'KNOWIFY REVIEW'!$AC$4:$AC$400,IF(OR($C84=INPUTS!$B$69,$C84=INPUTS!$B$70),INPUTS!$B$71,$C84),'KNOWIFY REVIEW'!$AD$4:$AD$400,1)/SUMIFS('KNOWIFY REVIEW'!$AG$4:$AG$400,'KNOWIFY REVIEW'!$AB$4:$AB$400,$B84,'KNOWIFY REVIEW'!$AC$4:$AC$400,IF(OR($C84=INPUTS!$B$69,$C84=INPUTS!$B$70),INPUTS!$B$71,$C84),'KNOWIFY REVIEW'!$AD$4:$AD$400,1),""))</f>
        <v/>
      </c>
      <c r="S84" s="24" t="str">
        <f aca="false">IF(MAX(N($Q84),N($R84))&gt;1.1,"Past job ran over budget","")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38"/>
      <c r="F85" s="10"/>
      <c r="G85" s="39"/>
      <c r="H85" s="40"/>
      <c r="I85" s="39"/>
      <c r="J85" s="38"/>
      <c r="K85" s="10" t="s">
        <v>237</v>
      </c>
      <c r="L85" s="28" t="n">
        <f aca="false">($E85*$G85+$I85)*(1+IF($K85="N",0,INPUTS!$C$23))</f>
        <v>0</v>
      </c>
      <c r="M85" s="41" t="n">
        <f aca="false">$E85*$H85+$J85</f>
        <v>0</v>
      </c>
      <c r="N85" s="28" t="n">
        <f aca="false">$M85*IF(OR($B85="V",$B85="AC"),'LABOUR RATES'!$E$26,'LABOUR RATES'!$E$11)</f>
        <v>0</v>
      </c>
      <c r="O85" s="28" t="n">
        <f aca="false">$M85*IF(OR($B85="V",$B85="AC"),'LABOUR RATES'!$C$27,'LABOUR RATES'!$C$12)</f>
        <v>0</v>
      </c>
      <c r="P85" s="42" t="n">
        <f aca="false">$L85+$N85+$O85</f>
        <v>0</v>
      </c>
      <c r="Q85" s="43" t="str">
        <f aca="false">IF(OR($B85="",$C85=""),"",IFERROR(SUMIFS('KNOWIFY REVIEW'!$AF$4:$AF$400,'KNOWIFY REVIEW'!$AB$4:$AB$400,$B85,'KNOWIFY REVIEW'!$AC$4:$AC$400,$C85,'KNOWIFY REVIEW'!$AD$4:$AD$400,1)/SUMIFS('KNOWIFY REVIEW'!$AE$4:$AE$400,'KNOWIFY REVIEW'!$AB$4:$AB$400,$B85,'KNOWIFY REVIEW'!$AC$4:$AC$400,$C85,'KNOWIFY REVIEW'!$AD$4:$AD$400,1),""))</f>
        <v/>
      </c>
      <c r="R85" s="43" t="str">
        <f aca="false">IF(OR($B85="",$C85=""),"",IFERROR(SUMIFS('KNOWIFY REVIEW'!$AH$4:$AH$400,'KNOWIFY REVIEW'!$AB$4:$AB$400,$B85,'KNOWIFY REVIEW'!$AC$4:$AC$400,IF(OR($C85=INPUTS!$B$69,$C85=INPUTS!$B$70),INPUTS!$B$71,$C85),'KNOWIFY REVIEW'!$AD$4:$AD$400,1)/SUMIFS('KNOWIFY REVIEW'!$AG$4:$AG$400,'KNOWIFY REVIEW'!$AB$4:$AB$400,$B85,'KNOWIFY REVIEW'!$AC$4:$AC$400,IF(OR($C85=INPUTS!$B$69,$C85=INPUTS!$B$70),INPUTS!$B$71,$C85),'KNOWIFY REVIEW'!$AD$4:$AD$400,1),""))</f>
        <v/>
      </c>
      <c r="S85" s="24" t="str">
        <f aca="false">IF(MAX(N($Q85),N($R85))&gt;1.1,"Past job ran over budget","")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38"/>
      <c r="F86" s="10"/>
      <c r="G86" s="39"/>
      <c r="H86" s="40"/>
      <c r="I86" s="39"/>
      <c r="J86" s="38"/>
      <c r="K86" s="10" t="s">
        <v>237</v>
      </c>
      <c r="L86" s="28" t="n">
        <f aca="false">($E86*$G86+$I86)*(1+IF($K86="N",0,INPUTS!$C$23))</f>
        <v>0</v>
      </c>
      <c r="M86" s="41" t="n">
        <f aca="false">$E86*$H86+$J86</f>
        <v>0</v>
      </c>
      <c r="N86" s="28" t="n">
        <f aca="false">$M86*IF(OR($B86="V",$B86="AC"),'LABOUR RATES'!$E$26,'LABOUR RATES'!$E$11)</f>
        <v>0</v>
      </c>
      <c r="O86" s="28" t="n">
        <f aca="false">$M86*IF(OR($B86="V",$B86="AC"),'LABOUR RATES'!$C$27,'LABOUR RATES'!$C$12)</f>
        <v>0</v>
      </c>
      <c r="P86" s="42" t="n">
        <f aca="false">$L86+$N86+$O86</f>
        <v>0</v>
      </c>
      <c r="Q86" s="43" t="str">
        <f aca="false">IF(OR($B86="",$C86=""),"",IFERROR(SUMIFS('KNOWIFY REVIEW'!$AF$4:$AF$400,'KNOWIFY REVIEW'!$AB$4:$AB$400,$B86,'KNOWIFY REVIEW'!$AC$4:$AC$400,$C86,'KNOWIFY REVIEW'!$AD$4:$AD$400,1)/SUMIFS('KNOWIFY REVIEW'!$AE$4:$AE$400,'KNOWIFY REVIEW'!$AB$4:$AB$400,$B86,'KNOWIFY REVIEW'!$AC$4:$AC$400,$C86,'KNOWIFY REVIEW'!$AD$4:$AD$400,1),""))</f>
        <v/>
      </c>
      <c r="R86" s="43" t="str">
        <f aca="false">IF(OR($B86="",$C86=""),"",IFERROR(SUMIFS('KNOWIFY REVIEW'!$AH$4:$AH$400,'KNOWIFY REVIEW'!$AB$4:$AB$400,$B86,'KNOWIFY REVIEW'!$AC$4:$AC$400,IF(OR($C86=INPUTS!$B$69,$C86=INPUTS!$B$70),INPUTS!$B$71,$C86),'KNOWIFY REVIEW'!$AD$4:$AD$400,1)/SUMIFS('KNOWIFY REVIEW'!$AG$4:$AG$400,'KNOWIFY REVIEW'!$AB$4:$AB$400,$B86,'KNOWIFY REVIEW'!$AC$4:$AC$400,IF(OR($C86=INPUTS!$B$69,$C86=INPUTS!$B$70),INPUTS!$B$71,$C86),'KNOWIFY REVIEW'!$AD$4:$AD$400,1),""))</f>
        <v/>
      </c>
      <c r="S86" s="24" t="str">
        <f aca="false">IF(MAX(N($Q86),N($R86))&gt;1.1,"Past job ran over budget","")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38"/>
      <c r="F87" s="10"/>
      <c r="G87" s="39"/>
      <c r="H87" s="40"/>
      <c r="I87" s="39"/>
      <c r="J87" s="38"/>
      <c r="K87" s="10" t="s">
        <v>237</v>
      </c>
      <c r="L87" s="28" t="n">
        <f aca="false">($E87*$G87+$I87)*(1+IF($K87="N",0,INPUTS!$C$23))</f>
        <v>0</v>
      </c>
      <c r="M87" s="41" t="n">
        <f aca="false">$E87*$H87+$J87</f>
        <v>0</v>
      </c>
      <c r="N87" s="28" t="n">
        <f aca="false">$M87*IF(OR($B87="V",$B87="AC"),'LABOUR RATES'!$E$26,'LABOUR RATES'!$E$11)</f>
        <v>0</v>
      </c>
      <c r="O87" s="28" t="n">
        <f aca="false">$M87*IF(OR($B87="V",$B87="AC"),'LABOUR RATES'!$C$27,'LABOUR RATES'!$C$12)</f>
        <v>0</v>
      </c>
      <c r="P87" s="42" t="n">
        <f aca="false">$L87+$N87+$O87</f>
        <v>0</v>
      </c>
      <c r="Q87" s="43" t="str">
        <f aca="false">IF(OR($B87="",$C87=""),"",IFERROR(SUMIFS('KNOWIFY REVIEW'!$AF$4:$AF$400,'KNOWIFY REVIEW'!$AB$4:$AB$400,$B87,'KNOWIFY REVIEW'!$AC$4:$AC$400,$C87,'KNOWIFY REVIEW'!$AD$4:$AD$400,1)/SUMIFS('KNOWIFY REVIEW'!$AE$4:$AE$400,'KNOWIFY REVIEW'!$AB$4:$AB$400,$B87,'KNOWIFY REVIEW'!$AC$4:$AC$400,$C87,'KNOWIFY REVIEW'!$AD$4:$AD$400,1),""))</f>
        <v/>
      </c>
      <c r="R87" s="43" t="str">
        <f aca="false">IF(OR($B87="",$C87=""),"",IFERROR(SUMIFS('KNOWIFY REVIEW'!$AH$4:$AH$400,'KNOWIFY REVIEW'!$AB$4:$AB$400,$B87,'KNOWIFY REVIEW'!$AC$4:$AC$400,IF(OR($C87=INPUTS!$B$69,$C87=INPUTS!$B$70),INPUTS!$B$71,$C87),'KNOWIFY REVIEW'!$AD$4:$AD$400,1)/SUMIFS('KNOWIFY REVIEW'!$AG$4:$AG$400,'KNOWIFY REVIEW'!$AB$4:$AB$400,$B87,'KNOWIFY REVIEW'!$AC$4:$AC$400,IF(OR($C87=INPUTS!$B$69,$C87=INPUTS!$B$70),INPUTS!$B$71,$C87),'KNOWIFY REVIEW'!$AD$4:$AD$400,1),""))</f>
        <v/>
      </c>
      <c r="S87" s="24" t="str">
        <f aca="false">IF(MAX(N($Q87),N($R87))&gt;1.1,"Past job ran over budget","")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38"/>
      <c r="F88" s="10"/>
      <c r="G88" s="39"/>
      <c r="H88" s="40"/>
      <c r="I88" s="39"/>
      <c r="J88" s="38"/>
      <c r="K88" s="10" t="s">
        <v>237</v>
      </c>
      <c r="L88" s="28" t="n">
        <f aca="false">($E88*$G88+$I88)*(1+IF($K88="N",0,INPUTS!$C$23))</f>
        <v>0</v>
      </c>
      <c r="M88" s="41" t="n">
        <f aca="false">$E88*$H88+$J88</f>
        <v>0</v>
      </c>
      <c r="N88" s="28" t="n">
        <f aca="false">$M88*IF(OR($B88="V",$B88="AC"),'LABOUR RATES'!$E$26,'LABOUR RATES'!$E$11)</f>
        <v>0</v>
      </c>
      <c r="O88" s="28" t="n">
        <f aca="false">$M88*IF(OR($B88="V",$B88="AC"),'LABOUR RATES'!$C$27,'LABOUR RATES'!$C$12)</f>
        <v>0</v>
      </c>
      <c r="P88" s="42" t="n">
        <f aca="false">$L88+$N88+$O88</f>
        <v>0</v>
      </c>
      <c r="Q88" s="43" t="str">
        <f aca="false">IF(OR($B88="",$C88=""),"",IFERROR(SUMIFS('KNOWIFY REVIEW'!$AF$4:$AF$400,'KNOWIFY REVIEW'!$AB$4:$AB$400,$B88,'KNOWIFY REVIEW'!$AC$4:$AC$400,$C88,'KNOWIFY REVIEW'!$AD$4:$AD$400,1)/SUMIFS('KNOWIFY REVIEW'!$AE$4:$AE$400,'KNOWIFY REVIEW'!$AB$4:$AB$400,$B88,'KNOWIFY REVIEW'!$AC$4:$AC$400,$C88,'KNOWIFY REVIEW'!$AD$4:$AD$400,1),""))</f>
        <v/>
      </c>
      <c r="R88" s="43" t="str">
        <f aca="false">IF(OR($B88="",$C88=""),"",IFERROR(SUMIFS('KNOWIFY REVIEW'!$AH$4:$AH$400,'KNOWIFY REVIEW'!$AB$4:$AB$400,$B88,'KNOWIFY REVIEW'!$AC$4:$AC$400,IF(OR($C88=INPUTS!$B$69,$C88=INPUTS!$B$70),INPUTS!$B$71,$C88),'KNOWIFY REVIEW'!$AD$4:$AD$400,1)/SUMIFS('KNOWIFY REVIEW'!$AG$4:$AG$400,'KNOWIFY REVIEW'!$AB$4:$AB$400,$B88,'KNOWIFY REVIEW'!$AC$4:$AC$400,IF(OR($C88=INPUTS!$B$69,$C88=INPUTS!$B$70),INPUTS!$B$71,$C88),'KNOWIFY REVIEW'!$AD$4:$AD$400,1),""))</f>
        <v/>
      </c>
      <c r="S88" s="24" t="str">
        <f aca="false">IF(MAX(N($Q88),N($R88))&gt;1.1,"Past job ran over budget","")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38"/>
      <c r="F89" s="10"/>
      <c r="G89" s="39"/>
      <c r="H89" s="40"/>
      <c r="I89" s="39"/>
      <c r="J89" s="38"/>
      <c r="K89" s="10" t="s">
        <v>237</v>
      </c>
      <c r="L89" s="28" t="n">
        <f aca="false">($E89*$G89+$I89)*(1+IF($K89="N",0,INPUTS!$C$23))</f>
        <v>0</v>
      </c>
      <c r="M89" s="41" t="n">
        <f aca="false">$E89*$H89+$J89</f>
        <v>0</v>
      </c>
      <c r="N89" s="28" t="n">
        <f aca="false">$M89*IF(OR($B89="V",$B89="AC"),'LABOUR RATES'!$E$26,'LABOUR RATES'!$E$11)</f>
        <v>0</v>
      </c>
      <c r="O89" s="28" t="n">
        <f aca="false">$M89*IF(OR($B89="V",$B89="AC"),'LABOUR RATES'!$C$27,'LABOUR RATES'!$C$12)</f>
        <v>0</v>
      </c>
      <c r="P89" s="42" t="n">
        <f aca="false">$L89+$N89+$O89</f>
        <v>0</v>
      </c>
      <c r="Q89" s="43" t="str">
        <f aca="false">IF(OR($B89="",$C89=""),"",IFERROR(SUMIFS('KNOWIFY REVIEW'!$AF$4:$AF$400,'KNOWIFY REVIEW'!$AB$4:$AB$400,$B89,'KNOWIFY REVIEW'!$AC$4:$AC$400,$C89,'KNOWIFY REVIEW'!$AD$4:$AD$400,1)/SUMIFS('KNOWIFY REVIEW'!$AE$4:$AE$400,'KNOWIFY REVIEW'!$AB$4:$AB$400,$B89,'KNOWIFY REVIEW'!$AC$4:$AC$400,$C89,'KNOWIFY REVIEW'!$AD$4:$AD$400,1),""))</f>
        <v/>
      </c>
      <c r="R89" s="43" t="str">
        <f aca="false">IF(OR($B89="",$C89=""),"",IFERROR(SUMIFS('KNOWIFY REVIEW'!$AH$4:$AH$400,'KNOWIFY REVIEW'!$AB$4:$AB$400,$B89,'KNOWIFY REVIEW'!$AC$4:$AC$400,IF(OR($C89=INPUTS!$B$69,$C89=INPUTS!$B$70),INPUTS!$B$71,$C89),'KNOWIFY REVIEW'!$AD$4:$AD$400,1)/SUMIFS('KNOWIFY REVIEW'!$AG$4:$AG$400,'KNOWIFY REVIEW'!$AB$4:$AB$400,$B89,'KNOWIFY REVIEW'!$AC$4:$AC$400,IF(OR($C89=INPUTS!$B$69,$C89=INPUTS!$B$70),INPUTS!$B$71,$C89),'KNOWIFY REVIEW'!$AD$4:$AD$400,1),""))</f>
        <v/>
      </c>
      <c r="S89" s="24" t="str">
        <f aca="false">IF(MAX(N($Q89),N($R89))&gt;1.1,"Past job ran over budget","")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38"/>
      <c r="F90" s="10"/>
      <c r="G90" s="39"/>
      <c r="H90" s="40"/>
      <c r="I90" s="39"/>
      <c r="J90" s="38"/>
      <c r="K90" s="10" t="s">
        <v>237</v>
      </c>
      <c r="L90" s="28" t="n">
        <f aca="false">($E90*$G90+$I90)*(1+IF($K90="N",0,INPUTS!$C$23))</f>
        <v>0</v>
      </c>
      <c r="M90" s="41" t="n">
        <f aca="false">$E90*$H90+$J90</f>
        <v>0</v>
      </c>
      <c r="N90" s="28" t="n">
        <f aca="false">$M90*IF(OR($B90="V",$B90="AC"),'LABOUR RATES'!$E$26,'LABOUR RATES'!$E$11)</f>
        <v>0</v>
      </c>
      <c r="O90" s="28" t="n">
        <f aca="false">$M90*IF(OR($B90="V",$B90="AC"),'LABOUR RATES'!$C$27,'LABOUR RATES'!$C$12)</f>
        <v>0</v>
      </c>
      <c r="P90" s="42" t="n">
        <f aca="false">$L90+$N90+$O90</f>
        <v>0</v>
      </c>
      <c r="Q90" s="43" t="str">
        <f aca="false">IF(OR($B90="",$C90=""),"",IFERROR(SUMIFS('KNOWIFY REVIEW'!$AF$4:$AF$400,'KNOWIFY REVIEW'!$AB$4:$AB$400,$B90,'KNOWIFY REVIEW'!$AC$4:$AC$400,$C90,'KNOWIFY REVIEW'!$AD$4:$AD$400,1)/SUMIFS('KNOWIFY REVIEW'!$AE$4:$AE$400,'KNOWIFY REVIEW'!$AB$4:$AB$400,$B90,'KNOWIFY REVIEW'!$AC$4:$AC$400,$C90,'KNOWIFY REVIEW'!$AD$4:$AD$400,1),""))</f>
        <v/>
      </c>
      <c r="R90" s="43" t="str">
        <f aca="false">IF(OR($B90="",$C90=""),"",IFERROR(SUMIFS('KNOWIFY REVIEW'!$AH$4:$AH$400,'KNOWIFY REVIEW'!$AB$4:$AB$400,$B90,'KNOWIFY REVIEW'!$AC$4:$AC$400,IF(OR($C90=INPUTS!$B$69,$C90=INPUTS!$B$70),INPUTS!$B$71,$C90),'KNOWIFY REVIEW'!$AD$4:$AD$400,1)/SUMIFS('KNOWIFY REVIEW'!$AG$4:$AG$400,'KNOWIFY REVIEW'!$AB$4:$AB$400,$B90,'KNOWIFY REVIEW'!$AC$4:$AC$400,IF(OR($C90=INPUTS!$B$69,$C90=INPUTS!$B$70),INPUTS!$B$71,$C90),'KNOWIFY REVIEW'!$AD$4:$AD$400,1),""))</f>
        <v/>
      </c>
      <c r="S90" s="24" t="str">
        <f aca="false">IF(MAX(N($Q90),N($R90))&gt;1.1,"Past job ran over budget","")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38"/>
      <c r="F91" s="10"/>
      <c r="G91" s="39"/>
      <c r="H91" s="40"/>
      <c r="I91" s="39"/>
      <c r="J91" s="38"/>
      <c r="K91" s="10" t="s">
        <v>237</v>
      </c>
      <c r="L91" s="28" t="n">
        <f aca="false">($E91*$G91+$I91)*(1+IF($K91="N",0,INPUTS!$C$23))</f>
        <v>0</v>
      </c>
      <c r="M91" s="41" t="n">
        <f aca="false">$E91*$H91+$J91</f>
        <v>0</v>
      </c>
      <c r="N91" s="28" t="n">
        <f aca="false">$M91*IF(OR($B91="V",$B91="AC"),'LABOUR RATES'!$E$26,'LABOUR RATES'!$E$11)</f>
        <v>0</v>
      </c>
      <c r="O91" s="28" t="n">
        <f aca="false">$M91*IF(OR($B91="V",$B91="AC"),'LABOUR RATES'!$C$27,'LABOUR RATES'!$C$12)</f>
        <v>0</v>
      </c>
      <c r="P91" s="42" t="n">
        <f aca="false">$L91+$N91+$O91</f>
        <v>0</v>
      </c>
      <c r="Q91" s="43" t="str">
        <f aca="false">IF(OR($B91="",$C91=""),"",IFERROR(SUMIFS('KNOWIFY REVIEW'!$AF$4:$AF$400,'KNOWIFY REVIEW'!$AB$4:$AB$400,$B91,'KNOWIFY REVIEW'!$AC$4:$AC$400,$C91,'KNOWIFY REVIEW'!$AD$4:$AD$400,1)/SUMIFS('KNOWIFY REVIEW'!$AE$4:$AE$400,'KNOWIFY REVIEW'!$AB$4:$AB$400,$B91,'KNOWIFY REVIEW'!$AC$4:$AC$400,$C91,'KNOWIFY REVIEW'!$AD$4:$AD$400,1),""))</f>
        <v/>
      </c>
      <c r="R91" s="43" t="str">
        <f aca="false">IF(OR($B91="",$C91=""),"",IFERROR(SUMIFS('KNOWIFY REVIEW'!$AH$4:$AH$400,'KNOWIFY REVIEW'!$AB$4:$AB$400,$B91,'KNOWIFY REVIEW'!$AC$4:$AC$400,IF(OR($C91=INPUTS!$B$69,$C91=INPUTS!$B$70),INPUTS!$B$71,$C91),'KNOWIFY REVIEW'!$AD$4:$AD$400,1)/SUMIFS('KNOWIFY REVIEW'!$AG$4:$AG$400,'KNOWIFY REVIEW'!$AB$4:$AB$400,$B91,'KNOWIFY REVIEW'!$AC$4:$AC$400,IF(OR($C91=INPUTS!$B$69,$C91=INPUTS!$B$70),INPUTS!$B$71,$C91),'KNOWIFY REVIEW'!$AD$4:$AD$400,1),""))</f>
        <v/>
      </c>
      <c r="S91" s="24" t="str">
        <f aca="false">IF(MAX(N($Q91),N($R91))&gt;1.1,"Past job ran over budget","")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38"/>
      <c r="F92" s="10"/>
      <c r="G92" s="39"/>
      <c r="H92" s="40"/>
      <c r="I92" s="39"/>
      <c r="J92" s="38"/>
      <c r="K92" s="10" t="s">
        <v>237</v>
      </c>
      <c r="L92" s="28" t="n">
        <f aca="false">($E92*$G92+$I92)*(1+IF($K92="N",0,INPUTS!$C$23))</f>
        <v>0</v>
      </c>
      <c r="M92" s="41" t="n">
        <f aca="false">$E92*$H92+$J92</f>
        <v>0</v>
      </c>
      <c r="N92" s="28" t="n">
        <f aca="false">$M92*IF(OR($B92="V",$B92="AC"),'LABOUR RATES'!$E$26,'LABOUR RATES'!$E$11)</f>
        <v>0</v>
      </c>
      <c r="O92" s="28" t="n">
        <f aca="false">$M92*IF(OR($B92="V",$B92="AC"),'LABOUR RATES'!$C$27,'LABOUR RATES'!$C$12)</f>
        <v>0</v>
      </c>
      <c r="P92" s="42" t="n">
        <f aca="false">$L92+$N92+$O92</f>
        <v>0</v>
      </c>
      <c r="Q92" s="43" t="str">
        <f aca="false">IF(OR($B92="",$C92=""),"",IFERROR(SUMIFS('KNOWIFY REVIEW'!$AF$4:$AF$400,'KNOWIFY REVIEW'!$AB$4:$AB$400,$B92,'KNOWIFY REVIEW'!$AC$4:$AC$400,$C92,'KNOWIFY REVIEW'!$AD$4:$AD$400,1)/SUMIFS('KNOWIFY REVIEW'!$AE$4:$AE$400,'KNOWIFY REVIEW'!$AB$4:$AB$400,$B92,'KNOWIFY REVIEW'!$AC$4:$AC$400,$C92,'KNOWIFY REVIEW'!$AD$4:$AD$400,1),""))</f>
        <v/>
      </c>
      <c r="R92" s="43" t="str">
        <f aca="false">IF(OR($B92="",$C92=""),"",IFERROR(SUMIFS('KNOWIFY REVIEW'!$AH$4:$AH$400,'KNOWIFY REVIEW'!$AB$4:$AB$400,$B92,'KNOWIFY REVIEW'!$AC$4:$AC$400,IF(OR($C92=INPUTS!$B$69,$C92=INPUTS!$B$70),INPUTS!$B$71,$C92),'KNOWIFY REVIEW'!$AD$4:$AD$400,1)/SUMIFS('KNOWIFY REVIEW'!$AG$4:$AG$400,'KNOWIFY REVIEW'!$AB$4:$AB$400,$B92,'KNOWIFY REVIEW'!$AC$4:$AC$400,IF(OR($C92=INPUTS!$B$69,$C92=INPUTS!$B$70),INPUTS!$B$71,$C92),'KNOWIFY REVIEW'!$AD$4:$AD$400,1),""))</f>
        <v/>
      </c>
      <c r="S92" s="24" t="str">
        <f aca="false">IF(MAX(N($Q92),N($R92))&gt;1.1,"Past job ran over budget","")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38"/>
      <c r="F93" s="10"/>
      <c r="G93" s="39"/>
      <c r="H93" s="40"/>
      <c r="I93" s="39"/>
      <c r="J93" s="38"/>
      <c r="K93" s="10" t="s">
        <v>237</v>
      </c>
      <c r="L93" s="28" t="n">
        <f aca="false">($E93*$G93+$I93)*(1+IF($K93="N",0,INPUTS!$C$23))</f>
        <v>0</v>
      </c>
      <c r="M93" s="41" t="n">
        <f aca="false">$E93*$H93+$J93</f>
        <v>0</v>
      </c>
      <c r="N93" s="28" t="n">
        <f aca="false">$M93*IF(OR($B93="V",$B93="AC"),'LABOUR RATES'!$E$26,'LABOUR RATES'!$E$11)</f>
        <v>0</v>
      </c>
      <c r="O93" s="28" t="n">
        <f aca="false">$M93*IF(OR($B93="V",$B93="AC"),'LABOUR RATES'!$C$27,'LABOUR RATES'!$C$12)</f>
        <v>0</v>
      </c>
      <c r="P93" s="42" t="n">
        <f aca="false">$L93+$N93+$O93</f>
        <v>0</v>
      </c>
      <c r="Q93" s="43" t="str">
        <f aca="false">IF(OR($B93="",$C93=""),"",IFERROR(SUMIFS('KNOWIFY REVIEW'!$AF$4:$AF$400,'KNOWIFY REVIEW'!$AB$4:$AB$400,$B93,'KNOWIFY REVIEW'!$AC$4:$AC$400,$C93,'KNOWIFY REVIEW'!$AD$4:$AD$400,1)/SUMIFS('KNOWIFY REVIEW'!$AE$4:$AE$400,'KNOWIFY REVIEW'!$AB$4:$AB$400,$B93,'KNOWIFY REVIEW'!$AC$4:$AC$400,$C93,'KNOWIFY REVIEW'!$AD$4:$AD$400,1),""))</f>
        <v/>
      </c>
      <c r="R93" s="43" t="str">
        <f aca="false">IF(OR($B93="",$C93=""),"",IFERROR(SUMIFS('KNOWIFY REVIEW'!$AH$4:$AH$400,'KNOWIFY REVIEW'!$AB$4:$AB$400,$B93,'KNOWIFY REVIEW'!$AC$4:$AC$400,IF(OR($C93=INPUTS!$B$69,$C93=INPUTS!$B$70),INPUTS!$B$71,$C93),'KNOWIFY REVIEW'!$AD$4:$AD$400,1)/SUMIFS('KNOWIFY REVIEW'!$AG$4:$AG$400,'KNOWIFY REVIEW'!$AB$4:$AB$400,$B93,'KNOWIFY REVIEW'!$AC$4:$AC$400,IF(OR($C93=INPUTS!$B$69,$C93=INPUTS!$B$70),INPUTS!$B$71,$C93),'KNOWIFY REVIEW'!$AD$4:$AD$400,1),""))</f>
        <v/>
      </c>
      <c r="S93" s="24" t="str">
        <f aca="false">IF(MAX(N($Q93),N($R93))&gt;1.1,"Past job ran over budget","")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38"/>
      <c r="F94" s="10"/>
      <c r="G94" s="39"/>
      <c r="H94" s="40"/>
      <c r="I94" s="39"/>
      <c r="J94" s="38"/>
      <c r="K94" s="10" t="s">
        <v>237</v>
      </c>
      <c r="L94" s="28" t="n">
        <f aca="false">($E94*$G94+$I94)*(1+IF($K94="N",0,INPUTS!$C$23))</f>
        <v>0</v>
      </c>
      <c r="M94" s="41" t="n">
        <f aca="false">$E94*$H94+$J94</f>
        <v>0</v>
      </c>
      <c r="N94" s="28" t="n">
        <f aca="false">$M94*IF(OR($B94="V",$B94="AC"),'LABOUR RATES'!$E$26,'LABOUR RATES'!$E$11)</f>
        <v>0</v>
      </c>
      <c r="O94" s="28" t="n">
        <f aca="false">$M94*IF(OR($B94="V",$B94="AC"),'LABOUR RATES'!$C$27,'LABOUR RATES'!$C$12)</f>
        <v>0</v>
      </c>
      <c r="P94" s="42" t="n">
        <f aca="false">$L94+$N94+$O94</f>
        <v>0</v>
      </c>
      <c r="Q94" s="43" t="str">
        <f aca="false">IF(OR($B94="",$C94=""),"",IFERROR(SUMIFS('KNOWIFY REVIEW'!$AF$4:$AF$400,'KNOWIFY REVIEW'!$AB$4:$AB$400,$B94,'KNOWIFY REVIEW'!$AC$4:$AC$400,$C94,'KNOWIFY REVIEW'!$AD$4:$AD$400,1)/SUMIFS('KNOWIFY REVIEW'!$AE$4:$AE$400,'KNOWIFY REVIEW'!$AB$4:$AB$400,$B94,'KNOWIFY REVIEW'!$AC$4:$AC$400,$C94,'KNOWIFY REVIEW'!$AD$4:$AD$400,1),""))</f>
        <v/>
      </c>
      <c r="R94" s="43" t="str">
        <f aca="false">IF(OR($B94="",$C94=""),"",IFERROR(SUMIFS('KNOWIFY REVIEW'!$AH$4:$AH$400,'KNOWIFY REVIEW'!$AB$4:$AB$400,$B94,'KNOWIFY REVIEW'!$AC$4:$AC$400,IF(OR($C94=INPUTS!$B$69,$C94=INPUTS!$B$70),INPUTS!$B$71,$C94),'KNOWIFY REVIEW'!$AD$4:$AD$400,1)/SUMIFS('KNOWIFY REVIEW'!$AG$4:$AG$400,'KNOWIFY REVIEW'!$AB$4:$AB$400,$B94,'KNOWIFY REVIEW'!$AC$4:$AC$400,IF(OR($C94=INPUTS!$B$69,$C94=INPUTS!$B$70),INPUTS!$B$71,$C94),'KNOWIFY REVIEW'!$AD$4:$AD$400,1),""))</f>
        <v/>
      </c>
      <c r="S94" s="24" t="str">
        <f aca="false">IF(MAX(N($Q94),N($R94))&gt;1.1,"Past job ran over budget","")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38"/>
      <c r="F95" s="10"/>
      <c r="G95" s="39"/>
      <c r="H95" s="40"/>
      <c r="I95" s="39"/>
      <c r="J95" s="38"/>
      <c r="K95" s="10" t="s">
        <v>237</v>
      </c>
      <c r="L95" s="28" t="n">
        <f aca="false">($E95*$G95+$I95)*(1+IF($K95="N",0,INPUTS!$C$23))</f>
        <v>0</v>
      </c>
      <c r="M95" s="41" t="n">
        <f aca="false">$E95*$H95+$J95</f>
        <v>0</v>
      </c>
      <c r="N95" s="28" t="n">
        <f aca="false">$M95*IF(OR($B95="V",$B95="AC"),'LABOUR RATES'!$E$26,'LABOUR RATES'!$E$11)</f>
        <v>0</v>
      </c>
      <c r="O95" s="28" t="n">
        <f aca="false">$M95*IF(OR($B95="V",$B95="AC"),'LABOUR RATES'!$C$27,'LABOUR RATES'!$C$12)</f>
        <v>0</v>
      </c>
      <c r="P95" s="42" t="n">
        <f aca="false">$L95+$N95+$O95</f>
        <v>0</v>
      </c>
      <c r="Q95" s="43" t="str">
        <f aca="false">IF(OR($B95="",$C95=""),"",IFERROR(SUMIFS('KNOWIFY REVIEW'!$AF$4:$AF$400,'KNOWIFY REVIEW'!$AB$4:$AB$400,$B95,'KNOWIFY REVIEW'!$AC$4:$AC$400,$C95,'KNOWIFY REVIEW'!$AD$4:$AD$400,1)/SUMIFS('KNOWIFY REVIEW'!$AE$4:$AE$400,'KNOWIFY REVIEW'!$AB$4:$AB$400,$B95,'KNOWIFY REVIEW'!$AC$4:$AC$400,$C95,'KNOWIFY REVIEW'!$AD$4:$AD$400,1),""))</f>
        <v/>
      </c>
      <c r="R95" s="43" t="str">
        <f aca="false">IF(OR($B95="",$C95=""),"",IFERROR(SUMIFS('KNOWIFY REVIEW'!$AH$4:$AH$400,'KNOWIFY REVIEW'!$AB$4:$AB$400,$B95,'KNOWIFY REVIEW'!$AC$4:$AC$400,IF(OR($C95=INPUTS!$B$69,$C95=INPUTS!$B$70),INPUTS!$B$71,$C95),'KNOWIFY REVIEW'!$AD$4:$AD$400,1)/SUMIFS('KNOWIFY REVIEW'!$AG$4:$AG$400,'KNOWIFY REVIEW'!$AB$4:$AB$400,$B95,'KNOWIFY REVIEW'!$AC$4:$AC$400,IF(OR($C95=INPUTS!$B$69,$C95=INPUTS!$B$70),INPUTS!$B$71,$C95),'KNOWIFY REVIEW'!$AD$4:$AD$400,1),""))</f>
        <v/>
      </c>
      <c r="S95" s="24" t="str">
        <f aca="false">IF(MAX(N($Q95),N($R95))&gt;1.1,"Past job ran over budget","")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38"/>
      <c r="F96" s="10"/>
      <c r="G96" s="39"/>
      <c r="H96" s="40"/>
      <c r="I96" s="39"/>
      <c r="J96" s="38"/>
      <c r="K96" s="10" t="s">
        <v>237</v>
      </c>
      <c r="L96" s="28" t="n">
        <f aca="false">($E96*$G96+$I96)*(1+IF($K96="N",0,INPUTS!$C$23))</f>
        <v>0</v>
      </c>
      <c r="M96" s="41" t="n">
        <f aca="false">$E96*$H96+$J96</f>
        <v>0</v>
      </c>
      <c r="N96" s="28" t="n">
        <f aca="false">$M96*IF(OR($B96="V",$B96="AC"),'LABOUR RATES'!$E$26,'LABOUR RATES'!$E$11)</f>
        <v>0</v>
      </c>
      <c r="O96" s="28" t="n">
        <f aca="false">$M96*IF(OR($B96="V",$B96="AC"),'LABOUR RATES'!$C$27,'LABOUR RATES'!$C$12)</f>
        <v>0</v>
      </c>
      <c r="P96" s="42" t="n">
        <f aca="false">$L96+$N96+$O96</f>
        <v>0</v>
      </c>
      <c r="Q96" s="43" t="str">
        <f aca="false">IF(OR($B96="",$C96=""),"",IFERROR(SUMIFS('KNOWIFY REVIEW'!$AF$4:$AF$400,'KNOWIFY REVIEW'!$AB$4:$AB$400,$B96,'KNOWIFY REVIEW'!$AC$4:$AC$400,$C96,'KNOWIFY REVIEW'!$AD$4:$AD$400,1)/SUMIFS('KNOWIFY REVIEW'!$AE$4:$AE$400,'KNOWIFY REVIEW'!$AB$4:$AB$400,$B96,'KNOWIFY REVIEW'!$AC$4:$AC$400,$C96,'KNOWIFY REVIEW'!$AD$4:$AD$400,1),""))</f>
        <v/>
      </c>
      <c r="R96" s="43" t="str">
        <f aca="false">IF(OR($B96="",$C96=""),"",IFERROR(SUMIFS('KNOWIFY REVIEW'!$AH$4:$AH$400,'KNOWIFY REVIEW'!$AB$4:$AB$400,$B96,'KNOWIFY REVIEW'!$AC$4:$AC$400,IF(OR($C96=INPUTS!$B$69,$C96=INPUTS!$B$70),INPUTS!$B$71,$C96),'KNOWIFY REVIEW'!$AD$4:$AD$400,1)/SUMIFS('KNOWIFY REVIEW'!$AG$4:$AG$400,'KNOWIFY REVIEW'!$AB$4:$AB$400,$B96,'KNOWIFY REVIEW'!$AC$4:$AC$400,IF(OR($C96=INPUTS!$B$69,$C96=INPUTS!$B$70),INPUTS!$B$71,$C96),'KNOWIFY REVIEW'!$AD$4:$AD$400,1),""))</f>
        <v/>
      </c>
      <c r="S96" s="24" t="str">
        <f aca="false">IF(MAX(N($Q96),N($R96))&gt;1.1,"Past job ran over budget","")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38"/>
      <c r="F97" s="10"/>
      <c r="G97" s="39"/>
      <c r="H97" s="40"/>
      <c r="I97" s="39"/>
      <c r="J97" s="38"/>
      <c r="K97" s="10" t="s">
        <v>237</v>
      </c>
      <c r="L97" s="28" t="n">
        <f aca="false">($E97*$G97+$I97)*(1+IF($K97="N",0,INPUTS!$C$23))</f>
        <v>0</v>
      </c>
      <c r="M97" s="41" t="n">
        <f aca="false">$E97*$H97+$J97</f>
        <v>0</v>
      </c>
      <c r="N97" s="28" t="n">
        <f aca="false">$M97*IF(OR($B97="V",$B97="AC"),'LABOUR RATES'!$E$26,'LABOUR RATES'!$E$11)</f>
        <v>0</v>
      </c>
      <c r="O97" s="28" t="n">
        <f aca="false">$M97*IF(OR($B97="V",$B97="AC"),'LABOUR RATES'!$C$27,'LABOUR RATES'!$C$12)</f>
        <v>0</v>
      </c>
      <c r="P97" s="42" t="n">
        <f aca="false">$L97+$N97+$O97</f>
        <v>0</v>
      </c>
      <c r="Q97" s="43" t="str">
        <f aca="false">IF(OR($B97="",$C97=""),"",IFERROR(SUMIFS('KNOWIFY REVIEW'!$AF$4:$AF$400,'KNOWIFY REVIEW'!$AB$4:$AB$400,$B97,'KNOWIFY REVIEW'!$AC$4:$AC$400,$C97,'KNOWIFY REVIEW'!$AD$4:$AD$400,1)/SUMIFS('KNOWIFY REVIEW'!$AE$4:$AE$400,'KNOWIFY REVIEW'!$AB$4:$AB$400,$B97,'KNOWIFY REVIEW'!$AC$4:$AC$400,$C97,'KNOWIFY REVIEW'!$AD$4:$AD$400,1),""))</f>
        <v/>
      </c>
      <c r="R97" s="43" t="str">
        <f aca="false">IF(OR($B97="",$C97=""),"",IFERROR(SUMIFS('KNOWIFY REVIEW'!$AH$4:$AH$400,'KNOWIFY REVIEW'!$AB$4:$AB$400,$B97,'KNOWIFY REVIEW'!$AC$4:$AC$400,IF(OR($C97=INPUTS!$B$69,$C97=INPUTS!$B$70),INPUTS!$B$71,$C97),'KNOWIFY REVIEW'!$AD$4:$AD$400,1)/SUMIFS('KNOWIFY REVIEW'!$AG$4:$AG$400,'KNOWIFY REVIEW'!$AB$4:$AB$400,$B97,'KNOWIFY REVIEW'!$AC$4:$AC$400,IF(OR($C97=INPUTS!$B$69,$C97=INPUTS!$B$70),INPUTS!$B$71,$C97),'KNOWIFY REVIEW'!$AD$4:$AD$400,1),""))</f>
        <v/>
      </c>
      <c r="S97" s="24" t="str">
        <f aca="false">IF(MAX(N($Q97),N($R97))&gt;1.1,"Past job ran over budget","")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38"/>
      <c r="F98" s="10"/>
      <c r="G98" s="39"/>
      <c r="H98" s="40"/>
      <c r="I98" s="39"/>
      <c r="J98" s="38"/>
      <c r="K98" s="10" t="s">
        <v>237</v>
      </c>
      <c r="L98" s="28" t="n">
        <f aca="false">($E98*$G98+$I98)*(1+IF($K98="N",0,INPUTS!$C$23))</f>
        <v>0</v>
      </c>
      <c r="M98" s="41" t="n">
        <f aca="false">$E98*$H98+$J98</f>
        <v>0</v>
      </c>
      <c r="N98" s="28" t="n">
        <f aca="false">$M98*IF(OR($B98="V",$B98="AC"),'LABOUR RATES'!$E$26,'LABOUR RATES'!$E$11)</f>
        <v>0</v>
      </c>
      <c r="O98" s="28" t="n">
        <f aca="false">$M98*IF(OR($B98="V",$B98="AC"),'LABOUR RATES'!$C$27,'LABOUR RATES'!$C$12)</f>
        <v>0</v>
      </c>
      <c r="P98" s="42" t="n">
        <f aca="false">$L98+$N98+$O98</f>
        <v>0</v>
      </c>
      <c r="Q98" s="43" t="str">
        <f aca="false">IF(OR($B98="",$C98=""),"",IFERROR(SUMIFS('KNOWIFY REVIEW'!$AF$4:$AF$400,'KNOWIFY REVIEW'!$AB$4:$AB$400,$B98,'KNOWIFY REVIEW'!$AC$4:$AC$400,$C98,'KNOWIFY REVIEW'!$AD$4:$AD$400,1)/SUMIFS('KNOWIFY REVIEW'!$AE$4:$AE$400,'KNOWIFY REVIEW'!$AB$4:$AB$400,$B98,'KNOWIFY REVIEW'!$AC$4:$AC$400,$C98,'KNOWIFY REVIEW'!$AD$4:$AD$400,1),""))</f>
        <v/>
      </c>
      <c r="R98" s="43" t="str">
        <f aca="false">IF(OR($B98="",$C98=""),"",IFERROR(SUMIFS('KNOWIFY REVIEW'!$AH$4:$AH$400,'KNOWIFY REVIEW'!$AB$4:$AB$400,$B98,'KNOWIFY REVIEW'!$AC$4:$AC$400,IF(OR($C98=INPUTS!$B$69,$C98=INPUTS!$B$70),INPUTS!$B$71,$C98),'KNOWIFY REVIEW'!$AD$4:$AD$400,1)/SUMIFS('KNOWIFY REVIEW'!$AG$4:$AG$400,'KNOWIFY REVIEW'!$AB$4:$AB$400,$B98,'KNOWIFY REVIEW'!$AC$4:$AC$400,IF(OR($C98=INPUTS!$B$69,$C98=INPUTS!$B$70),INPUTS!$B$71,$C98),'KNOWIFY REVIEW'!$AD$4:$AD$400,1),""))</f>
        <v/>
      </c>
      <c r="S98" s="24" t="str">
        <f aca="false">IF(MAX(N($Q98),N($R98))&gt;1.1,"Past job ran over budget","")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38"/>
      <c r="F99" s="10"/>
      <c r="G99" s="39"/>
      <c r="H99" s="40"/>
      <c r="I99" s="39"/>
      <c r="J99" s="38"/>
      <c r="K99" s="10" t="s">
        <v>237</v>
      </c>
      <c r="L99" s="28" t="n">
        <f aca="false">($E99*$G99+$I99)*(1+IF($K99="N",0,INPUTS!$C$23))</f>
        <v>0</v>
      </c>
      <c r="M99" s="41" t="n">
        <f aca="false">$E99*$H99+$J99</f>
        <v>0</v>
      </c>
      <c r="N99" s="28" t="n">
        <f aca="false">$M99*IF(OR($B99="V",$B99="AC"),'LABOUR RATES'!$E$26,'LABOUR RATES'!$E$11)</f>
        <v>0</v>
      </c>
      <c r="O99" s="28" t="n">
        <f aca="false">$M99*IF(OR($B99="V",$B99="AC"),'LABOUR RATES'!$C$27,'LABOUR RATES'!$C$12)</f>
        <v>0</v>
      </c>
      <c r="P99" s="42" t="n">
        <f aca="false">$L99+$N99+$O99</f>
        <v>0</v>
      </c>
      <c r="Q99" s="43" t="str">
        <f aca="false">IF(OR($B99="",$C99=""),"",IFERROR(SUMIFS('KNOWIFY REVIEW'!$AF$4:$AF$400,'KNOWIFY REVIEW'!$AB$4:$AB$400,$B99,'KNOWIFY REVIEW'!$AC$4:$AC$400,$C99,'KNOWIFY REVIEW'!$AD$4:$AD$400,1)/SUMIFS('KNOWIFY REVIEW'!$AE$4:$AE$400,'KNOWIFY REVIEW'!$AB$4:$AB$400,$B99,'KNOWIFY REVIEW'!$AC$4:$AC$400,$C99,'KNOWIFY REVIEW'!$AD$4:$AD$400,1),""))</f>
        <v/>
      </c>
      <c r="R99" s="43" t="str">
        <f aca="false">IF(OR($B99="",$C99=""),"",IFERROR(SUMIFS('KNOWIFY REVIEW'!$AH$4:$AH$400,'KNOWIFY REVIEW'!$AB$4:$AB$400,$B99,'KNOWIFY REVIEW'!$AC$4:$AC$400,IF(OR($C99=INPUTS!$B$69,$C99=INPUTS!$B$70),INPUTS!$B$71,$C99),'KNOWIFY REVIEW'!$AD$4:$AD$400,1)/SUMIFS('KNOWIFY REVIEW'!$AG$4:$AG$400,'KNOWIFY REVIEW'!$AB$4:$AB$400,$B99,'KNOWIFY REVIEW'!$AC$4:$AC$400,IF(OR($C99=INPUTS!$B$69,$C99=INPUTS!$B$70),INPUTS!$B$71,$C99),'KNOWIFY REVIEW'!$AD$4:$AD$400,1),""))</f>
        <v/>
      </c>
      <c r="S99" s="24" t="str">
        <f aca="false">IF(MAX(N($Q99),N($R99))&gt;1.1,"Past job ran over budget","")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38"/>
      <c r="F100" s="10"/>
      <c r="G100" s="39"/>
      <c r="H100" s="40"/>
      <c r="I100" s="39"/>
      <c r="J100" s="38"/>
      <c r="K100" s="10" t="s">
        <v>237</v>
      </c>
      <c r="L100" s="28" t="n">
        <f aca="false">($E100*$G100+$I100)*(1+IF($K100="N",0,INPUTS!$C$23))</f>
        <v>0</v>
      </c>
      <c r="M100" s="41" t="n">
        <f aca="false">$E100*$H100+$J100</f>
        <v>0</v>
      </c>
      <c r="N100" s="28" t="n">
        <f aca="false">$M100*IF(OR($B100="V",$B100="AC"),'LABOUR RATES'!$E$26,'LABOUR RATES'!$E$11)</f>
        <v>0</v>
      </c>
      <c r="O100" s="28" t="n">
        <f aca="false">$M100*IF(OR($B100="V",$B100="AC"),'LABOUR RATES'!$C$27,'LABOUR RATES'!$C$12)</f>
        <v>0</v>
      </c>
      <c r="P100" s="42" t="n">
        <f aca="false">$L100+$N100+$O100</f>
        <v>0</v>
      </c>
      <c r="Q100" s="43" t="str">
        <f aca="false">IF(OR($B100="",$C100=""),"",IFERROR(SUMIFS('KNOWIFY REVIEW'!$AF$4:$AF$400,'KNOWIFY REVIEW'!$AB$4:$AB$400,$B100,'KNOWIFY REVIEW'!$AC$4:$AC$400,$C100,'KNOWIFY REVIEW'!$AD$4:$AD$400,1)/SUMIFS('KNOWIFY REVIEW'!$AE$4:$AE$400,'KNOWIFY REVIEW'!$AB$4:$AB$400,$B100,'KNOWIFY REVIEW'!$AC$4:$AC$400,$C100,'KNOWIFY REVIEW'!$AD$4:$AD$400,1),""))</f>
        <v/>
      </c>
      <c r="R100" s="43" t="str">
        <f aca="false">IF(OR($B100="",$C100=""),"",IFERROR(SUMIFS('KNOWIFY REVIEW'!$AH$4:$AH$400,'KNOWIFY REVIEW'!$AB$4:$AB$400,$B100,'KNOWIFY REVIEW'!$AC$4:$AC$400,IF(OR($C100=INPUTS!$B$69,$C100=INPUTS!$B$70),INPUTS!$B$71,$C100),'KNOWIFY REVIEW'!$AD$4:$AD$400,1)/SUMIFS('KNOWIFY REVIEW'!$AG$4:$AG$400,'KNOWIFY REVIEW'!$AB$4:$AB$400,$B100,'KNOWIFY REVIEW'!$AC$4:$AC$400,IF(OR($C100=INPUTS!$B$69,$C100=INPUTS!$B$70),INPUTS!$B$71,$C100),'KNOWIFY REVIEW'!$AD$4:$AD$400,1),""))</f>
        <v/>
      </c>
      <c r="S100" s="24" t="str">
        <f aca="false">IF(MAX(N($Q100),N($R100))&gt;1.1,"Past job ran over budget","")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38"/>
      <c r="F101" s="10"/>
      <c r="G101" s="39"/>
      <c r="H101" s="40"/>
      <c r="I101" s="39"/>
      <c r="J101" s="38"/>
      <c r="K101" s="10" t="s">
        <v>237</v>
      </c>
      <c r="L101" s="28" t="n">
        <f aca="false">($E101*$G101+$I101)*(1+IF($K101="N",0,INPUTS!$C$23))</f>
        <v>0</v>
      </c>
      <c r="M101" s="41" t="n">
        <f aca="false">$E101*$H101+$J101</f>
        <v>0</v>
      </c>
      <c r="N101" s="28" t="n">
        <f aca="false">$M101*IF(OR($B101="V",$B101="AC"),'LABOUR RATES'!$E$26,'LABOUR RATES'!$E$11)</f>
        <v>0</v>
      </c>
      <c r="O101" s="28" t="n">
        <f aca="false">$M101*IF(OR($B101="V",$B101="AC"),'LABOUR RATES'!$C$27,'LABOUR RATES'!$C$12)</f>
        <v>0</v>
      </c>
      <c r="P101" s="42" t="n">
        <f aca="false">$L101+$N101+$O101</f>
        <v>0</v>
      </c>
      <c r="Q101" s="43" t="str">
        <f aca="false">IF(OR($B101="",$C101=""),"",IFERROR(SUMIFS('KNOWIFY REVIEW'!$AF$4:$AF$400,'KNOWIFY REVIEW'!$AB$4:$AB$400,$B101,'KNOWIFY REVIEW'!$AC$4:$AC$400,$C101,'KNOWIFY REVIEW'!$AD$4:$AD$400,1)/SUMIFS('KNOWIFY REVIEW'!$AE$4:$AE$400,'KNOWIFY REVIEW'!$AB$4:$AB$400,$B101,'KNOWIFY REVIEW'!$AC$4:$AC$400,$C101,'KNOWIFY REVIEW'!$AD$4:$AD$400,1),""))</f>
        <v/>
      </c>
      <c r="R101" s="43" t="str">
        <f aca="false">IF(OR($B101="",$C101=""),"",IFERROR(SUMIFS('KNOWIFY REVIEW'!$AH$4:$AH$400,'KNOWIFY REVIEW'!$AB$4:$AB$400,$B101,'KNOWIFY REVIEW'!$AC$4:$AC$400,IF(OR($C101=INPUTS!$B$69,$C101=INPUTS!$B$70),INPUTS!$B$71,$C101),'KNOWIFY REVIEW'!$AD$4:$AD$400,1)/SUMIFS('KNOWIFY REVIEW'!$AG$4:$AG$400,'KNOWIFY REVIEW'!$AB$4:$AB$400,$B101,'KNOWIFY REVIEW'!$AC$4:$AC$400,IF(OR($C101=INPUTS!$B$69,$C101=INPUTS!$B$70),INPUTS!$B$71,$C101),'KNOWIFY REVIEW'!$AD$4:$AD$400,1),""))</f>
        <v/>
      </c>
      <c r="S101" s="24" t="str">
        <f aca="false">IF(MAX(N($Q101),N($R101))&gt;1.1,"Past job ran over budget","")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38"/>
      <c r="F102" s="10"/>
      <c r="G102" s="39"/>
      <c r="H102" s="40"/>
      <c r="I102" s="39"/>
      <c r="J102" s="38"/>
      <c r="K102" s="10" t="s">
        <v>237</v>
      </c>
      <c r="L102" s="28" t="n">
        <f aca="false">($E102*$G102+$I102)*(1+IF($K102="N",0,INPUTS!$C$23))</f>
        <v>0</v>
      </c>
      <c r="M102" s="41" t="n">
        <f aca="false">$E102*$H102+$J102</f>
        <v>0</v>
      </c>
      <c r="N102" s="28" t="n">
        <f aca="false">$M102*IF(OR($B102="V",$B102="AC"),'LABOUR RATES'!$E$26,'LABOUR RATES'!$E$11)</f>
        <v>0</v>
      </c>
      <c r="O102" s="28" t="n">
        <f aca="false">$M102*IF(OR($B102="V",$B102="AC"),'LABOUR RATES'!$C$27,'LABOUR RATES'!$C$12)</f>
        <v>0</v>
      </c>
      <c r="P102" s="42" t="n">
        <f aca="false">$L102+$N102+$O102</f>
        <v>0</v>
      </c>
      <c r="Q102" s="43" t="str">
        <f aca="false">IF(OR($B102="",$C102=""),"",IFERROR(SUMIFS('KNOWIFY REVIEW'!$AF$4:$AF$400,'KNOWIFY REVIEW'!$AB$4:$AB$400,$B102,'KNOWIFY REVIEW'!$AC$4:$AC$400,$C102,'KNOWIFY REVIEW'!$AD$4:$AD$400,1)/SUMIFS('KNOWIFY REVIEW'!$AE$4:$AE$400,'KNOWIFY REVIEW'!$AB$4:$AB$400,$B102,'KNOWIFY REVIEW'!$AC$4:$AC$400,$C102,'KNOWIFY REVIEW'!$AD$4:$AD$400,1),""))</f>
        <v/>
      </c>
      <c r="R102" s="43" t="str">
        <f aca="false">IF(OR($B102="",$C102=""),"",IFERROR(SUMIFS('KNOWIFY REVIEW'!$AH$4:$AH$400,'KNOWIFY REVIEW'!$AB$4:$AB$400,$B102,'KNOWIFY REVIEW'!$AC$4:$AC$400,IF(OR($C102=INPUTS!$B$69,$C102=INPUTS!$B$70),INPUTS!$B$71,$C102),'KNOWIFY REVIEW'!$AD$4:$AD$400,1)/SUMIFS('KNOWIFY REVIEW'!$AG$4:$AG$400,'KNOWIFY REVIEW'!$AB$4:$AB$400,$B102,'KNOWIFY REVIEW'!$AC$4:$AC$400,IF(OR($C102=INPUTS!$B$69,$C102=INPUTS!$B$70),INPUTS!$B$71,$C102),'KNOWIFY REVIEW'!$AD$4:$AD$400,1),""))</f>
        <v/>
      </c>
      <c r="S102" s="24" t="str">
        <f aca="false">IF(MAX(N($Q102),N($R102))&gt;1.1,"Past job ran over budget","")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38"/>
      <c r="F103" s="10"/>
      <c r="G103" s="39"/>
      <c r="H103" s="40"/>
      <c r="I103" s="39"/>
      <c r="J103" s="38"/>
      <c r="K103" s="10" t="s">
        <v>237</v>
      </c>
      <c r="L103" s="28" t="n">
        <f aca="false">($E103*$G103+$I103)*(1+IF($K103="N",0,INPUTS!$C$23))</f>
        <v>0</v>
      </c>
      <c r="M103" s="41" t="n">
        <f aca="false">$E103*$H103+$J103</f>
        <v>0</v>
      </c>
      <c r="N103" s="28" t="n">
        <f aca="false">$M103*IF(OR($B103="V",$B103="AC"),'LABOUR RATES'!$E$26,'LABOUR RATES'!$E$11)</f>
        <v>0</v>
      </c>
      <c r="O103" s="28" t="n">
        <f aca="false">$M103*IF(OR($B103="V",$B103="AC"),'LABOUR RATES'!$C$27,'LABOUR RATES'!$C$12)</f>
        <v>0</v>
      </c>
      <c r="P103" s="42" t="n">
        <f aca="false">$L103+$N103+$O103</f>
        <v>0</v>
      </c>
      <c r="Q103" s="43" t="str">
        <f aca="false">IF(OR($B103="",$C103=""),"",IFERROR(SUMIFS('KNOWIFY REVIEW'!$AF$4:$AF$400,'KNOWIFY REVIEW'!$AB$4:$AB$400,$B103,'KNOWIFY REVIEW'!$AC$4:$AC$400,$C103,'KNOWIFY REVIEW'!$AD$4:$AD$400,1)/SUMIFS('KNOWIFY REVIEW'!$AE$4:$AE$400,'KNOWIFY REVIEW'!$AB$4:$AB$400,$B103,'KNOWIFY REVIEW'!$AC$4:$AC$400,$C103,'KNOWIFY REVIEW'!$AD$4:$AD$400,1),""))</f>
        <v/>
      </c>
      <c r="R103" s="43" t="str">
        <f aca="false">IF(OR($B103="",$C103=""),"",IFERROR(SUMIFS('KNOWIFY REVIEW'!$AH$4:$AH$400,'KNOWIFY REVIEW'!$AB$4:$AB$400,$B103,'KNOWIFY REVIEW'!$AC$4:$AC$400,IF(OR($C103=INPUTS!$B$69,$C103=INPUTS!$B$70),INPUTS!$B$71,$C103),'KNOWIFY REVIEW'!$AD$4:$AD$400,1)/SUMIFS('KNOWIFY REVIEW'!$AG$4:$AG$400,'KNOWIFY REVIEW'!$AB$4:$AB$400,$B103,'KNOWIFY REVIEW'!$AC$4:$AC$400,IF(OR($C103=INPUTS!$B$69,$C103=INPUTS!$B$70),INPUTS!$B$71,$C103),'KNOWIFY REVIEW'!$AD$4:$AD$400,1),""))</f>
        <v/>
      </c>
      <c r="S103" s="24" t="str">
        <f aca="false">IF(MAX(N($Q103),N($R103))&gt;1.1,"Past job ran over budget","")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38"/>
      <c r="F104" s="10"/>
      <c r="G104" s="39"/>
      <c r="H104" s="40"/>
      <c r="I104" s="39"/>
      <c r="J104" s="38"/>
      <c r="K104" s="10" t="s">
        <v>237</v>
      </c>
      <c r="L104" s="28" t="n">
        <f aca="false">($E104*$G104+$I104)*(1+IF($K104="N",0,INPUTS!$C$23))</f>
        <v>0</v>
      </c>
      <c r="M104" s="41" t="n">
        <f aca="false">$E104*$H104+$J104</f>
        <v>0</v>
      </c>
      <c r="N104" s="28" t="n">
        <f aca="false">$M104*IF(OR($B104="V",$B104="AC"),'LABOUR RATES'!$E$26,'LABOUR RATES'!$E$11)</f>
        <v>0</v>
      </c>
      <c r="O104" s="28" t="n">
        <f aca="false">$M104*IF(OR($B104="V",$B104="AC"),'LABOUR RATES'!$C$27,'LABOUR RATES'!$C$12)</f>
        <v>0</v>
      </c>
      <c r="P104" s="42" t="n">
        <f aca="false">$L104+$N104+$O104</f>
        <v>0</v>
      </c>
      <c r="Q104" s="43" t="str">
        <f aca="false">IF(OR($B104="",$C104=""),"",IFERROR(SUMIFS('KNOWIFY REVIEW'!$AF$4:$AF$400,'KNOWIFY REVIEW'!$AB$4:$AB$400,$B104,'KNOWIFY REVIEW'!$AC$4:$AC$400,$C104,'KNOWIFY REVIEW'!$AD$4:$AD$400,1)/SUMIFS('KNOWIFY REVIEW'!$AE$4:$AE$400,'KNOWIFY REVIEW'!$AB$4:$AB$400,$B104,'KNOWIFY REVIEW'!$AC$4:$AC$400,$C104,'KNOWIFY REVIEW'!$AD$4:$AD$400,1),""))</f>
        <v/>
      </c>
      <c r="R104" s="43" t="str">
        <f aca="false">IF(OR($B104="",$C104=""),"",IFERROR(SUMIFS('KNOWIFY REVIEW'!$AH$4:$AH$400,'KNOWIFY REVIEW'!$AB$4:$AB$400,$B104,'KNOWIFY REVIEW'!$AC$4:$AC$400,IF(OR($C104=INPUTS!$B$69,$C104=INPUTS!$B$70),INPUTS!$B$71,$C104),'KNOWIFY REVIEW'!$AD$4:$AD$400,1)/SUMIFS('KNOWIFY REVIEW'!$AG$4:$AG$400,'KNOWIFY REVIEW'!$AB$4:$AB$400,$B104,'KNOWIFY REVIEW'!$AC$4:$AC$400,IF(OR($C104=INPUTS!$B$69,$C104=INPUTS!$B$70),INPUTS!$B$71,$C104),'KNOWIFY REVIEW'!$AD$4:$AD$400,1),""))</f>
        <v/>
      </c>
      <c r="S104" s="24" t="str">
        <f aca="false">IF(MAX(N($Q104),N($R104))&gt;1.1,"Past job ran over budget","")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38"/>
      <c r="F105" s="10"/>
      <c r="G105" s="39"/>
      <c r="H105" s="40"/>
      <c r="I105" s="39"/>
      <c r="J105" s="38"/>
      <c r="K105" s="10" t="s">
        <v>237</v>
      </c>
      <c r="L105" s="28" t="n">
        <f aca="false">($E105*$G105+$I105)*(1+IF($K105="N",0,INPUTS!$C$23))</f>
        <v>0</v>
      </c>
      <c r="M105" s="41" t="n">
        <f aca="false">$E105*$H105+$J105</f>
        <v>0</v>
      </c>
      <c r="N105" s="28" t="n">
        <f aca="false">$M105*IF(OR($B105="V",$B105="AC"),'LABOUR RATES'!$E$26,'LABOUR RATES'!$E$11)</f>
        <v>0</v>
      </c>
      <c r="O105" s="28" t="n">
        <f aca="false">$M105*IF(OR($B105="V",$B105="AC"),'LABOUR RATES'!$C$27,'LABOUR RATES'!$C$12)</f>
        <v>0</v>
      </c>
      <c r="P105" s="42" t="n">
        <f aca="false">$L105+$N105+$O105</f>
        <v>0</v>
      </c>
      <c r="Q105" s="43" t="str">
        <f aca="false">IF(OR($B105="",$C105=""),"",IFERROR(SUMIFS('KNOWIFY REVIEW'!$AF$4:$AF$400,'KNOWIFY REVIEW'!$AB$4:$AB$400,$B105,'KNOWIFY REVIEW'!$AC$4:$AC$400,$C105,'KNOWIFY REVIEW'!$AD$4:$AD$400,1)/SUMIFS('KNOWIFY REVIEW'!$AE$4:$AE$400,'KNOWIFY REVIEW'!$AB$4:$AB$400,$B105,'KNOWIFY REVIEW'!$AC$4:$AC$400,$C105,'KNOWIFY REVIEW'!$AD$4:$AD$400,1),""))</f>
        <v/>
      </c>
      <c r="R105" s="43" t="str">
        <f aca="false">IF(OR($B105="",$C105=""),"",IFERROR(SUMIFS('KNOWIFY REVIEW'!$AH$4:$AH$400,'KNOWIFY REVIEW'!$AB$4:$AB$400,$B105,'KNOWIFY REVIEW'!$AC$4:$AC$400,IF(OR($C105=INPUTS!$B$69,$C105=INPUTS!$B$70),INPUTS!$B$71,$C105),'KNOWIFY REVIEW'!$AD$4:$AD$400,1)/SUMIFS('KNOWIFY REVIEW'!$AG$4:$AG$400,'KNOWIFY REVIEW'!$AB$4:$AB$400,$B105,'KNOWIFY REVIEW'!$AC$4:$AC$400,IF(OR($C105=INPUTS!$B$69,$C105=INPUTS!$B$70),INPUTS!$B$71,$C105),'KNOWIFY REVIEW'!$AD$4:$AD$400,1),""))</f>
        <v/>
      </c>
      <c r="S105" s="24" t="str">
        <f aca="false">IF(MAX(N($Q105),N($R105))&gt;1.1,"Past job ran over budget","")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38"/>
      <c r="F106" s="10"/>
      <c r="G106" s="39"/>
      <c r="H106" s="40"/>
      <c r="I106" s="39"/>
      <c r="J106" s="38"/>
      <c r="K106" s="10" t="s">
        <v>237</v>
      </c>
      <c r="L106" s="28" t="n">
        <f aca="false">($E106*$G106+$I106)*(1+IF($K106="N",0,INPUTS!$C$23))</f>
        <v>0</v>
      </c>
      <c r="M106" s="41" t="n">
        <f aca="false">$E106*$H106+$J106</f>
        <v>0</v>
      </c>
      <c r="N106" s="28" t="n">
        <f aca="false">$M106*IF(OR($B106="V",$B106="AC"),'LABOUR RATES'!$E$26,'LABOUR RATES'!$E$11)</f>
        <v>0</v>
      </c>
      <c r="O106" s="28" t="n">
        <f aca="false">$M106*IF(OR($B106="V",$B106="AC"),'LABOUR RATES'!$C$27,'LABOUR RATES'!$C$12)</f>
        <v>0</v>
      </c>
      <c r="P106" s="42" t="n">
        <f aca="false">$L106+$N106+$O106</f>
        <v>0</v>
      </c>
      <c r="Q106" s="43" t="str">
        <f aca="false">IF(OR($B106="",$C106=""),"",IFERROR(SUMIFS('KNOWIFY REVIEW'!$AF$4:$AF$400,'KNOWIFY REVIEW'!$AB$4:$AB$400,$B106,'KNOWIFY REVIEW'!$AC$4:$AC$400,$C106,'KNOWIFY REVIEW'!$AD$4:$AD$400,1)/SUMIFS('KNOWIFY REVIEW'!$AE$4:$AE$400,'KNOWIFY REVIEW'!$AB$4:$AB$400,$B106,'KNOWIFY REVIEW'!$AC$4:$AC$400,$C106,'KNOWIFY REVIEW'!$AD$4:$AD$400,1),""))</f>
        <v/>
      </c>
      <c r="R106" s="43" t="str">
        <f aca="false">IF(OR($B106="",$C106=""),"",IFERROR(SUMIFS('KNOWIFY REVIEW'!$AH$4:$AH$400,'KNOWIFY REVIEW'!$AB$4:$AB$400,$B106,'KNOWIFY REVIEW'!$AC$4:$AC$400,IF(OR($C106=INPUTS!$B$69,$C106=INPUTS!$B$70),INPUTS!$B$71,$C106),'KNOWIFY REVIEW'!$AD$4:$AD$400,1)/SUMIFS('KNOWIFY REVIEW'!$AG$4:$AG$400,'KNOWIFY REVIEW'!$AB$4:$AB$400,$B106,'KNOWIFY REVIEW'!$AC$4:$AC$400,IF(OR($C106=INPUTS!$B$69,$C106=INPUTS!$B$70),INPUTS!$B$71,$C106),'KNOWIFY REVIEW'!$AD$4:$AD$400,1),""))</f>
        <v/>
      </c>
      <c r="S106" s="24" t="str">
        <f aca="false">IF(MAX(N($Q106),N($R106))&gt;1.1,"Past job ran over budget","")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38"/>
      <c r="F107" s="10"/>
      <c r="G107" s="39"/>
      <c r="H107" s="40"/>
      <c r="I107" s="39"/>
      <c r="J107" s="38"/>
      <c r="K107" s="10" t="s">
        <v>237</v>
      </c>
      <c r="L107" s="28" t="n">
        <f aca="false">($E107*$G107+$I107)*(1+IF($K107="N",0,INPUTS!$C$23))</f>
        <v>0</v>
      </c>
      <c r="M107" s="41" t="n">
        <f aca="false">$E107*$H107+$J107</f>
        <v>0</v>
      </c>
      <c r="N107" s="28" t="n">
        <f aca="false">$M107*IF(OR($B107="V",$B107="AC"),'LABOUR RATES'!$E$26,'LABOUR RATES'!$E$11)</f>
        <v>0</v>
      </c>
      <c r="O107" s="28" t="n">
        <f aca="false">$M107*IF(OR($B107="V",$B107="AC"),'LABOUR RATES'!$C$27,'LABOUR RATES'!$C$12)</f>
        <v>0</v>
      </c>
      <c r="P107" s="42" t="n">
        <f aca="false">$L107+$N107+$O107</f>
        <v>0</v>
      </c>
      <c r="Q107" s="43" t="str">
        <f aca="false">IF(OR($B107="",$C107=""),"",IFERROR(SUMIFS('KNOWIFY REVIEW'!$AF$4:$AF$400,'KNOWIFY REVIEW'!$AB$4:$AB$400,$B107,'KNOWIFY REVIEW'!$AC$4:$AC$400,$C107,'KNOWIFY REVIEW'!$AD$4:$AD$400,1)/SUMIFS('KNOWIFY REVIEW'!$AE$4:$AE$400,'KNOWIFY REVIEW'!$AB$4:$AB$400,$B107,'KNOWIFY REVIEW'!$AC$4:$AC$400,$C107,'KNOWIFY REVIEW'!$AD$4:$AD$400,1),""))</f>
        <v/>
      </c>
      <c r="R107" s="43" t="str">
        <f aca="false">IF(OR($B107="",$C107=""),"",IFERROR(SUMIFS('KNOWIFY REVIEW'!$AH$4:$AH$400,'KNOWIFY REVIEW'!$AB$4:$AB$400,$B107,'KNOWIFY REVIEW'!$AC$4:$AC$400,IF(OR($C107=INPUTS!$B$69,$C107=INPUTS!$B$70),INPUTS!$B$71,$C107),'KNOWIFY REVIEW'!$AD$4:$AD$400,1)/SUMIFS('KNOWIFY REVIEW'!$AG$4:$AG$400,'KNOWIFY REVIEW'!$AB$4:$AB$400,$B107,'KNOWIFY REVIEW'!$AC$4:$AC$400,IF(OR($C107=INPUTS!$B$69,$C107=INPUTS!$B$70),INPUTS!$B$71,$C107),'KNOWIFY REVIEW'!$AD$4:$AD$400,1),""))</f>
        <v/>
      </c>
      <c r="S107" s="24" t="str">
        <f aca="false">IF(MAX(N($Q107),N($R107))&gt;1.1,"Past job ran over budget","")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38"/>
      <c r="F108" s="10"/>
      <c r="G108" s="39"/>
      <c r="H108" s="40"/>
      <c r="I108" s="39"/>
      <c r="J108" s="38"/>
      <c r="K108" s="10" t="s">
        <v>237</v>
      </c>
      <c r="L108" s="28" t="n">
        <f aca="false">($E108*$G108+$I108)*(1+IF($K108="N",0,INPUTS!$C$23))</f>
        <v>0</v>
      </c>
      <c r="M108" s="41" t="n">
        <f aca="false">$E108*$H108+$J108</f>
        <v>0</v>
      </c>
      <c r="N108" s="28" t="n">
        <f aca="false">$M108*IF(OR($B108="V",$B108="AC"),'LABOUR RATES'!$E$26,'LABOUR RATES'!$E$11)</f>
        <v>0</v>
      </c>
      <c r="O108" s="28" t="n">
        <f aca="false">$M108*IF(OR($B108="V",$B108="AC"),'LABOUR RATES'!$C$27,'LABOUR RATES'!$C$12)</f>
        <v>0</v>
      </c>
      <c r="P108" s="42" t="n">
        <f aca="false">$L108+$N108+$O108</f>
        <v>0</v>
      </c>
      <c r="Q108" s="43" t="str">
        <f aca="false">IF(OR($B108="",$C108=""),"",IFERROR(SUMIFS('KNOWIFY REVIEW'!$AF$4:$AF$400,'KNOWIFY REVIEW'!$AB$4:$AB$400,$B108,'KNOWIFY REVIEW'!$AC$4:$AC$400,$C108,'KNOWIFY REVIEW'!$AD$4:$AD$400,1)/SUMIFS('KNOWIFY REVIEW'!$AE$4:$AE$400,'KNOWIFY REVIEW'!$AB$4:$AB$400,$B108,'KNOWIFY REVIEW'!$AC$4:$AC$400,$C108,'KNOWIFY REVIEW'!$AD$4:$AD$400,1),""))</f>
        <v/>
      </c>
      <c r="R108" s="43" t="str">
        <f aca="false">IF(OR($B108="",$C108=""),"",IFERROR(SUMIFS('KNOWIFY REVIEW'!$AH$4:$AH$400,'KNOWIFY REVIEW'!$AB$4:$AB$400,$B108,'KNOWIFY REVIEW'!$AC$4:$AC$400,IF(OR($C108=INPUTS!$B$69,$C108=INPUTS!$B$70),INPUTS!$B$71,$C108),'KNOWIFY REVIEW'!$AD$4:$AD$400,1)/SUMIFS('KNOWIFY REVIEW'!$AG$4:$AG$400,'KNOWIFY REVIEW'!$AB$4:$AB$400,$B108,'KNOWIFY REVIEW'!$AC$4:$AC$400,IF(OR($C108=INPUTS!$B$69,$C108=INPUTS!$B$70),INPUTS!$B$71,$C108),'KNOWIFY REVIEW'!$AD$4:$AD$400,1),""))</f>
        <v/>
      </c>
      <c r="S108" s="24" t="str">
        <f aca="false">IF(MAX(N($Q108),N($R108))&gt;1.1,"Past job ran over budget","")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38"/>
      <c r="F109" s="10"/>
      <c r="G109" s="39"/>
      <c r="H109" s="40"/>
      <c r="I109" s="39"/>
      <c r="J109" s="38"/>
      <c r="K109" s="10" t="s">
        <v>237</v>
      </c>
      <c r="L109" s="28" t="n">
        <f aca="false">($E109*$G109+$I109)*(1+IF($K109="N",0,INPUTS!$C$23))</f>
        <v>0</v>
      </c>
      <c r="M109" s="41" t="n">
        <f aca="false">$E109*$H109+$J109</f>
        <v>0</v>
      </c>
      <c r="N109" s="28" t="n">
        <f aca="false">$M109*IF(OR($B109="V",$B109="AC"),'LABOUR RATES'!$E$26,'LABOUR RATES'!$E$11)</f>
        <v>0</v>
      </c>
      <c r="O109" s="28" t="n">
        <f aca="false">$M109*IF(OR($B109="V",$B109="AC"),'LABOUR RATES'!$C$27,'LABOUR RATES'!$C$12)</f>
        <v>0</v>
      </c>
      <c r="P109" s="42" t="n">
        <f aca="false">$L109+$N109+$O109</f>
        <v>0</v>
      </c>
      <c r="Q109" s="43" t="str">
        <f aca="false">IF(OR($B109="",$C109=""),"",IFERROR(SUMIFS('KNOWIFY REVIEW'!$AF$4:$AF$400,'KNOWIFY REVIEW'!$AB$4:$AB$400,$B109,'KNOWIFY REVIEW'!$AC$4:$AC$400,$C109,'KNOWIFY REVIEW'!$AD$4:$AD$400,1)/SUMIFS('KNOWIFY REVIEW'!$AE$4:$AE$400,'KNOWIFY REVIEW'!$AB$4:$AB$400,$B109,'KNOWIFY REVIEW'!$AC$4:$AC$400,$C109,'KNOWIFY REVIEW'!$AD$4:$AD$400,1),""))</f>
        <v/>
      </c>
      <c r="R109" s="43" t="str">
        <f aca="false">IF(OR($B109="",$C109=""),"",IFERROR(SUMIFS('KNOWIFY REVIEW'!$AH$4:$AH$400,'KNOWIFY REVIEW'!$AB$4:$AB$400,$B109,'KNOWIFY REVIEW'!$AC$4:$AC$400,IF(OR($C109=INPUTS!$B$69,$C109=INPUTS!$B$70),INPUTS!$B$71,$C109),'KNOWIFY REVIEW'!$AD$4:$AD$400,1)/SUMIFS('KNOWIFY REVIEW'!$AG$4:$AG$400,'KNOWIFY REVIEW'!$AB$4:$AB$400,$B109,'KNOWIFY REVIEW'!$AC$4:$AC$400,IF(OR($C109=INPUTS!$B$69,$C109=INPUTS!$B$70),INPUTS!$B$71,$C109),'KNOWIFY REVIEW'!$AD$4:$AD$400,1),""))</f>
        <v/>
      </c>
      <c r="S109" s="24" t="str">
        <f aca="false">IF(MAX(N($Q109),N($R109))&gt;1.1,"Past job ran over budget","")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38"/>
      <c r="F110" s="10"/>
      <c r="G110" s="39"/>
      <c r="H110" s="40"/>
      <c r="I110" s="39"/>
      <c r="J110" s="38"/>
      <c r="K110" s="10" t="s">
        <v>237</v>
      </c>
      <c r="L110" s="28" t="n">
        <f aca="false">($E110*$G110+$I110)*(1+IF($K110="N",0,INPUTS!$C$23))</f>
        <v>0</v>
      </c>
      <c r="M110" s="41" t="n">
        <f aca="false">$E110*$H110+$J110</f>
        <v>0</v>
      </c>
      <c r="N110" s="28" t="n">
        <f aca="false">$M110*IF(OR($B110="V",$B110="AC"),'LABOUR RATES'!$E$26,'LABOUR RATES'!$E$11)</f>
        <v>0</v>
      </c>
      <c r="O110" s="28" t="n">
        <f aca="false">$M110*IF(OR($B110="V",$B110="AC"),'LABOUR RATES'!$C$27,'LABOUR RATES'!$C$12)</f>
        <v>0</v>
      </c>
      <c r="P110" s="42" t="n">
        <f aca="false">$L110+$N110+$O110</f>
        <v>0</v>
      </c>
      <c r="Q110" s="43" t="str">
        <f aca="false">IF(OR($B110="",$C110=""),"",IFERROR(SUMIFS('KNOWIFY REVIEW'!$AF$4:$AF$400,'KNOWIFY REVIEW'!$AB$4:$AB$400,$B110,'KNOWIFY REVIEW'!$AC$4:$AC$400,$C110,'KNOWIFY REVIEW'!$AD$4:$AD$400,1)/SUMIFS('KNOWIFY REVIEW'!$AE$4:$AE$400,'KNOWIFY REVIEW'!$AB$4:$AB$400,$B110,'KNOWIFY REVIEW'!$AC$4:$AC$400,$C110,'KNOWIFY REVIEW'!$AD$4:$AD$400,1),""))</f>
        <v/>
      </c>
      <c r="R110" s="43" t="str">
        <f aca="false">IF(OR($B110="",$C110=""),"",IFERROR(SUMIFS('KNOWIFY REVIEW'!$AH$4:$AH$400,'KNOWIFY REVIEW'!$AB$4:$AB$400,$B110,'KNOWIFY REVIEW'!$AC$4:$AC$400,IF(OR($C110=INPUTS!$B$69,$C110=INPUTS!$B$70),INPUTS!$B$71,$C110),'KNOWIFY REVIEW'!$AD$4:$AD$400,1)/SUMIFS('KNOWIFY REVIEW'!$AG$4:$AG$400,'KNOWIFY REVIEW'!$AB$4:$AB$400,$B110,'KNOWIFY REVIEW'!$AC$4:$AC$400,IF(OR($C110=INPUTS!$B$69,$C110=INPUTS!$B$70),INPUTS!$B$71,$C110),'KNOWIFY REVIEW'!$AD$4:$AD$400,1),""))</f>
        <v/>
      </c>
      <c r="S110" s="24" t="str">
        <f aca="false">IF(MAX(N($Q110),N($R110))&gt;1.1,"Past job ran over budget","")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38"/>
      <c r="F111" s="10"/>
      <c r="G111" s="39"/>
      <c r="H111" s="40"/>
      <c r="I111" s="39"/>
      <c r="J111" s="38"/>
      <c r="K111" s="10" t="s">
        <v>237</v>
      </c>
      <c r="L111" s="28" t="n">
        <f aca="false">($E111*$G111+$I111)*(1+IF($K111="N",0,INPUTS!$C$23))</f>
        <v>0</v>
      </c>
      <c r="M111" s="41" t="n">
        <f aca="false">$E111*$H111+$J111</f>
        <v>0</v>
      </c>
      <c r="N111" s="28" t="n">
        <f aca="false">$M111*IF(OR($B111="V",$B111="AC"),'LABOUR RATES'!$E$26,'LABOUR RATES'!$E$11)</f>
        <v>0</v>
      </c>
      <c r="O111" s="28" t="n">
        <f aca="false">$M111*IF(OR($B111="V",$B111="AC"),'LABOUR RATES'!$C$27,'LABOUR RATES'!$C$12)</f>
        <v>0</v>
      </c>
      <c r="P111" s="42" t="n">
        <f aca="false">$L111+$N111+$O111</f>
        <v>0</v>
      </c>
      <c r="Q111" s="43" t="str">
        <f aca="false">IF(OR($B111="",$C111=""),"",IFERROR(SUMIFS('KNOWIFY REVIEW'!$AF$4:$AF$400,'KNOWIFY REVIEW'!$AB$4:$AB$400,$B111,'KNOWIFY REVIEW'!$AC$4:$AC$400,$C111,'KNOWIFY REVIEW'!$AD$4:$AD$400,1)/SUMIFS('KNOWIFY REVIEW'!$AE$4:$AE$400,'KNOWIFY REVIEW'!$AB$4:$AB$400,$B111,'KNOWIFY REVIEW'!$AC$4:$AC$400,$C111,'KNOWIFY REVIEW'!$AD$4:$AD$400,1),""))</f>
        <v/>
      </c>
      <c r="R111" s="43" t="str">
        <f aca="false">IF(OR($B111="",$C111=""),"",IFERROR(SUMIFS('KNOWIFY REVIEW'!$AH$4:$AH$400,'KNOWIFY REVIEW'!$AB$4:$AB$400,$B111,'KNOWIFY REVIEW'!$AC$4:$AC$400,IF(OR($C111=INPUTS!$B$69,$C111=INPUTS!$B$70),INPUTS!$B$71,$C111),'KNOWIFY REVIEW'!$AD$4:$AD$400,1)/SUMIFS('KNOWIFY REVIEW'!$AG$4:$AG$400,'KNOWIFY REVIEW'!$AB$4:$AB$400,$B111,'KNOWIFY REVIEW'!$AC$4:$AC$400,IF(OR($C111=INPUTS!$B$69,$C111=INPUTS!$B$70),INPUTS!$B$71,$C111),'KNOWIFY REVIEW'!$AD$4:$AD$400,1),""))</f>
        <v/>
      </c>
      <c r="S111" s="24" t="str">
        <f aca="false">IF(MAX(N($Q111),N($R111))&gt;1.1,"Past job ran over budget","")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38"/>
      <c r="F112" s="10"/>
      <c r="G112" s="39"/>
      <c r="H112" s="40"/>
      <c r="I112" s="39"/>
      <c r="J112" s="38"/>
      <c r="K112" s="10" t="s">
        <v>237</v>
      </c>
      <c r="L112" s="28" t="n">
        <f aca="false">($E112*$G112+$I112)*(1+IF($K112="N",0,INPUTS!$C$23))</f>
        <v>0</v>
      </c>
      <c r="M112" s="41" t="n">
        <f aca="false">$E112*$H112+$J112</f>
        <v>0</v>
      </c>
      <c r="N112" s="28" t="n">
        <f aca="false">$M112*IF(OR($B112="V",$B112="AC"),'LABOUR RATES'!$E$26,'LABOUR RATES'!$E$11)</f>
        <v>0</v>
      </c>
      <c r="O112" s="28" t="n">
        <f aca="false">$M112*IF(OR($B112="V",$B112="AC"),'LABOUR RATES'!$C$27,'LABOUR RATES'!$C$12)</f>
        <v>0</v>
      </c>
      <c r="P112" s="42" t="n">
        <f aca="false">$L112+$N112+$O112</f>
        <v>0</v>
      </c>
      <c r="Q112" s="43" t="str">
        <f aca="false">IF(OR($B112="",$C112=""),"",IFERROR(SUMIFS('KNOWIFY REVIEW'!$AF$4:$AF$400,'KNOWIFY REVIEW'!$AB$4:$AB$400,$B112,'KNOWIFY REVIEW'!$AC$4:$AC$400,$C112,'KNOWIFY REVIEW'!$AD$4:$AD$400,1)/SUMIFS('KNOWIFY REVIEW'!$AE$4:$AE$400,'KNOWIFY REVIEW'!$AB$4:$AB$400,$B112,'KNOWIFY REVIEW'!$AC$4:$AC$400,$C112,'KNOWIFY REVIEW'!$AD$4:$AD$400,1),""))</f>
        <v/>
      </c>
      <c r="R112" s="43" t="str">
        <f aca="false">IF(OR($B112="",$C112=""),"",IFERROR(SUMIFS('KNOWIFY REVIEW'!$AH$4:$AH$400,'KNOWIFY REVIEW'!$AB$4:$AB$400,$B112,'KNOWIFY REVIEW'!$AC$4:$AC$400,IF(OR($C112=INPUTS!$B$69,$C112=INPUTS!$B$70),INPUTS!$B$71,$C112),'KNOWIFY REVIEW'!$AD$4:$AD$400,1)/SUMIFS('KNOWIFY REVIEW'!$AG$4:$AG$400,'KNOWIFY REVIEW'!$AB$4:$AB$400,$B112,'KNOWIFY REVIEW'!$AC$4:$AC$400,IF(OR($C112=INPUTS!$B$69,$C112=INPUTS!$B$70),INPUTS!$B$71,$C112),'KNOWIFY REVIEW'!$AD$4:$AD$400,1),""))</f>
        <v/>
      </c>
      <c r="S112" s="24" t="str">
        <f aca="false">IF(MAX(N($Q112),N($R112))&gt;1.1,"Past job ran over budget","")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38"/>
      <c r="F113" s="10"/>
      <c r="G113" s="39"/>
      <c r="H113" s="40"/>
      <c r="I113" s="39"/>
      <c r="J113" s="38"/>
      <c r="K113" s="10" t="s">
        <v>237</v>
      </c>
      <c r="L113" s="28" t="n">
        <f aca="false">($E113*$G113+$I113)*(1+IF($K113="N",0,INPUTS!$C$23))</f>
        <v>0</v>
      </c>
      <c r="M113" s="41" t="n">
        <f aca="false">$E113*$H113+$J113</f>
        <v>0</v>
      </c>
      <c r="N113" s="28" t="n">
        <f aca="false">$M113*IF(OR($B113="V",$B113="AC"),'LABOUR RATES'!$E$26,'LABOUR RATES'!$E$11)</f>
        <v>0</v>
      </c>
      <c r="O113" s="28" t="n">
        <f aca="false">$M113*IF(OR($B113="V",$B113="AC"),'LABOUR RATES'!$C$27,'LABOUR RATES'!$C$12)</f>
        <v>0</v>
      </c>
      <c r="P113" s="42" t="n">
        <f aca="false">$L113+$N113+$O113</f>
        <v>0</v>
      </c>
      <c r="Q113" s="43" t="str">
        <f aca="false">IF(OR($B113="",$C113=""),"",IFERROR(SUMIFS('KNOWIFY REVIEW'!$AF$4:$AF$400,'KNOWIFY REVIEW'!$AB$4:$AB$400,$B113,'KNOWIFY REVIEW'!$AC$4:$AC$400,$C113,'KNOWIFY REVIEW'!$AD$4:$AD$400,1)/SUMIFS('KNOWIFY REVIEW'!$AE$4:$AE$400,'KNOWIFY REVIEW'!$AB$4:$AB$400,$B113,'KNOWIFY REVIEW'!$AC$4:$AC$400,$C113,'KNOWIFY REVIEW'!$AD$4:$AD$400,1),""))</f>
        <v/>
      </c>
      <c r="R113" s="43" t="str">
        <f aca="false">IF(OR($B113="",$C113=""),"",IFERROR(SUMIFS('KNOWIFY REVIEW'!$AH$4:$AH$400,'KNOWIFY REVIEW'!$AB$4:$AB$400,$B113,'KNOWIFY REVIEW'!$AC$4:$AC$400,IF(OR($C113=INPUTS!$B$69,$C113=INPUTS!$B$70),INPUTS!$B$71,$C113),'KNOWIFY REVIEW'!$AD$4:$AD$400,1)/SUMIFS('KNOWIFY REVIEW'!$AG$4:$AG$400,'KNOWIFY REVIEW'!$AB$4:$AB$400,$B113,'KNOWIFY REVIEW'!$AC$4:$AC$400,IF(OR($C113=INPUTS!$B$69,$C113=INPUTS!$B$70),INPUTS!$B$71,$C113),'KNOWIFY REVIEW'!$AD$4:$AD$400,1),""))</f>
        <v/>
      </c>
      <c r="S113" s="24" t="str">
        <f aca="false">IF(MAX(N($Q113),N($R113))&gt;1.1,"Past job ran over budget","")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38"/>
      <c r="F114" s="10"/>
      <c r="G114" s="39"/>
      <c r="H114" s="40"/>
      <c r="I114" s="39"/>
      <c r="J114" s="38"/>
      <c r="K114" s="10" t="s">
        <v>237</v>
      </c>
      <c r="L114" s="28" t="n">
        <f aca="false">($E114*$G114+$I114)*(1+IF($K114="N",0,INPUTS!$C$23))</f>
        <v>0</v>
      </c>
      <c r="M114" s="41" t="n">
        <f aca="false">$E114*$H114+$J114</f>
        <v>0</v>
      </c>
      <c r="N114" s="28" t="n">
        <f aca="false">$M114*IF(OR($B114="V",$B114="AC"),'LABOUR RATES'!$E$26,'LABOUR RATES'!$E$11)</f>
        <v>0</v>
      </c>
      <c r="O114" s="28" t="n">
        <f aca="false">$M114*IF(OR($B114="V",$B114="AC"),'LABOUR RATES'!$C$27,'LABOUR RATES'!$C$12)</f>
        <v>0</v>
      </c>
      <c r="P114" s="42" t="n">
        <f aca="false">$L114+$N114+$O114</f>
        <v>0</v>
      </c>
      <c r="Q114" s="43" t="str">
        <f aca="false">IF(OR($B114="",$C114=""),"",IFERROR(SUMIFS('KNOWIFY REVIEW'!$AF$4:$AF$400,'KNOWIFY REVIEW'!$AB$4:$AB$400,$B114,'KNOWIFY REVIEW'!$AC$4:$AC$400,$C114,'KNOWIFY REVIEW'!$AD$4:$AD$400,1)/SUMIFS('KNOWIFY REVIEW'!$AE$4:$AE$400,'KNOWIFY REVIEW'!$AB$4:$AB$400,$B114,'KNOWIFY REVIEW'!$AC$4:$AC$400,$C114,'KNOWIFY REVIEW'!$AD$4:$AD$400,1),""))</f>
        <v/>
      </c>
      <c r="R114" s="43" t="str">
        <f aca="false">IF(OR($B114="",$C114=""),"",IFERROR(SUMIFS('KNOWIFY REVIEW'!$AH$4:$AH$400,'KNOWIFY REVIEW'!$AB$4:$AB$400,$B114,'KNOWIFY REVIEW'!$AC$4:$AC$400,IF(OR($C114=INPUTS!$B$69,$C114=INPUTS!$B$70),INPUTS!$B$71,$C114),'KNOWIFY REVIEW'!$AD$4:$AD$400,1)/SUMIFS('KNOWIFY REVIEW'!$AG$4:$AG$400,'KNOWIFY REVIEW'!$AB$4:$AB$400,$B114,'KNOWIFY REVIEW'!$AC$4:$AC$400,IF(OR($C114=INPUTS!$B$69,$C114=INPUTS!$B$70),INPUTS!$B$71,$C114),'KNOWIFY REVIEW'!$AD$4:$AD$400,1),""))</f>
        <v/>
      </c>
      <c r="S114" s="24" t="str">
        <f aca="false">IF(MAX(N($Q114),N($R114))&gt;1.1,"Past job ran over budget","")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38"/>
      <c r="F115" s="10"/>
      <c r="G115" s="39"/>
      <c r="H115" s="40"/>
      <c r="I115" s="39"/>
      <c r="J115" s="38"/>
      <c r="K115" s="10" t="s">
        <v>237</v>
      </c>
      <c r="L115" s="28" t="n">
        <f aca="false">($E115*$G115+$I115)*(1+IF($K115="N",0,INPUTS!$C$23))</f>
        <v>0</v>
      </c>
      <c r="M115" s="41" t="n">
        <f aca="false">$E115*$H115+$J115</f>
        <v>0</v>
      </c>
      <c r="N115" s="28" t="n">
        <f aca="false">$M115*IF(OR($B115="V",$B115="AC"),'LABOUR RATES'!$E$26,'LABOUR RATES'!$E$11)</f>
        <v>0</v>
      </c>
      <c r="O115" s="28" t="n">
        <f aca="false">$M115*IF(OR($B115="V",$B115="AC"),'LABOUR RATES'!$C$27,'LABOUR RATES'!$C$12)</f>
        <v>0</v>
      </c>
      <c r="P115" s="42" t="n">
        <f aca="false">$L115+$N115+$O115</f>
        <v>0</v>
      </c>
      <c r="Q115" s="43" t="str">
        <f aca="false">IF(OR($B115="",$C115=""),"",IFERROR(SUMIFS('KNOWIFY REVIEW'!$AF$4:$AF$400,'KNOWIFY REVIEW'!$AB$4:$AB$400,$B115,'KNOWIFY REVIEW'!$AC$4:$AC$400,$C115,'KNOWIFY REVIEW'!$AD$4:$AD$400,1)/SUMIFS('KNOWIFY REVIEW'!$AE$4:$AE$400,'KNOWIFY REVIEW'!$AB$4:$AB$400,$B115,'KNOWIFY REVIEW'!$AC$4:$AC$400,$C115,'KNOWIFY REVIEW'!$AD$4:$AD$400,1),""))</f>
        <v/>
      </c>
      <c r="R115" s="43" t="str">
        <f aca="false">IF(OR($B115="",$C115=""),"",IFERROR(SUMIFS('KNOWIFY REVIEW'!$AH$4:$AH$400,'KNOWIFY REVIEW'!$AB$4:$AB$400,$B115,'KNOWIFY REVIEW'!$AC$4:$AC$400,IF(OR($C115=INPUTS!$B$69,$C115=INPUTS!$B$70),INPUTS!$B$71,$C115),'KNOWIFY REVIEW'!$AD$4:$AD$400,1)/SUMIFS('KNOWIFY REVIEW'!$AG$4:$AG$400,'KNOWIFY REVIEW'!$AB$4:$AB$400,$B115,'KNOWIFY REVIEW'!$AC$4:$AC$400,IF(OR($C115=INPUTS!$B$69,$C115=INPUTS!$B$70),INPUTS!$B$71,$C115),'KNOWIFY REVIEW'!$AD$4:$AD$400,1),""))</f>
        <v/>
      </c>
      <c r="S115" s="24" t="str">
        <f aca="false">IF(MAX(N($Q115),N($R115))&gt;1.1,"Past job ran over budget","")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38"/>
      <c r="F116" s="10"/>
      <c r="G116" s="39"/>
      <c r="H116" s="40"/>
      <c r="I116" s="39"/>
      <c r="J116" s="38"/>
      <c r="K116" s="10" t="s">
        <v>237</v>
      </c>
      <c r="L116" s="28" t="n">
        <f aca="false">($E116*$G116+$I116)*(1+IF($K116="N",0,INPUTS!$C$23))</f>
        <v>0</v>
      </c>
      <c r="M116" s="41" t="n">
        <f aca="false">$E116*$H116+$J116</f>
        <v>0</v>
      </c>
      <c r="N116" s="28" t="n">
        <f aca="false">$M116*IF(OR($B116="V",$B116="AC"),'LABOUR RATES'!$E$26,'LABOUR RATES'!$E$11)</f>
        <v>0</v>
      </c>
      <c r="O116" s="28" t="n">
        <f aca="false">$M116*IF(OR($B116="V",$B116="AC"),'LABOUR RATES'!$C$27,'LABOUR RATES'!$C$12)</f>
        <v>0</v>
      </c>
      <c r="P116" s="42" t="n">
        <f aca="false">$L116+$N116+$O116</f>
        <v>0</v>
      </c>
      <c r="Q116" s="43" t="str">
        <f aca="false">IF(OR($B116="",$C116=""),"",IFERROR(SUMIFS('KNOWIFY REVIEW'!$AF$4:$AF$400,'KNOWIFY REVIEW'!$AB$4:$AB$400,$B116,'KNOWIFY REVIEW'!$AC$4:$AC$400,$C116,'KNOWIFY REVIEW'!$AD$4:$AD$400,1)/SUMIFS('KNOWIFY REVIEW'!$AE$4:$AE$400,'KNOWIFY REVIEW'!$AB$4:$AB$400,$B116,'KNOWIFY REVIEW'!$AC$4:$AC$400,$C116,'KNOWIFY REVIEW'!$AD$4:$AD$400,1),""))</f>
        <v/>
      </c>
      <c r="R116" s="43" t="str">
        <f aca="false">IF(OR($B116="",$C116=""),"",IFERROR(SUMIFS('KNOWIFY REVIEW'!$AH$4:$AH$400,'KNOWIFY REVIEW'!$AB$4:$AB$400,$B116,'KNOWIFY REVIEW'!$AC$4:$AC$400,IF(OR($C116=INPUTS!$B$69,$C116=INPUTS!$B$70),INPUTS!$B$71,$C116),'KNOWIFY REVIEW'!$AD$4:$AD$400,1)/SUMIFS('KNOWIFY REVIEW'!$AG$4:$AG$400,'KNOWIFY REVIEW'!$AB$4:$AB$400,$B116,'KNOWIFY REVIEW'!$AC$4:$AC$400,IF(OR($C116=INPUTS!$B$69,$C116=INPUTS!$B$70),INPUTS!$B$71,$C116),'KNOWIFY REVIEW'!$AD$4:$AD$400,1),""))</f>
        <v/>
      </c>
      <c r="S116" s="24" t="str">
        <f aca="false">IF(MAX(N($Q116),N($R116))&gt;1.1,"Past job ran over budget","")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38"/>
      <c r="F117" s="10"/>
      <c r="G117" s="39"/>
      <c r="H117" s="40"/>
      <c r="I117" s="39"/>
      <c r="J117" s="38"/>
      <c r="K117" s="10" t="s">
        <v>237</v>
      </c>
      <c r="L117" s="28" t="n">
        <f aca="false">($E117*$G117+$I117)*(1+IF($K117="N",0,INPUTS!$C$23))</f>
        <v>0</v>
      </c>
      <c r="M117" s="41" t="n">
        <f aca="false">$E117*$H117+$J117</f>
        <v>0</v>
      </c>
      <c r="N117" s="28" t="n">
        <f aca="false">$M117*IF(OR($B117="V",$B117="AC"),'LABOUR RATES'!$E$26,'LABOUR RATES'!$E$11)</f>
        <v>0</v>
      </c>
      <c r="O117" s="28" t="n">
        <f aca="false">$M117*IF(OR($B117="V",$B117="AC"),'LABOUR RATES'!$C$27,'LABOUR RATES'!$C$12)</f>
        <v>0</v>
      </c>
      <c r="P117" s="42" t="n">
        <f aca="false">$L117+$N117+$O117</f>
        <v>0</v>
      </c>
      <c r="Q117" s="43" t="str">
        <f aca="false">IF(OR($B117="",$C117=""),"",IFERROR(SUMIFS('KNOWIFY REVIEW'!$AF$4:$AF$400,'KNOWIFY REVIEW'!$AB$4:$AB$400,$B117,'KNOWIFY REVIEW'!$AC$4:$AC$400,$C117,'KNOWIFY REVIEW'!$AD$4:$AD$400,1)/SUMIFS('KNOWIFY REVIEW'!$AE$4:$AE$400,'KNOWIFY REVIEW'!$AB$4:$AB$400,$B117,'KNOWIFY REVIEW'!$AC$4:$AC$400,$C117,'KNOWIFY REVIEW'!$AD$4:$AD$400,1),""))</f>
        <v/>
      </c>
      <c r="R117" s="43" t="str">
        <f aca="false">IF(OR($B117="",$C117=""),"",IFERROR(SUMIFS('KNOWIFY REVIEW'!$AH$4:$AH$400,'KNOWIFY REVIEW'!$AB$4:$AB$400,$B117,'KNOWIFY REVIEW'!$AC$4:$AC$400,IF(OR($C117=INPUTS!$B$69,$C117=INPUTS!$B$70),INPUTS!$B$71,$C117),'KNOWIFY REVIEW'!$AD$4:$AD$400,1)/SUMIFS('KNOWIFY REVIEW'!$AG$4:$AG$400,'KNOWIFY REVIEW'!$AB$4:$AB$400,$B117,'KNOWIFY REVIEW'!$AC$4:$AC$400,IF(OR($C117=INPUTS!$B$69,$C117=INPUTS!$B$70),INPUTS!$B$71,$C117),'KNOWIFY REVIEW'!$AD$4:$AD$400,1),""))</f>
        <v/>
      </c>
      <c r="S117" s="24" t="str">
        <f aca="false">IF(MAX(N($Q117),N($R117))&gt;1.1,"Past job ran over budget","")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38"/>
      <c r="F118" s="10"/>
      <c r="G118" s="39"/>
      <c r="H118" s="40"/>
      <c r="I118" s="39"/>
      <c r="J118" s="38"/>
      <c r="K118" s="10" t="s">
        <v>237</v>
      </c>
      <c r="L118" s="28" t="n">
        <f aca="false">($E118*$G118+$I118)*(1+IF($K118="N",0,INPUTS!$C$23))</f>
        <v>0</v>
      </c>
      <c r="M118" s="41" t="n">
        <f aca="false">$E118*$H118+$J118</f>
        <v>0</v>
      </c>
      <c r="N118" s="28" t="n">
        <f aca="false">$M118*IF(OR($B118="V",$B118="AC"),'LABOUR RATES'!$E$26,'LABOUR RATES'!$E$11)</f>
        <v>0</v>
      </c>
      <c r="O118" s="28" t="n">
        <f aca="false">$M118*IF(OR($B118="V",$B118="AC"),'LABOUR RATES'!$C$27,'LABOUR RATES'!$C$12)</f>
        <v>0</v>
      </c>
      <c r="P118" s="42" t="n">
        <f aca="false">$L118+$N118+$O118</f>
        <v>0</v>
      </c>
      <c r="Q118" s="43" t="str">
        <f aca="false">IF(OR($B118="",$C118=""),"",IFERROR(SUMIFS('KNOWIFY REVIEW'!$AF$4:$AF$400,'KNOWIFY REVIEW'!$AB$4:$AB$400,$B118,'KNOWIFY REVIEW'!$AC$4:$AC$400,$C118,'KNOWIFY REVIEW'!$AD$4:$AD$400,1)/SUMIFS('KNOWIFY REVIEW'!$AE$4:$AE$400,'KNOWIFY REVIEW'!$AB$4:$AB$400,$B118,'KNOWIFY REVIEW'!$AC$4:$AC$400,$C118,'KNOWIFY REVIEW'!$AD$4:$AD$400,1),""))</f>
        <v/>
      </c>
      <c r="R118" s="43" t="str">
        <f aca="false">IF(OR($B118="",$C118=""),"",IFERROR(SUMIFS('KNOWIFY REVIEW'!$AH$4:$AH$400,'KNOWIFY REVIEW'!$AB$4:$AB$400,$B118,'KNOWIFY REVIEW'!$AC$4:$AC$400,IF(OR($C118=INPUTS!$B$69,$C118=INPUTS!$B$70),INPUTS!$B$71,$C118),'KNOWIFY REVIEW'!$AD$4:$AD$400,1)/SUMIFS('KNOWIFY REVIEW'!$AG$4:$AG$400,'KNOWIFY REVIEW'!$AB$4:$AB$400,$B118,'KNOWIFY REVIEW'!$AC$4:$AC$400,IF(OR($C118=INPUTS!$B$69,$C118=INPUTS!$B$70),INPUTS!$B$71,$C118),'KNOWIFY REVIEW'!$AD$4:$AD$400,1),""))</f>
        <v/>
      </c>
      <c r="S118" s="24" t="str">
        <f aca="false">IF(MAX(N($Q118),N($R118))&gt;1.1,"Past job ran over budget","")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38"/>
      <c r="F119" s="10"/>
      <c r="G119" s="39"/>
      <c r="H119" s="40"/>
      <c r="I119" s="39"/>
      <c r="J119" s="38"/>
      <c r="K119" s="10" t="s">
        <v>237</v>
      </c>
      <c r="L119" s="28" t="n">
        <f aca="false">($E119*$G119+$I119)*(1+IF($K119="N",0,INPUTS!$C$23))</f>
        <v>0</v>
      </c>
      <c r="M119" s="41" t="n">
        <f aca="false">$E119*$H119+$J119</f>
        <v>0</v>
      </c>
      <c r="N119" s="28" t="n">
        <f aca="false">$M119*IF(OR($B119="V",$B119="AC"),'LABOUR RATES'!$E$26,'LABOUR RATES'!$E$11)</f>
        <v>0</v>
      </c>
      <c r="O119" s="28" t="n">
        <f aca="false">$M119*IF(OR($B119="V",$B119="AC"),'LABOUR RATES'!$C$27,'LABOUR RATES'!$C$12)</f>
        <v>0</v>
      </c>
      <c r="P119" s="42" t="n">
        <f aca="false">$L119+$N119+$O119</f>
        <v>0</v>
      </c>
      <c r="Q119" s="43" t="str">
        <f aca="false">IF(OR($B119="",$C119=""),"",IFERROR(SUMIFS('KNOWIFY REVIEW'!$AF$4:$AF$400,'KNOWIFY REVIEW'!$AB$4:$AB$400,$B119,'KNOWIFY REVIEW'!$AC$4:$AC$400,$C119,'KNOWIFY REVIEW'!$AD$4:$AD$400,1)/SUMIFS('KNOWIFY REVIEW'!$AE$4:$AE$400,'KNOWIFY REVIEW'!$AB$4:$AB$400,$B119,'KNOWIFY REVIEW'!$AC$4:$AC$400,$C119,'KNOWIFY REVIEW'!$AD$4:$AD$400,1),""))</f>
        <v/>
      </c>
      <c r="R119" s="43" t="str">
        <f aca="false">IF(OR($B119="",$C119=""),"",IFERROR(SUMIFS('KNOWIFY REVIEW'!$AH$4:$AH$400,'KNOWIFY REVIEW'!$AB$4:$AB$400,$B119,'KNOWIFY REVIEW'!$AC$4:$AC$400,IF(OR($C119=INPUTS!$B$69,$C119=INPUTS!$B$70),INPUTS!$B$71,$C119),'KNOWIFY REVIEW'!$AD$4:$AD$400,1)/SUMIFS('KNOWIFY REVIEW'!$AG$4:$AG$400,'KNOWIFY REVIEW'!$AB$4:$AB$400,$B119,'KNOWIFY REVIEW'!$AC$4:$AC$400,IF(OR($C119=INPUTS!$B$69,$C119=INPUTS!$B$70),INPUTS!$B$71,$C119),'KNOWIFY REVIEW'!$AD$4:$AD$400,1),""))</f>
        <v/>
      </c>
      <c r="S119" s="24" t="str">
        <f aca="false">IF(MAX(N($Q119),N($R119))&gt;1.1,"Past job ran over budget","")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38"/>
      <c r="F120" s="10"/>
      <c r="G120" s="39"/>
      <c r="H120" s="40"/>
      <c r="I120" s="39"/>
      <c r="J120" s="38"/>
      <c r="K120" s="10" t="s">
        <v>237</v>
      </c>
      <c r="L120" s="28" t="n">
        <f aca="false">($E120*$G120+$I120)*(1+IF($K120="N",0,INPUTS!$C$23))</f>
        <v>0</v>
      </c>
      <c r="M120" s="41" t="n">
        <f aca="false">$E120*$H120+$J120</f>
        <v>0</v>
      </c>
      <c r="N120" s="28" t="n">
        <f aca="false">$M120*IF(OR($B120="V",$B120="AC"),'LABOUR RATES'!$E$26,'LABOUR RATES'!$E$11)</f>
        <v>0</v>
      </c>
      <c r="O120" s="28" t="n">
        <f aca="false">$M120*IF(OR($B120="V",$B120="AC"),'LABOUR RATES'!$C$27,'LABOUR RATES'!$C$12)</f>
        <v>0</v>
      </c>
      <c r="P120" s="42" t="n">
        <f aca="false">$L120+$N120+$O120</f>
        <v>0</v>
      </c>
      <c r="Q120" s="43" t="str">
        <f aca="false">IF(OR($B120="",$C120=""),"",IFERROR(SUMIFS('KNOWIFY REVIEW'!$AF$4:$AF$400,'KNOWIFY REVIEW'!$AB$4:$AB$400,$B120,'KNOWIFY REVIEW'!$AC$4:$AC$400,$C120,'KNOWIFY REVIEW'!$AD$4:$AD$400,1)/SUMIFS('KNOWIFY REVIEW'!$AE$4:$AE$400,'KNOWIFY REVIEW'!$AB$4:$AB$400,$B120,'KNOWIFY REVIEW'!$AC$4:$AC$400,$C120,'KNOWIFY REVIEW'!$AD$4:$AD$400,1),""))</f>
        <v/>
      </c>
      <c r="R120" s="43" t="str">
        <f aca="false">IF(OR($B120="",$C120=""),"",IFERROR(SUMIFS('KNOWIFY REVIEW'!$AH$4:$AH$400,'KNOWIFY REVIEW'!$AB$4:$AB$400,$B120,'KNOWIFY REVIEW'!$AC$4:$AC$400,IF(OR($C120=INPUTS!$B$69,$C120=INPUTS!$B$70),INPUTS!$B$71,$C120),'KNOWIFY REVIEW'!$AD$4:$AD$400,1)/SUMIFS('KNOWIFY REVIEW'!$AG$4:$AG$400,'KNOWIFY REVIEW'!$AB$4:$AB$400,$B120,'KNOWIFY REVIEW'!$AC$4:$AC$400,IF(OR($C120=INPUTS!$B$69,$C120=INPUTS!$B$70),INPUTS!$B$71,$C120),'KNOWIFY REVIEW'!$AD$4:$AD$400,1),""))</f>
        <v/>
      </c>
      <c r="S120" s="24" t="str">
        <f aca="false">IF(MAX(N($Q120),N($R120))&gt;1.1,"Past job ran over budget","")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38"/>
      <c r="F121" s="10"/>
      <c r="G121" s="39"/>
      <c r="H121" s="40"/>
      <c r="I121" s="39"/>
      <c r="J121" s="38"/>
      <c r="K121" s="10" t="s">
        <v>237</v>
      </c>
      <c r="L121" s="28" t="n">
        <f aca="false">($E121*$G121+$I121)*(1+IF($K121="N",0,INPUTS!$C$23))</f>
        <v>0</v>
      </c>
      <c r="M121" s="41" t="n">
        <f aca="false">$E121*$H121+$J121</f>
        <v>0</v>
      </c>
      <c r="N121" s="28" t="n">
        <f aca="false">$M121*IF(OR($B121="V",$B121="AC"),'LABOUR RATES'!$E$26,'LABOUR RATES'!$E$11)</f>
        <v>0</v>
      </c>
      <c r="O121" s="28" t="n">
        <f aca="false">$M121*IF(OR($B121="V",$B121="AC"),'LABOUR RATES'!$C$27,'LABOUR RATES'!$C$12)</f>
        <v>0</v>
      </c>
      <c r="P121" s="42" t="n">
        <f aca="false">$L121+$N121+$O121</f>
        <v>0</v>
      </c>
      <c r="Q121" s="43" t="str">
        <f aca="false">IF(OR($B121="",$C121=""),"",IFERROR(SUMIFS('KNOWIFY REVIEW'!$AF$4:$AF$400,'KNOWIFY REVIEW'!$AB$4:$AB$400,$B121,'KNOWIFY REVIEW'!$AC$4:$AC$400,$C121,'KNOWIFY REVIEW'!$AD$4:$AD$400,1)/SUMIFS('KNOWIFY REVIEW'!$AE$4:$AE$400,'KNOWIFY REVIEW'!$AB$4:$AB$400,$B121,'KNOWIFY REVIEW'!$AC$4:$AC$400,$C121,'KNOWIFY REVIEW'!$AD$4:$AD$400,1),""))</f>
        <v/>
      </c>
      <c r="R121" s="43" t="str">
        <f aca="false">IF(OR($B121="",$C121=""),"",IFERROR(SUMIFS('KNOWIFY REVIEW'!$AH$4:$AH$400,'KNOWIFY REVIEW'!$AB$4:$AB$400,$B121,'KNOWIFY REVIEW'!$AC$4:$AC$400,IF(OR($C121=INPUTS!$B$69,$C121=INPUTS!$B$70),INPUTS!$B$71,$C121),'KNOWIFY REVIEW'!$AD$4:$AD$400,1)/SUMIFS('KNOWIFY REVIEW'!$AG$4:$AG$400,'KNOWIFY REVIEW'!$AB$4:$AB$400,$B121,'KNOWIFY REVIEW'!$AC$4:$AC$400,IF(OR($C121=INPUTS!$B$69,$C121=INPUTS!$B$70),INPUTS!$B$71,$C121),'KNOWIFY REVIEW'!$AD$4:$AD$400,1),""))</f>
        <v/>
      </c>
      <c r="S121" s="24" t="str">
        <f aca="false">IF(MAX(N($Q121),N($R121))&gt;1.1,"Past job ran over budget","")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38"/>
      <c r="F122" s="10"/>
      <c r="G122" s="39"/>
      <c r="H122" s="40"/>
      <c r="I122" s="39"/>
      <c r="J122" s="38"/>
      <c r="K122" s="10" t="s">
        <v>237</v>
      </c>
      <c r="L122" s="28" t="n">
        <f aca="false">($E122*$G122+$I122)*(1+IF($K122="N",0,INPUTS!$C$23))</f>
        <v>0</v>
      </c>
      <c r="M122" s="41" t="n">
        <f aca="false">$E122*$H122+$J122</f>
        <v>0</v>
      </c>
      <c r="N122" s="28" t="n">
        <f aca="false">$M122*IF(OR($B122="V",$B122="AC"),'LABOUR RATES'!$E$26,'LABOUR RATES'!$E$11)</f>
        <v>0</v>
      </c>
      <c r="O122" s="28" t="n">
        <f aca="false">$M122*IF(OR($B122="V",$B122="AC"),'LABOUR RATES'!$C$27,'LABOUR RATES'!$C$12)</f>
        <v>0</v>
      </c>
      <c r="P122" s="42" t="n">
        <f aca="false">$L122+$N122+$O122</f>
        <v>0</v>
      </c>
      <c r="Q122" s="43" t="str">
        <f aca="false">IF(OR($B122="",$C122=""),"",IFERROR(SUMIFS('KNOWIFY REVIEW'!$AF$4:$AF$400,'KNOWIFY REVIEW'!$AB$4:$AB$400,$B122,'KNOWIFY REVIEW'!$AC$4:$AC$400,$C122,'KNOWIFY REVIEW'!$AD$4:$AD$400,1)/SUMIFS('KNOWIFY REVIEW'!$AE$4:$AE$400,'KNOWIFY REVIEW'!$AB$4:$AB$400,$B122,'KNOWIFY REVIEW'!$AC$4:$AC$400,$C122,'KNOWIFY REVIEW'!$AD$4:$AD$400,1),""))</f>
        <v/>
      </c>
      <c r="R122" s="43" t="str">
        <f aca="false">IF(OR($B122="",$C122=""),"",IFERROR(SUMIFS('KNOWIFY REVIEW'!$AH$4:$AH$400,'KNOWIFY REVIEW'!$AB$4:$AB$400,$B122,'KNOWIFY REVIEW'!$AC$4:$AC$400,IF(OR($C122=INPUTS!$B$69,$C122=INPUTS!$B$70),INPUTS!$B$71,$C122),'KNOWIFY REVIEW'!$AD$4:$AD$400,1)/SUMIFS('KNOWIFY REVIEW'!$AG$4:$AG$400,'KNOWIFY REVIEW'!$AB$4:$AB$400,$B122,'KNOWIFY REVIEW'!$AC$4:$AC$400,IF(OR($C122=INPUTS!$B$69,$C122=INPUTS!$B$70),INPUTS!$B$71,$C122),'KNOWIFY REVIEW'!$AD$4:$AD$400,1),""))</f>
        <v/>
      </c>
      <c r="S122" s="24" t="str">
        <f aca="false">IF(MAX(N($Q122),N($R122))&gt;1.1,"Past job ran over budget","")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38"/>
      <c r="F123" s="10"/>
      <c r="G123" s="39"/>
      <c r="H123" s="40"/>
      <c r="I123" s="39"/>
      <c r="J123" s="38"/>
      <c r="K123" s="10" t="s">
        <v>237</v>
      </c>
      <c r="L123" s="28" t="n">
        <f aca="false">($E123*$G123+$I123)*(1+IF($K123="N",0,INPUTS!$C$23))</f>
        <v>0</v>
      </c>
      <c r="M123" s="41" t="n">
        <f aca="false">$E123*$H123+$J123</f>
        <v>0</v>
      </c>
      <c r="N123" s="28" t="n">
        <f aca="false">$M123*IF(OR($B123="V",$B123="AC"),'LABOUR RATES'!$E$26,'LABOUR RATES'!$E$11)</f>
        <v>0</v>
      </c>
      <c r="O123" s="28" t="n">
        <f aca="false">$M123*IF(OR($B123="V",$B123="AC"),'LABOUR RATES'!$C$27,'LABOUR RATES'!$C$12)</f>
        <v>0</v>
      </c>
      <c r="P123" s="42" t="n">
        <f aca="false">$L123+$N123+$O123</f>
        <v>0</v>
      </c>
      <c r="Q123" s="43" t="str">
        <f aca="false">IF(OR($B123="",$C123=""),"",IFERROR(SUMIFS('KNOWIFY REVIEW'!$AF$4:$AF$400,'KNOWIFY REVIEW'!$AB$4:$AB$400,$B123,'KNOWIFY REVIEW'!$AC$4:$AC$400,$C123,'KNOWIFY REVIEW'!$AD$4:$AD$400,1)/SUMIFS('KNOWIFY REVIEW'!$AE$4:$AE$400,'KNOWIFY REVIEW'!$AB$4:$AB$400,$B123,'KNOWIFY REVIEW'!$AC$4:$AC$400,$C123,'KNOWIFY REVIEW'!$AD$4:$AD$400,1),""))</f>
        <v/>
      </c>
      <c r="R123" s="43" t="str">
        <f aca="false">IF(OR($B123="",$C123=""),"",IFERROR(SUMIFS('KNOWIFY REVIEW'!$AH$4:$AH$400,'KNOWIFY REVIEW'!$AB$4:$AB$400,$B123,'KNOWIFY REVIEW'!$AC$4:$AC$400,IF(OR($C123=INPUTS!$B$69,$C123=INPUTS!$B$70),INPUTS!$B$71,$C123),'KNOWIFY REVIEW'!$AD$4:$AD$400,1)/SUMIFS('KNOWIFY REVIEW'!$AG$4:$AG$400,'KNOWIFY REVIEW'!$AB$4:$AB$400,$B123,'KNOWIFY REVIEW'!$AC$4:$AC$400,IF(OR($C123=INPUTS!$B$69,$C123=INPUTS!$B$70),INPUTS!$B$71,$C123),'KNOWIFY REVIEW'!$AD$4:$AD$400,1),""))</f>
        <v/>
      </c>
      <c r="S123" s="24" t="str">
        <f aca="false">IF(MAX(N($Q123),N($R123))&gt;1.1,"Past job ran over budget","")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38"/>
      <c r="F124" s="10"/>
      <c r="G124" s="39"/>
      <c r="H124" s="40"/>
      <c r="I124" s="39"/>
      <c r="J124" s="38"/>
      <c r="K124" s="10" t="s">
        <v>237</v>
      </c>
      <c r="L124" s="28" t="n">
        <f aca="false">($E124*$G124+$I124)*(1+IF($K124="N",0,INPUTS!$C$23))</f>
        <v>0</v>
      </c>
      <c r="M124" s="41" t="n">
        <f aca="false">$E124*$H124+$J124</f>
        <v>0</v>
      </c>
      <c r="N124" s="28" t="n">
        <f aca="false">$M124*IF(OR($B124="V",$B124="AC"),'LABOUR RATES'!$E$26,'LABOUR RATES'!$E$11)</f>
        <v>0</v>
      </c>
      <c r="O124" s="28" t="n">
        <f aca="false">$M124*IF(OR($B124="V",$B124="AC"),'LABOUR RATES'!$C$27,'LABOUR RATES'!$C$12)</f>
        <v>0</v>
      </c>
      <c r="P124" s="42" t="n">
        <f aca="false">$L124+$N124+$O124</f>
        <v>0</v>
      </c>
      <c r="Q124" s="43" t="str">
        <f aca="false">IF(OR($B124="",$C124=""),"",IFERROR(SUMIFS('KNOWIFY REVIEW'!$AF$4:$AF$400,'KNOWIFY REVIEW'!$AB$4:$AB$400,$B124,'KNOWIFY REVIEW'!$AC$4:$AC$400,$C124,'KNOWIFY REVIEW'!$AD$4:$AD$400,1)/SUMIFS('KNOWIFY REVIEW'!$AE$4:$AE$400,'KNOWIFY REVIEW'!$AB$4:$AB$400,$B124,'KNOWIFY REVIEW'!$AC$4:$AC$400,$C124,'KNOWIFY REVIEW'!$AD$4:$AD$400,1),""))</f>
        <v/>
      </c>
      <c r="R124" s="43" t="str">
        <f aca="false">IF(OR($B124="",$C124=""),"",IFERROR(SUMIFS('KNOWIFY REVIEW'!$AH$4:$AH$400,'KNOWIFY REVIEW'!$AB$4:$AB$400,$B124,'KNOWIFY REVIEW'!$AC$4:$AC$400,IF(OR($C124=INPUTS!$B$69,$C124=INPUTS!$B$70),INPUTS!$B$71,$C124),'KNOWIFY REVIEW'!$AD$4:$AD$400,1)/SUMIFS('KNOWIFY REVIEW'!$AG$4:$AG$400,'KNOWIFY REVIEW'!$AB$4:$AB$400,$B124,'KNOWIFY REVIEW'!$AC$4:$AC$400,IF(OR($C124=INPUTS!$B$69,$C124=INPUTS!$B$70),INPUTS!$B$71,$C124),'KNOWIFY REVIEW'!$AD$4:$AD$400,1),""))</f>
        <v/>
      </c>
      <c r="S124" s="24" t="str">
        <f aca="false">IF(MAX(N($Q124),N($R124))&gt;1.1,"Past job ran over budget","")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38"/>
      <c r="F125" s="10"/>
      <c r="G125" s="39"/>
      <c r="H125" s="40"/>
      <c r="I125" s="39"/>
      <c r="J125" s="38"/>
      <c r="K125" s="10" t="s">
        <v>237</v>
      </c>
      <c r="L125" s="28" t="n">
        <f aca="false">($E125*$G125+$I125)*(1+IF($K125="N",0,INPUTS!$C$23))</f>
        <v>0</v>
      </c>
      <c r="M125" s="41" t="n">
        <f aca="false">$E125*$H125+$J125</f>
        <v>0</v>
      </c>
      <c r="N125" s="28" t="n">
        <f aca="false">$M125*IF(OR($B125="V",$B125="AC"),'LABOUR RATES'!$E$26,'LABOUR RATES'!$E$11)</f>
        <v>0</v>
      </c>
      <c r="O125" s="28" t="n">
        <f aca="false">$M125*IF(OR($B125="V",$B125="AC"),'LABOUR RATES'!$C$27,'LABOUR RATES'!$C$12)</f>
        <v>0</v>
      </c>
      <c r="P125" s="42" t="n">
        <f aca="false">$L125+$N125+$O125</f>
        <v>0</v>
      </c>
      <c r="Q125" s="43" t="str">
        <f aca="false">IF(OR($B125="",$C125=""),"",IFERROR(SUMIFS('KNOWIFY REVIEW'!$AF$4:$AF$400,'KNOWIFY REVIEW'!$AB$4:$AB$400,$B125,'KNOWIFY REVIEW'!$AC$4:$AC$400,$C125,'KNOWIFY REVIEW'!$AD$4:$AD$400,1)/SUMIFS('KNOWIFY REVIEW'!$AE$4:$AE$400,'KNOWIFY REVIEW'!$AB$4:$AB$400,$B125,'KNOWIFY REVIEW'!$AC$4:$AC$400,$C125,'KNOWIFY REVIEW'!$AD$4:$AD$400,1),""))</f>
        <v/>
      </c>
      <c r="R125" s="43" t="str">
        <f aca="false">IF(OR($B125="",$C125=""),"",IFERROR(SUMIFS('KNOWIFY REVIEW'!$AH$4:$AH$400,'KNOWIFY REVIEW'!$AB$4:$AB$400,$B125,'KNOWIFY REVIEW'!$AC$4:$AC$400,IF(OR($C125=INPUTS!$B$69,$C125=INPUTS!$B$70),INPUTS!$B$71,$C125),'KNOWIFY REVIEW'!$AD$4:$AD$400,1)/SUMIFS('KNOWIFY REVIEW'!$AG$4:$AG$400,'KNOWIFY REVIEW'!$AB$4:$AB$400,$B125,'KNOWIFY REVIEW'!$AC$4:$AC$400,IF(OR($C125=INPUTS!$B$69,$C125=INPUTS!$B$70),INPUTS!$B$71,$C125),'KNOWIFY REVIEW'!$AD$4:$AD$400,1),""))</f>
        <v/>
      </c>
      <c r="S125" s="24" t="str">
        <f aca="false">IF(MAX(N($Q125),N($R125))&gt;1.1,"Past job ran over budget","")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38"/>
      <c r="F126" s="10"/>
      <c r="G126" s="39"/>
      <c r="H126" s="40"/>
      <c r="I126" s="39"/>
      <c r="J126" s="38"/>
      <c r="K126" s="10" t="s">
        <v>237</v>
      </c>
      <c r="L126" s="28" t="n">
        <f aca="false">($E126*$G126+$I126)*(1+IF($K126="N",0,INPUTS!$C$23))</f>
        <v>0</v>
      </c>
      <c r="M126" s="41" t="n">
        <f aca="false">$E126*$H126+$J126</f>
        <v>0</v>
      </c>
      <c r="N126" s="28" t="n">
        <f aca="false">$M126*IF(OR($B126="V",$B126="AC"),'LABOUR RATES'!$E$26,'LABOUR RATES'!$E$11)</f>
        <v>0</v>
      </c>
      <c r="O126" s="28" t="n">
        <f aca="false">$M126*IF(OR($B126="V",$B126="AC"),'LABOUR RATES'!$C$27,'LABOUR RATES'!$C$12)</f>
        <v>0</v>
      </c>
      <c r="P126" s="42" t="n">
        <f aca="false">$L126+$N126+$O126</f>
        <v>0</v>
      </c>
      <c r="Q126" s="43" t="str">
        <f aca="false">IF(OR($B126="",$C126=""),"",IFERROR(SUMIFS('KNOWIFY REVIEW'!$AF$4:$AF$400,'KNOWIFY REVIEW'!$AB$4:$AB$400,$B126,'KNOWIFY REVIEW'!$AC$4:$AC$400,$C126,'KNOWIFY REVIEW'!$AD$4:$AD$400,1)/SUMIFS('KNOWIFY REVIEW'!$AE$4:$AE$400,'KNOWIFY REVIEW'!$AB$4:$AB$400,$B126,'KNOWIFY REVIEW'!$AC$4:$AC$400,$C126,'KNOWIFY REVIEW'!$AD$4:$AD$400,1),""))</f>
        <v/>
      </c>
      <c r="R126" s="43" t="str">
        <f aca="false">IF(OR($B126="",$C126=""),"",IFERROR(SUMIFS('KNOWIFY REVIEW'!$AH$4:$AH$400,'KNOWIFY REVIEW'!$AB$4:$AB$400,$B126,'KNOWIFY REVIEW'!$AC$4:$AC$400,IF(OR($C126=INPUTS!$B$69,$C126=INPUTS!$B$70),INPUTS!$B$71,$C126),'KNOWIFY REVIEW'!$AD$4:$AD$400,1)/SUMIFS('KNOWIFY REVIEW'!$AG$4:$AG$400,'KNOWIFY REVIEW'!$AB$4:$AB$400,$B126,'KNOWIFY REVIEW'!$AC$4:$AC$400,IF(OR($C126=INPUTS!$B$69,$C126=INPUTS!$B$70),INPUTS!$B$71,$C126),'KNOWIFY REVIEW'!$AD$4:$AD$400,1),""))</f>
        <v/>
      </c>
      <c r="S126" s="24" t="str">
        <f aca="false">IF(MAX(N($Q126),N($R126))&gt;1.1,"Past job ran over budget","")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38"/>
      <c r="F127" s="10"/>
      <c r="G127" s="39"/>
      <c r="H127" s="40"/>
      <c r="I127" s="39"/>
      <c r="J127" s="38"/>
      <c r="K127" s="10" t="s">
        <v>237</v>
      </c>
      <c r="L127" s="28" t="n">
        <f aca="false">($E127*$G127+$I127)*(1+IF($K127="N",0,INPUTS!$C$23))</f>
        <v>0</v>
      </c>
      <c r="M127" s="41" t="n">
        <f aca="false">$E127*$H127+$J127</f>
        <v>0</v>
      </c>
      <c r="N127" s="28" t="n">
        <f aca="false">$M127*IF(OR($B127="V",$B127="AC"),'LABOUR RATES'!$E$26,'LABOUR RATES'!$E$11)</f>
        <v>0</v>
      </c>
      <c r="O127" s="28" t="n">
        <f aca="false">$M127*IF(OR($B127="V",$B127="AC"),'LABOUR RATES'!$C$27,'LABOUR RATES'!$C$12)</f>
        <v>0</v>
      </c>
      <c r="P127" s="42" t="n">
        <f aca="false">$L127+$N127+$O127</f>
        <v>0</v>
      </c>
      <c r="Q127" s="43" t="str">
        <f aca="false">IF(OR($B127="",$C127=""),"",IFERROR(SUMIFS('KNOWIFY REVIEW'!$AF$4:$AF$400,'KNOWIFY REVIEW'!$AB$4:$AB$400,$B127,'KNOWIFY REVIEW'!$AC$4:$AC$400,$C127,'KNOWIFY REVIEW'!$AD$4:$AD$400,1)/SUMIFS('KNOWIFY REVIEW'!$AE$4:$AE$400,'KNOWIFY REVIEW'!$AB$4:$AB$400,$B127,'KNOWIFY REVIEW'!$AC$4:$AC$400,$C127,'KNOWIFY REVIEW'!$AD$4:$AD$400,1),""))</f>
        <v/>
      </c>
      <c r="R127" s="43" t="str">
        <f aca="false">IF(OR($B127="",$C127=""),"",IFERROR(SUMIFS('KNOWIFY REVIEW'!$AH$4:$AH$400,'KNOWIFY REVIEW'!$AB$4:$AB$400,$B127,'KNOWIFY REVIEW'!$AC$4:$AC$400,IF(OR($C127=INPUTS!$B$69,$C127=INPUTS!$B$70),INPUTS!$B$71,$C127),'KNOWIFY REVIEW'!$AD$4:$AD$400,1)/SUMIFS('KNOWIFY REVIEW'!$AG$4:$AG$400,'KNOWIFY REVIEW'!$AB$4:$AB$400,$B127,'KNOWIFY REVIEW'!$AC$4:$AC$400,IF(OR($C127=INPUTS!$B$69,$C127=INPUTS!$B$70),INPUTS!$B$71,$C127),'KNOWIFY REVIEW'!$AD$4:$AD$400,1),""))</f>
        <v/>
      </c>
      <c r="S127" s="24" t="str">
        <f aca="false">IF(MAX(N($Q127),N($R127))&gt;1.1,"Past job ran over budget","")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38"/>
      <c r="F128" s="10"/>
      <c r="G128" s="39"/>
      <c r="H128" s="40"/>
      <c r="I128" s="39"/>
      <c r="J128" s="38"/>
      <c r="K128" s="10" t="s">
        <v>237</v>
      </c>
      <c r="L128" s="28" t="n">
        <f aca="false">($E128*$G128+$I128)*(1+IF($K128="N",0,INPUTS!$C$23))</f>
        <v>0</v>
      </c>
      <c r="M128" s="41" t="n">
        <f aca="false">$E128*$H128+$J128</f>
        <v>0</v>
      </c>
      <c r="N128" s="28" t="n">
        <f aca="false">$M128*IF(OR($B128="V",$B128="AC"),'LABOUR RATES'!$E$26,'LABOUR RATES'!$E$11)</f>
        <v>0</v>
      </c>
      <c r="O128" s="28" t="n">
        <f aca="false">$M128*IF(OR($B128="V",$B128="AC"),'LABOUR RATES'!$C$27,'LABOUR RATES'!$C$12)</f>
        <v>0</v>
      </c>
      <c r="P128" s="42" t="n">
        <f aca="false">$L128+$N128+$O128</f>
        <v>0</v>
      </c>
      <c r="Q128" s="43" t="str">
        <f aca="false">IF(OR($B128="",$C128=""),"",IFERROR(SUMIFS('KNOWIFY REVIEW'!$AF$4:$AF$400,'KNOWIFY REVIEW'!$AB$4:$AB$400,$B128,'KNOWIFY REVIEW'!$AC$4:$AC$400,$C128,'KNOWIFY REVIEW'!$AD$4:$AD$400,1)/SUMIFS('KNOWIFY REVIEW'!$AE$4:$AE$400,'KNOWIFY REVIEW'!$AB$4:$AB$400,$B128,'KNOWIFY REVIEW'!$AC$4:$AC$400,$C128,'KNOWIFY REVIEW'!$AD$4:$AD$400,1),""))</f>
        <v/>
      </c>
      <c r="R128" s="43" t="str">
        <f aca="false">IF(OR($B128="",$C128=""),"",IFERROR(SUMIFS('KNOWIFY REVIEW'!$AH$4:$AH$400,'KNOWIFY REVIEW'!$AB$4:$AB$400,$B128,'KNOWIFY REVIEW'!$AC$4:$AC$400,IF(OR($C128=INPUTS!$B$69,$C128=INPUTS!$B$70),INPUTS!$B$71,$C128),'KNOWIFY REVIEW'!$AD$4:$AD$400,1)/SUMIFS('KNOWIFY REVIEW'!$AG$4:$AG$400,'KNOWIFY REVIEW'!$AB$4:$AB$400,$B128,'KNOWIFY REVIEW'!$AC$4:$AC$400,IF(OR($C128=INPUTS!$B$69,$C128=INPUTS!$B$70),INPUTS!$B$71,$C128),'KNOWIFY REVIEW'!$AD$4:$AD$400,1),""))</f>
        <v/>
      </c>
      <c r="S128" s="24" t="str">
        <f aca="false">IF(MAX(N($Q128),N($R128))&gt;1.1,"Past job ran over budget","")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38"/>
      <c r="F129" s="10"/>
      <c r="G129" s="39"/>
      <c r="H129" s="40"/>
      <c r="I129" s="39"/>
      <c r="J129" s="38"/>
      <c r="K129" s="10" t="s">
        <v>237</v>
      </c>
      <c r="L129" s="28" t="n">
        <f aca="false">($E129*$G129+$I129)*(1+IF($K129="N",0,INPUTS!$C$23))</f>
        <v>0</v>
      </c>
      <c r="M129" s="41" t="n">
        <f aca="false">$E129*$H129+$J129</f>
        <v>0</v>
      </c>
      <c r="N129" s="28" t="n">
        <f aca="false">$M129*IF(OR($B129="V",$B129="AC"),'LABOUR RATES'!$E$26,'LABOUR RATES'!$E$11)</f>
        <v>0</v>
      </c>
      <c r="O129" s="28" t="n">
        <f aca="false">$M129*IF(OR($B129="V",$B129="AC"),'LABOUR RATES'!$C$27,'LABOUR RATES'!$C$12)</f>
        <v>0</v>
      </c>
      <c r="P129" s="42" t="n">
        <f aca="false">$L129+$N129+$O129</f>
        <v>0</v>
      </c>
      <c r="Q129" s="43" t="str">
        <f aca="false">IF(OR($B129="",$C129=""),"",IFERROR(SUMIFS('KNOWIFY REVIEW'!$AF$4:$AF$400,'KNOWIFY REVIEW'!$AB$4:$AB$400,$B129,'KNOWIFY REVIEW'!$AC$4:$AC$400,$C129,'KNOWIFY REVIEW'!$AD$4:$AD$400,1)/SUMIFS('KNOWIFY REVIEW'!$AE$4:$AE$400,'KNOWIFY REVIEW'!$AB$4:$AB$400,$B129,'KNOWIFY REVIEW'!$AC$4:$AC$400,$C129,'KNOWIFY REVIEW'!$AD$4:$AD$400,1),""))</f>
        <v/>
      </c>
      <c r="R129" s="43" t="str">
        <f aca="false">IF(OR($B129="",$C129=""),"",IFERROR(SUMIFS('KNOWIFY REVIEW'!$AH$4:$AH$400,'KNOWIFY REVIEW'!$AB$4:$AB$400,$B129,'KNOWIFY REVIEW'!$AC$4:$AC$400,IF(OR($C129=INPUTS!$B$69,$C129=INPUTS!$B$70),INPUTS!$B$71,$C129),'KNOWIFY REVIEW'!$AD$4:$AD$400,1)/SUMIFS('KNOWIFY REVIEW'!$AG$4:$AG$400,'KNOWIFY REVIEW'!$AB$4:$AB$400,$B129,'KNOWIFY REVIEW'!$AC$4:$AC$400,IF(OR($C129=INPUTS!$B$69,$C129=INPUTS!$B$70),INPUTS!$B$71,$C129),'KNOWIFY REVIEW'!$AD$4:$AD$400,1),""))</f>
        <v/>
      </c>
      <c r="S129" s="24" t="str">
        <f aca="false">IF(MAX(N($Q129),N($R129))&gt;1.1,"Past job ran over budget","")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38"/>
      <c r="F130" s="10"/>
      <c r="G130" s="39"/>
      <c r="H130" s="40"/>
      <c r="I130" s="39"/>
      <c r="J130" s="38"/>
      <c r="K130" s="10" t="s">
        <v>237</v>
      </c>
      <c r="L130" s="28" t="n">
        <f aca="false">($E130*$G130+$I130)*(1+IF($K130="N",0,INPUTS!$C$23))</f>
        <v>0</v>
      </c>
      <c r="M130" s="41" t="n">
        <f aca="false">$E130*$H130+$J130</f>
        <v>0</v>
      </c>
      <c r="N130" s="28" t="n">
        <f aca="false">$M130*IF(OR($B130="V",$B130="AC"),'LABOUR RATES'!$E$26,'LABOUR RATES'!$E$11)</f>
        <v>0</v>
      </c>
      <c r="O130" s="28" t="n">
        <f aca="false">$M130*IF(OR($B130="V",$B130="AC"),'LABOUR RATES'!$C$27,'LABOUR RATES'!$C$12)</f>
        <v>0</v>
      </c>
      <c r="P130" s="42" t="n">
        <f aca="false">$L130+$N130+$O130</f>
        <v>0</v>
      </c>
      <c r="Q130" s="43" t="str">
        <f aca="false">IF(OR($B130="",$C130=""),"",IFERROR(SUMIFS('KNOWIFY REVIEW'!$AF$4:$AF$400,'KNOWIFY REVIEW'!$AB$4:$AB$400,$B130,'KNOWIFY REVIEW'!$AC$4:$AC$400,$C130,'KNOWIFY REVIEW'!$AD$4:$AD$400,1)/SUMIFS('KNOWIFY REVIEW'!$AE$4:$AE$400,'KNOWIFY REVIEW'!$AB$4:$AB$400,$B130,'KNOWIFY REVIEW'!$AC$4:$AC$400,$C130,'KNOWIFY REVIEW'!$AD$4:$AD$400,1),""))</f>
        <v/>
      </c>
      <c r="R130" s="43" t="str">
        <f aca="false">IF(OR($B130="",$C130=""),"",IFERROR(SUMIFS('KNOWIFY REVIEW'!$AH$4:$AH$400,'KNOWIFY REVIEW'!$AB$4:$AB$400,$B130,'KNOWIFY REVIEW'!$AC$4:$AC$400,IF(OR($C130=INPUTS!$B$69,$C130=INPUTS!$B$70),INPUTS!$B$71,$C130),'KNOWIFY REVIEW'!$AD$4:$AD$400,1)/SUMIFS('KNOWIFY REVIEW'!$AG$4:$AG$400,'KNOWIFY REVIEW'!$AB$4:$AB$400,$B130,'KNOWIFY REVIEW'!$AC$4:$AC$400,IF(OR($C130=INPUTS!$B$69,$C130=INPUTS!$B$70),INPUTS!$B$71,$C130),'KNOWIFY REVIEW'!$AD$4:$AD$400,1),""))</f>
        <v/>
      </c>
      <c r="S130" s="24" t="str">
        <f aca="false">IF(MAX(N($Q130),N($R130))&gt;1.1,"Past job ran over budget","")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38"/>
      <c r="F131" s="10"/>
      <c r="G131" s="39"/>
      <c r="H131" s="40"/>
      <c r="I131" s="39"/>
      <c r="J131" s="38"/>
      <c r="K131" s="10" t="s">
        <v>237</v>
      </c>
      <c r="L131" s="28" t="n">
        <f aca="false">($E131*$G131+$I131)*(1+IF($K131="N",0,INPUTS!$C$23))</f>
        <v>0</v>
      </c>
      <c r="M131" s="41" t="n">
        <f aca="false">$E131*$H131+$J131</f>
        <v>0</v>
      </c>
      <c r="N131" s="28" t="n">
        <f aca="false">$M131*IF(OR($B131="V",$B131="AC"),'LABOUR RATES'!$E$26,'LABOUR RATES'!$E$11)</f>
        <v>0</v>
      </c>
      <c r="O131" s="28" t="n">
        <f aca="false">$M131*IF(OR($B131="V",$B131="AC"),'LABOUR RATES'!$C$27,'LABOUR RATES'!$C$12)</f>
        <v>0</v>
      </c>
      <c r="P131" s="42" t="n">
        <f aca="false">$L131+$N131+$O131</f>
        <v>0</v>
      </c>
      <c r="Q131" s="43" t="str">
        <f aca="false">IF(OR($B131="",$C131=""),"",IFERROR(SUMIFS('KNOWIFY REVIEW'!$AF$4:$AF$400,'KNOWIFY REVIEW'!$AB$4:$AB$400,$B131,'KNOWIFY REVIEW'!$AC$4:$AC$400,$C131,'KNOWIFY REVIEW'!$AD$4:$AD$400,1)/SUMIFS('KNOWIFY REVIEW'!$AE$4:$AE$400,'KNOWIFY REVIEW'!$AB$4:$AB$400,$B131,'KNOWIFY REVIEW'!$AC$4:$AC$400,$C131,'KNOWIFY REVIEW'!$AD$4:$AD$400,1),""))</f>
        <v/>
      </c>
      <c r="R131" s="43" t="str">
        <f aca="false">IF(OR($B131="",$C131=""),"",IFERROR(SUMIFS('KNOWIFY REVIEW'!$AH$4:$AH$400,'KNOWIFY REVIEW'!$AB$4:$AB$400,$B131,'KNOWIFY REVIEW'!$AC$4:$AC$400,IF(OR($C131=INPUTS!$B$69,$C131=INPUTS!$B$70),INPUTS!$B$71,$C131),'KNOWIFY REVIEW'!$AD$4:$AD$400,1)/SUMIFS('KNOWIFY REVIEW'!$AG$4:$AG$400,'KNOWIFY REVIEW'!$AB$4:$AB$400,$B131,'KNOWIFY REVIEW'!$AC$4:$AC$400,IF(OR($C131=INPUTS!$B$69,$C131=INPUTS!$B$70),INPUTS!$B$71,$C131),'KNOWIFY REVIEW'!$AD$4:$AD$400,1),""))</f>
        <v/>
      </c>
      <c r="S131" s="24" t="str">
        <f aca="false">IF(MAX(N($Q131),N($R131))&gt;1.1,"Past job ran over budget","")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38"/>
      <c r="F132" s="10"/>
      <c r="G132" s="39"/>
      <c r="H132" s="40"/>
      <c r="I132" s="39"/>
      <c r="J132" s="38"/>
      <c r="K132" s="10" t="s">
        <v>237</v>
      </c>
      <c r="L132" s="28" t="n">
        <f aca="false">($E132*$G132+$I132)*(1+IF($K132="N",0,INPUTS!$C$23))</f>
        <v>0</v>
      </c>
      <c r="M132" s="41" t="n">
        <f aca="false">$E132*$H132+$J132</f>
        <v>0</v>
      </c>
      <c r="N132" s="28" t="n">
        <f aca="false">$M132*IF(OR($B132="V",$B132="AC"),'LABOUR RATES'!$E$26,'LABOUR RATES'!$E$11)</f>
        <v>0</v>
      </c>
      <c r="O132" s="28" t="n">
        <f aca="false">$M132*IF(OR($B132="V",$B132="AC"),'LABOUR RATES'!$C$27,'LABOUR RATES'!$C$12)</f>
        <v>0</v>
      </c>
      <c r="P132" s="42" t="n">
        <f aca="false">$L132+$N132+$O132</f>
        <v>0</v>
      </c>
      <c r="Q132" s="43" t="str">
        <f aca="false">IF(OR($B132="",$C132=""),"",IFERROR(SUMIFS('KNOWIFY REVIEW'!$AF$4:$AF$400,'KNOWIFY REVIEW'!$AB$4:$AB$400,$B132,'KNOWIFY REVIEW'!$AC$4:$AC$400,$C132,'KNOWIFY REVIEW'!$AD$4:$AD$400,1)/SUMIFS('KNOWIFY REVIEW'!$AE$4:$AE$400,'KNOWIFY REVIEW'!$AB$4:$AB$400,$B132,'KNOWIFY REVIEW'!$AC$4:$AC$400,$C132,'KNOWIFY REVIEW'!$AD$4:$AD$400,1),""))</f>
        <v/>
      </c>
      <c r="R132" s="43" t="str">
        <f aca="false">IF(OR($B132="",$C132=""),"",IFERROR(SUMIFS('KNOWIFY REVIEW'!$AH$4:$AH$400,'KNOWIFY REVIEW'!$AB$4:$AB$400,$B132,'KNOWIFY REVIEW'!$AC$4:$AC$400,IF(OR($C132=INPUTS!$B$69,$C132=INPUTS!$B$70),INPUTS!$B$71,$C132),'KNOWIFY REVIEW'!$AD$4:$AD$400,1)/SUMIFS('KNOWIFY REVIEW'!$AG$4:$AG$400,'KNOWIFY REVIEW'!$AB$4:$AB$400,$B132,'KNOWIFY REVIEW'!$AC$4:$AC$400,IF(OR($C132=INPUTS!$B$69,$C132=INPUTS!$B$70),INPUTS!$B$71,$C132),'KNOWIFY REVIEW'!$AD$4:$AD$400,1),""))</f>
        <v/>
      </c>
      <c r="S132" s="24" t="str">
        <f aca="false">IF(MAX(N($Q132),N($R132))&gt;1.1,"Past job ran over budget","")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38"/>
      <c r="F133" s="10"/>
      <c r="G133" s="39"/>
      <c r="H133" s="40"/>
      <c r="I133" s="39"/>
      <c r="J133" s="38"/>
      <c r="K133" s="10" t="s">
        <v>237</v>
      </c>
      <c r="L133" s="28" t="n">
        <f aca="false">($E133*$G133+$I133)*(1+IF($K133="N",0,INPUTS!$C$23))</f>
        <v>0</v>
      </c>
      <c r="M133" s="41" t="n">
        <f aca="false">$E133*$H133+$J133</f>
        <v>0</v>
      </c>
      <c r="N133" s="28" t="n">
        <f aca="false">$M133*IF(OR($B133="V",$B133="AC"),'LABOUR RATES'!$E$26,'LABOUR RATES'!$E$11)</f>
        <v>0</v>
      </c>
      <c r="O133" s="28" t="n">
        <f aca="false">$M133*IF(OR($B133="V",$B133="AC"),'LABOUR RATES'!$C$27,'LABOUR RATES'!$C$12)</f>
        <v>0</v>
      </c>
      <c r="P133" s="42" t="n">
        <f aca="false">$L133+$N133+$O133</f>
        <v>0</v>
      </c>
      <c r="Q133" s="43" t="str">
        <f aca="false">IF(OR($B133="",$C133=""),"",IFERROR(SUMIFS('KNOWIFY REVIEW'!$AF$4:$AF$400,'KNOWIFY REVIEW'!$AB$4:$AB$400,$B133,'KNOWIFY REVIEW'!$AC$4:$AC$400,$C133,'KNOWIFY REVIEW'!$AD$4:$AD$400,1)/SUMIFS('KNOWIFY REVIEW'!$AE$4:$AE$400,'KNOWIFY REVIEW'!$AB$4:$AB$400,$B133,'KNOWIFY REVIEW'!$AC$4:$AC$400,$C133,'KNOWIFY REVIEW'!$AD$4:$AD$400,1),""))</f>
        <v/>
      </c>
      <c r="R133" s="43" t="str">
        <f aca="false">IF(OR($B133="",$C133=""),"",IFERROR(SUMIFS('KNOWIFY REVIEW'!$AH$4:$AH$400,'KNOWIFY REVIEW'!$AB$4:$AB$400,$B133,'KNOWIFY REVIEW'!$AC$4:$AC$400,IF(OR($C133=INPUTS!$B$69,$C133=INPUTS!$B$70),INPUTS!$B$71,$C133),'KNOWIFY REVIEW'!$AD$4:$AD$400,1)/SUMIFS('KNOWIFY REVIEW'!$AG$4:$AG$400,'KNOWIFY REVIEW'!$AB$4:$AB$400,$B133,'KNOWIFY REVIEW'!$AC$4:$AC$400,IF(OR($C133=INPUTS!$B$69,$C133=INPUTS!$B$70),INPUTS!$B$71,$C133),'KNOWIFY REVIEW'!$AD$4:$AD$400,1),""))</f>
        <v/>
      </c>
      <c r="S133" s="24" t="str">
        <f aca="false">IF(MAX(N($Q133),N($R133))&gt;1.1,"Past job ran over budget","")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38"/>
      <c r="F134" s="10"/>
      <c r="G134" s="39"/>
      <c r="H134" s="40"/>
      <c r="I134" s="39"/>
      <c r="J134" s="38"/>
      <c r="K134" s="10" t="s">
        <v>237</v>
      </c>
      <c r="L134" s="28" t="n">
        <f aca="false">($E134*$G134+$I134)*(1+IF($K134="N",0,INPUTS!$C$23))</f>
        <v>0</v>
      </c>
      <c r="M134" s="41" t="n">
        <f aca="false">$E134*$H134+$J134</f>
        <v>0</v>
      </c>
      <c r="N134" s="28" t="n">
        <f aca="false">$M134*IF(OR($B134="V",$B134="AC"),'LABOUR RATES'!$E$26,'LABOUR RATES'!$E$11)</f>
        <v>0</v>
      </c>
      <c r="O134" s="28" t="n">
        <f aca="false">$M134*IF(OR($B134="V",$B134="AC"),'LABOUR RATES'!$C$27,'LABOUR RATES'!$C$12)</f>
        <v>0</v>
      </c>
      <c r="P134" s="42" t="n">
        <f aca="false">$L134+$N134+$O134</f>
        <v>0</v>
      </c>
      <c r="Q134" s="43" t="str">
        <f aca="false">IF(OR($B134="",$C134=""),"",IFERROR(SUMIFS('KNOWIFY REVIEW'!$AF$4:$AF$400,'KNOWIFY REVIEW'!$AB$4:$AB$400,$B134,'KNOWIFY REVIEW'!$AC$4:$AC$400,$C134,'KNOWIFY REVIEW'!$AD$4:$AD$400,1)/SUMIFS('KNOWIFY REVIEW'!$AE$4:$AE$400,'KNOWIFY REVIEW'!$AB$4:$AB$400,$B134,'KNOWIFY REVIEW'!$AC$4:$AC$400,$C134,'KNOWIFY REVIEW'!$AD$4:$AD$400,1),""))</f>
        <v/>
      </c>
      <c r="R134" s="43" t="str">
        <f aca="false">IF(OR($B134="",$C134=""),"",IFERROR(SUMIFS('KNOWIFY REVIEW'!$AH$4:$AH$400,'KNOWIFY REVIEW'!$AB$4:$AB$400,$B134,'KNOWIFY REVIEW'!$AC$4:$AC$400,IF(OR($C134=INPUTS!$B$69,$C134=INPUTS!$B$70),INPUTS!$B$71,$C134),'KNOWIFY REVIEW'!$AD$4:$AD$400,1)/SUMIFS('KNOWIFY REVIEW'!$AG$4:$AG$400,'KNOWIFY REVIEW'!$AB$4:$AB$400,$B134,'KNOWIFY REVIEW'!$AC$4:$AC$400,IF(OR($C134=INPUTS!$B$69,$C134=INPUTS!$B$70),INPUTS!$B$71,$C134),'KNOWIFY REVIEW'!$AD$4:$AD$400,1),""))</f>
        <v/>
      </c>
      <c r="S134" s="24" t="str">
        <f aca="false">IF(MAX(N($Q134),N($R134))&gt;1.1,"Past job ran over budget","")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38"/>
      <c r="F135" s="10"/>
      <c r="G135" s="39"/>
      <c r="H135" s="40"/>
      <c r="I135" s="39"/>
      <c r="J135" s="38"/>
      <c r="K135" s="10" t="s">
        <v>237</v>
      </c>
      <c r="L135" s="28" t="n">
        <f aca="false">($E135*$G135+$I135)*(1+IF($K135="N",0,INPUTS!$C$23))</f>
        <v>0</v>
      </c>
      <c r="M135" s="41" t="n">
        <f aca="false">$E135*$H135+$J135</f>
        <v>0</v>
      </c>
      <c r="N135" s="28" t="n">
        <f aca="false">$M135*IF(OR($B135="V",$B135="AC"),'LABOUR RATES'!$E$26,'LABOUR RATES'!$E$11)</f>
        <v>0</v>
      </c>
      <c r="O135" s="28" t="n">
        <f aca="false">$M135*IF(OR($B135="V",$B135="AC"),'LABOUR RATES'!$C$27,'LABOUR RATES'!$C$12)</f>
        <v>0</v>
      </c>
      <c r="P135" s="42" t="n">
        <f aca="false">$L135+$N135+$O135</f>
        <v>0</v>
      </c>
      <c r="Q135" s="43" t="str">
        <f aca="false">IF(OR($B135="",$C135=""),"",IFERROR(SUMIFS('KNOWIFY REVIEW'!$AF$4:$AF$400,'KNOWIFY REVIEW'!$AB$4:$AB$400,$B135,'KNOWIFY REVIEW'!$AC$4:$AC$400,$C135,'KNOWIFY REVIEW'!$AD$4:$AD$400,1)/SUMIFS('KNOWIFY REVIEW'!$AE$4:$AE$400,'KNOWIFY REVIEW'!$AB$4:$AB$400,$B135,'KNOWIFY REVIEW'!$AC$4:$AC$400,$C135,'KNOWIFY REVIEW'!$AD$4:$AD$400,1),""))</f>
        <v/>
      </c>
      <c r="R135" s="43" t="str">
        <f aca="false">IF(OR($B135="",$C135=""),"",IFERROR(SUMIFS('KNOWIFY REVIEW'!$AH$4:$AH$400,'KNOWIFY REVIEW'!$AB$4:$AB$400,$B135,'KNOWIFY REVIEW'!$AC$4:$AC$400,IF(OR($C135=INPUTS!$B$69,$C135=INPUTS!$B$70),INPUTS!$B$71,$C135),'KNOWIFY REVIEW'!$AD$4:$AD$400,1)/SUMIFS('KNOWIFY REVIEW'!$AG$4:$AG$400,'KNOWIFY REVIEW'!$AB$4:$AB$400,$B135,'KNOWIFY REVIEW'!$AC$4:$AC$400,IF(OR($C135=INPUTS!$B$69,$C135=INPUTS!$B$70),INPUTS!$B$71,$C135),'KNOWIFY REVIEW'!$AD$4:$AD$400,1),""))</f>
        <v/>
      </c>
      <c r="S135" s="24" t="str">
        <f aca="false">IF(MAX(N($Q135),N($R135))&gt;1.1,"Past job ran over budget","")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38"/>
      <c r="F136" s="10"/>
      <c r="G136" s="39"/>
      <c r="H136" s="40"/>
      <c r="I136" s="39"/>
      <c r="J136" s="38"/>
      <c r="K136" s="10" t="s">
        <v>237</v>
      </c>
      <c r="L136" s="28" t="n">
        <f aca="false">($E136*$G136+$I136)*(1+IF($K136="N",0,INPUTS!$C$23))</f>
        <v>0</v>
      </c>
      <c r="M136" s="41" t="n">
        <f aca="false">$E136*$H136+$J136</f>
        <v>0</v>
      </c>
      <c r="N136" s="28" t="n">
        <f aca="false">$M136*IF(OR($B136="V",$B136="AC"),'LABOUR RATES'!$E$26,'LABOUR RATES'!$E$11)</f>
        <v>0</v>
      </c>
      <c r="O136" s="28" t="n">
        <f aca="false">$M136*IF(OR($B136="V",$B136="AC"),'LABOUR RATES'!$C$27,'LABOUR RATES'!$C$12)</f>
        <v>0</v>
      </c>
      <c r="P136" s="42" t="n">
        <f aca="false">$L136+$N136+$O136</f>
        <v>0</v>
      </c>
      <c r="Q136" s="43" t="str">
        <f aca="false">IF(OR($B136="",$C136=""),"",IFERROR(SUMIFS('KNOWIFY REVIEW'!$AF$4:$AF$400,'KNOWIFY REVIEW'!$AB$4:$AB$400,$B136,'KNOWIFY REVIEW'!$AC$4:$AC$400,$C136,'KNOWIFY REVIEW'!$AD$4:$AD$400,1)/SUMIFS('KNOWIFY REVIEW'!$AE$4:$AE$400,'KNOWIFY REVIEW'!$AB$4:$AB$400,$B136,'KNOWIFY REVIEW'!$AC$4:$AC$400,$C136,'KNOWIFY REVIEW'!$AD$4:$AD$400,1),""))</f>
        <v/>
      </c>
      <c r="R136" s="43" t="str">
        <f aca="false">IF(OR($B136="",$C136=""),"",IFERROR(SUMIFS('KNOWIFY REVIEW'!$AH$4:$AH$400,'KNOWIFY REVIEW'!$AB$4:$AB$400,$B136,'KNOWIFY REVIEW'!$AC$4:$AC$400,IF(OR($C136=INPUTS!$B$69,$C136=INPUTS!$B$70),INPUTS!$B$71,$C136),'KNOWIFY REVIEW'!$AD$4:$AD$400,1)/SUMIFS('KNOWIFY REVIEW'!$AG$4:$AG$400,'KNOWIFY REVIEW'!$AB$4:$AB$400,$B136,'KNOWIFY REVIEW'!$AC$4:$AC$400,IF(OR($C136=INPUTS!$B$69,$C136=INPUTS!$B$70),INPUTS!$B$71,$C136),'KNOWIFY REVIEW'!$AD$4:$AD$400,1),""))</f>
        <v/>
      </c>
      <c r="S136" s="24" t="str">
        <f aca="false">IF(MAX(N($Q136),N($R136))&gt;1.1,"Past job ran over budget","")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38"/>
      <c r="F137" s="10"/>
      <c r="G137" s="39"/>
      <c r="H137" s="40"/>
      <c r="I137" s="39"/>
      <c r="J137" s="38"/>
      <c r="K137" s="10" t="s">
        <v>237</v>
      </c>
      <c r="L137" s="28" t="n">
        <f aca="false">($E137*$G137+$I137)*(1+IF($K137="N",0,INPUTS!$C$23))</f>
        <v>0</v>
      </c>
      <c r="M137" s="41" t="n">
        <f aca="false">$E137*$H137+$J137</f>
        <v>0</v>
      </c>
      <c r="N137" s="28" t="n">
        <f aca="false">$M137*IF(OR($B137="V",$B137="AC"),'LABOUR RATES'!$E$26,'LABOUR RATES'!$E$11)</f>
        <v>0</v>
      </c>
      <c r="O137" s="28" t="n">
        <f aca="false">$M137*IF(OR($B137="V",$B137="AC"),'LABOUR RATES'!$C$27,'LABOUR RATES'!$C$12)</f>
        <v>0</v>
      </c>
      <c r="P137" s="42" t="n">
        <f aca="false">$L137+$N137+$O137</f>
        <v>0</v>
      </c>
      <c r="Q137" s="43" t="str">
        <f aca="false">IF(OR($B137="",$C137=""),"",IFERROR(SUMIFS('KNOWIFY REVIEW'!$AF$4:$AF$400,'KNOWIFY REVIEW'!$AB$4:$AB$400,$B137,'KNOWIFY REVIEW'!$AC$4:$AC$400,$C137,'KNOWIFY REVIEW'!$AD$4:$AD$400,1)/SUMIFS('KNOWIFY REVIEW'!$AE$4:$AE$400,'KNOWIFY REVIEW'!$AB$4:$AB$400,$B137,'KNOWIFY REVIEW'!$AC$4:$AC$400,$C137,'KNOWIFY REVIEW'!$AD$4:$AD$400,1),""))</f>
        <v/>
      </c>
      <c r="R137" s="43" t="str">
        <f aca="false">IF(OR($B137="",$C137=""),"",IFERROR(SUMIFS('KNOWIFY REVIEW'!$AH$4:$AH$400,'KNOWIFY REVIEW'!$AB$4:$AB$400,$B137,'KNOWIFY REVIEW'!$AC$4:$AC$400,IF(OR($C137=INPUTS!$B$69,$C137=INPUTS!$B$70),INPUTS!$B$71,$C137),'KNOWIFY REVIEW'!$AD$4:$AD$400,1)/SUMIFS('KNOWIFY REVIEW'!$AG$4:$AG$400,'KNOWIFY REVIEW'!$AB$4:$AB$400,$B137,'KNOWIFY REVIEW'!$AC$4:$AC$400,IF(OR($C137=INPUTS!$B$69,$C137=INPUTS!$B$70),INPUTS!$B$71,$C137),'KNOWIFY REVIEW'!$AD$4:$AD$400,1),""))</f>
        <v/>
      </c>
      <c r="S137" s="24" t="str">
        <f aca="false">IF(MAX(N($Q137),N($R137))&gt;1.1,"Past job ran over budget","")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38"/>
      <c r="F138" s="10"/>
      <c r="G138" s="39"/>
      <c r="H138" s="40"/>
      <c r="I138" s="39"/>
      <c r="J138" s="38"/>
      <c r="K138" s="10" t="s">
        <v>237</v>
      </c>
      <c r="L138" s="28" t="n">
        <f aca="false">($E138*$G138+$I138)*(1+IF($K138="N",0,INPUTS!$C$23))</f>
        <v>0</v>
      </c>
      <c r="M138" s="41" t="n">
        <f aca="false">$E138*$H138+$J138</f>
        <v>0</v>
      </c>
      <c r="N138" s="28" t="n">
        <f aca="false">$M138*IF(OR($B138="V",$B138="AC"),'LABOUR RATES'!$E$26,'LABOUR RATES'!$E$11)</f>
        <v>0</v>
      </c>
      <c r="O138" s="28" t="n">
        <f aca="false">$M138*IF(OR($B138="V",$B138="AC"),'LABOUR RATES'!$C$27,'LABOUR RATES'!$C$12)</f>
        <v>0</v>
      </c>
      <c r="P138" s="42" t="n">
        <f aca="false">$L138+$N138+$O138</f>
        <v>0</v>
      </c>
      <c r="Q138" s="43" t="str">
        <f aca="false">IF(OR($B138="",$C138=""),"",IFERROR(SUMIFS('KNOWIFY REVIEW'!$AF$4:$AF$400,'KNOWIFY REVIEW'!$AB$4:$AB$400,$B138,'KNOWIFY REVIEW'!$AC$4:$AC$400,$C138,'KNOWIFY REVIEW'!$AD$4:$AD$400,1)/SUMIFS('KNOWIFY REVIEW'!$AE$4:$AE$400,'KNOWIFY REVIEW'!$AB$4:$AB$400,$B138,'KNOWIFY REVIEW'!$AC$4:$AC$400,$C138,'KNOWIFY REVIEW'!$AD$4:$AD$400,1),""))</f>
        <v/>
      </c>
      <c r="R138" s="43" t="str">
        <f aca="false">IF(OR($B138="",$C138=""),"",IFERROR(SUMIFS('KNOWIFY REVIEW'!$AH$4:$AH$400,'KNOWIFY REVIEW'!$AB$4:$AB$400,$B138,'KNOWIFY REVIEW'!$AC$4:$AC$400,IF(OR($C138=INPUTS!$B$69,$C138=INPUTS!$B$70),INPUTS!$B$71,$C138),'KNOWIFY REVIEW'!$AD$4:$AD$400,1)/SUMIFS('KNOWIFY REVIEW'!$AG$4:$AG$400,'KNOWIFY REVIEW'!$AB$4:$AB$400,$B138,'KNOWIFY REVIEW'!$AC$4:$AC$400,IF(OR($C138=INPUTS!$B$69,$C138=INPUTS!$B$70),INPUTS!$B$71,$C138),'KNOWIFY REVIEW'!$AD$4:$AD$400,1),""))</f>
        <v/>
      </c>
      <c r="S138" s="24" t="str">
        <f aca="false">IF(MAX(N($Q138),N($R138))&gt;1.1,"Past job ran over budget","")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38"/>
      <c r="F139" s="10"/>
      <c r="G139" s="39"/>
      <c r="H139" s="40"/>
      <c r="I139" s="39"/>
      <c r="J139" s="38"/>
      <c r="K139" s="10" t="s">
        <v>237</v>
      </c>
      <c r="L139" s="28" t="n">
        <f aca="false">($E139*$G139+$I139)*(1+IF($K139="N",0,INPUTS!$C$23))</f>
        <v>0</v>
      </c>
      <c r="M139" s="41" t="n">
        <f aca="false">$E139*$H139+$J139</f>
        <v>0</v>
      </c>
      <c r="N139" s="28" t="n">
        <f aca="false">$M139*IF(OR($B139="V",$B139="AC"),'LABOUR RATES'!$E$26,'LABOUR RATES'!$E$11)</f>
        <v>0</v>
      </c>
      <c r="O139" s="28" t="n">
        <f aca="false">$M139*IF(OR($B139="V",$B139="AC"),'LABOUR RATES'!$C$27,'LABOUR RATES'!$C$12)</f>
        <v>0</v>
      </c>
      <c r="P139" s="42" t="n">
        <f aca="false">$L139+$N139+$O139</f>
        <v>0</v>
      </c>
      <c r="Q139" s="43" t="str">
        <f aca="false">IF(OR($B139="",$C139=""),"",IFERROR(SUMIFS('KNOWIFY REVIEW'!$AF$4:$AF$400,'KNOWIFY REVIEW'!$AB$4:$AB$400,$B139,'KNOWIFY REVIEW'!$AC$4:$AC$400,$C139,'KNOWIFY REVIEW'!$AD$4:$AD$400,1)/SUMIFS('KNOWIFY REVIEW'!$AE$4:$AE$400,'KNOWIFY REVIEW'!$AB$4:$AB$400,$B139,'KNOWIFY REVIEW'!$AC$4:$AC$400,$C139,'KNOWIFY REVIEW'!$AD$4:$AD$400,1),""))</f>
        <v/>
      </c>
      <c r="R139" s="43" t="str">
        <f aca="false">IF(OR($B139="",$C139=""),"",IFERROR(SUMIFS('KNOWIFY REVIEW'!$AH$4:$AH$400,'KNOWIFY REVIEW'!$AB$4:$AB$400,$B139,'KNOWIFY REVIEW'!$AC$4:$AC$400,IF(OR($C139=INPUTS!$B$69,$C139=INPUTS!$B$70),INPUTS!$B$71,$C139),'KNOWIFY REVIEW'!$AD$4:$AD$400,1)/SUMIFS('KNOWIFY REVIEW'!$AG$4:$AG$400,'KNOWIFY REVIEW'!$AB$4:$AB$400,$B139,'KNOWIFY REVIEW'!$AC$4:$AC$400,IF(OR($C139=INPUTS!$B$69,$C139=INPUTS!$B$70),INPUTS!$B$71,$C139),'KNOWIFY REVIEW'!$AD$4:$AD$400,1),""))</f>
        <v/>
      </c>
      <c r="S139" s="24" t="str">
        <f aca="false">IF(MAX(N($Q139),N($R139))&gt;1.1,"Past job ran over budget","")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38"/>
      <c r="F140" s="10"/>
      <c r="G140" s="39"/>
      <c r="H140" s="40"/>
      <c r="I140" s="39"/>
      <c r="J140" s="38"/>
      <c r="K140" s="10" t="s">
        <v>237</v>
      </c>
      <c r="L140" s="28" t="n">
        <f aca="false">($E140*$G140+$I140)*(1+IF($K140="N",0,INPUTS!$C$23))</f>
        <v>0</v>
      </c>
      <c r="M140" s="41" t="n">
        <f aca="false">$E140*$H140+$J140</f>
        <v>0</v>
      </c>
      <c r="N140" s="28" t="n">
        <f aca="false">$M140*IF(OR($B140="V",$B140="AC"),'LABOUR RATES'!$E$26,'LABOUR RATES'!$E$11)</f>
        <v>0</v>
      </c>
      <c r="O140" s="28" t="n">
        <f aca="false">$M140*IF(OR($B140="V",$B140="AC"),'LABOUR RATES'!$C$27,'LABOUR RATES'!$C$12)</f>
        <v>0</v>
      </c>
      <c r="P140" s="42" t="n">
        <f aca="false">$L140+$N140+$O140</f>
        <v>0</v>
      </c>
      <c r="Q140" s="43" t="str">
        <f aca="false">IF(OR($B140="",$C140=""),"",IFERROR(SUMIFS('KNOWIFY REVIEW'!$AF$4:$AF$400,'KNOWIFY REVIEW'!$AB$4:$AB$400,$B140,'KNOWIFY REVIEW'!$AC$4:$AC$400,$C140,'KNOWIFY REVIEW'!$AD$4:$AD$400,1)/SUMIFS('KNOWIFY REVIEW'!$AE$4:$AE$400,'KNOWIFY REVIEW'!$AB$4:$AB$400,$B140,'KNOWIFY REVIEW'!$AC$4:$AC$400,$C140,'KNOWIFY REVIEW'!$AD$4:$AD$400,1),""))</f>
        <v/>
      </c>
      <c r="R140" s="43" t="str">
        <f aca="false">IF(OR($B140="",$C140=""),"",IFERROR(SUMIFS('KNOWIFY REVIEW'!$AH$4:$AH$400,'KNOWIFY REVIEW'!$AB$4:$AB$400,$B140,'KNOWIFY REVIEW'!$AC$4:$AC$400,IF(OR($C140=INPUTS!$B$69,$C140=INPUTS!$B$70),INPUTS!$B$71,$C140),'KNOWIFY REVIEW'!$AD$4:$AD$400,1)/SUMIFS('KNOWIFY REVIEW'!$AG$4:$AG$400,'KNOWIFY REVIEW'!$AB$4:$AB$400,$B140,'KNOWIFY REVIEW'!$AC$4:$AC$400,IF(OR($C140=INPUTS!$B$69,$C140=INPUTS!$B$70),INPUTS!$B$71,$C140),'KNOWIFY REVIEW'!$AD$4:$AD$400,1),""))</f>
        <v/>
      </c>
      <c r="S140" s="24" t="str">
        <f aca="false">IF(MAX(N($Q140),N($R140))&gt;1.1,"Past job ran over budget","")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38"/>
      <c r="F141" s="10"/>
      <c r="G141" s="39"/>
      <c r="H141" s="40"/>
      <c r="I141" s="39"/>
      <c r="J141" s="38"/>
      <c r="K141" s="10" t="s">
        <v>237</v>
      </c>
      <c r="L141" s="28" t="n">
        <f aca="false">($E141*$G141+$I141)*(1+IF($K141="N",0,INPUTS!$C$23))</f>
        <v>0</v>
      </c>
      <c r="M141" s="41" t="n">
        <f aca="false">$E141*$H141+$J141</f>
        <v>0</v>
      </c>
      <c r="N141" s="28" t="n">
        <f aca="false">$M141*IF(OR($B141="V",$B141="AC"),'LABOUR RATES'!$E$26,'LABOUR RATES'!$E$11)</f>
        <v>0</v>
      </c>
      <c r="O141" s="28" t="n">
        <f aca="false">$M141*IF(OR($B141="V",$B141="AC"),'LABOUR RATES'!$C$27,'LABOUR RATES'!$C$12)</f>
        <v>0</v>
      </c>
      <c r="P141" s="42" t="n">
        <f aca="false">$L141+$N141+$O141</f>
        <v>0</v>
      </c>
      <c r="Q141" s="43" t="str">
        <f aca="false">IF(OR($B141="",$C141=""),"",IFERROR(SUMIFS('KNOWIFY REVIEW'!$AF$4:$AF$400,'KNOWIFY REVIEW'!$AB$4:$AB$400,$B141,'KNOWIFY REVIEW'!$AC$4:$AC$400,$C141,'KNOWIFY REVIEW'!$AD$4:$AD$400,1)/SUMIFS('KNOWIFY REVIEW'!$AE$4:$AE$400,'KNOWIFY REVIEW'!$AB$4:$AB$400,$B141,'KNOWIFY REVIEW'!$AC$4:$AC$400,$C141,'KNOWIFY REVIEW'!$AD$4:$AD$400,1),""))</f>
        <v/>
      </c>
      <c r="R141" s="43" t="str">
        <f aca="false">IF(OR($B141="",$C141=""),"",IFERROR(SUMIFS('KNOWIFY REVIEW'!$AH$4:$AH$400,'KNOWIFY REVIEW'!$AB$4:$AB$400,$B141,'KNOWIFY REVIEW'!$AC$4:$AC$400,IF(OR($C141=INPUTS!$B$69,$C141=INPUTS!$B$70),INPUTS!$B$71,$C141),'KNOWIFY REVIEW'!$AD$4:$AD$400,1)/SUMIFS('KNOWIFY REVIEW'!$AG$4:$AG$400,'KNOWIFY REVIEW'!$AB$4:$AB$400,$B141,'KNOWIFY REVIEW'!$AC$4:$AC$400,IF(OR($C141=INPUTS!$B$69,$C141=INPUTS!$B$70),INPUTS!$B$71,$C141),'KNOWIFY REVIEW'!$AD$4:$AD$400,1),""))</f>
        <v/>
      </c>
      <c r="S141" s="24" t="str">
        <f aca="false">IF(MAX(N($Q141),N($R141))&gt;1.1,"Past job ran over budget","")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38"/>
      <c r="F142" s="10"/>
      <c r="G142" s="39"/>
      <c r="H142" s="40"/>
      <c r="I142" s="39"/>
      <c r="J142" s="38"/>
      <c r="K142" s="10" t="s">
        <v>237</v>
      </c>
      <c r="L142" s="28" t="n">
        <f aca="false">($E142*$G142+$I142)*(1+IF($K142="N",0,INPUTS!$C$23))</f>
        <v>0</v>
      </c>
      <c r="M142" s="41" t="n">
        <f aca="false">$E142*$H142+$J142</f>
        <v>0</v>
      </c>
      <c r="N142" s="28" t="n">
        <f aca="false">$M142*IF(OR($B142="V",$B142="AC"),'LABOUR RATES'!$E$26,'LABOUR RATES'!$E$11)</f>
        <v>0</v>
      </c>
      <c r="O142" s="28" t="n">
        <f aca="false">$M142*IF(OR($B142="V",$B142="AC"),'LABOUR RATES'!$C$27,'LABOUR RATES'!$C$12)</f>
        <v>0</v>
      </c>
      <c r="P142" s="42" t="n">
        <f aca="false">$L142+$N142+$O142</f>
        <v>0</v>
      </c>
      <c r="Q142" s="43" t="str">
        <f aca="false">IF(OR($B142="",$C142=""),"",IFERROR(SUMIFS('KNOWIFY REVIEW'!$AF$4:$AF$400,'KNOWIFY REVIEW'!$AB$4:$AB$400,$B142,'KNOWIFY REVIEW'!$AC$4:$AC$400,$C142,'KNOWIFY REVIEW'!$AD$4:$AD$400,1)/SUMIFS('KNOWIFY REVIEW'!$AE$4:$AE$400,'KNOWIFY REVIEW'!$AB$4:$AB$400,$B142,'KNOWIFY REVIEW'!$AC$4:$AC$400,$C142,'KNOWIFY REVIEW'!$AD$4:$AD$400,1),""))</f>
        <v/>
      </c>
      <c r="R142" s="43" t="str">
        <f aca="false">IF(OR($B142="",$C142=""),"",IFERROR(SUMIFS('KNOWIFY REVIEW'!$AH$4:$AH$400,'KNOWIFY REVIEW'!$AB$4:$AB$400,$B142,'KNOWIFY REVIEW'!$AC$4:$AC$400,IF(OR($C142=INPUTS!$B$69,$C142=INPUTS!$B$70),INPUTS!$B$71,$C142),'KNOWIFY REVIEW'!$AD$4:$AD$400,1)/SUMIFS('KNOWIFY REVIEW'!$AG$4:$AG$400,'KNOWIFY REVIEW'!$AB$4:$AB$400,$B142,'KNOWIFY REVIEW'!$AC$4:$AC$400,IF(OR($C142=INPUTS!$B$69,$C142=INPUTS!$B$70),INPUTS!$B$71,$C142),'KNOWIFY REVIEW'!$AD$4:$AD$400,1),""))</f>
        <v/>
      </c>
      <c r="S142" s="24" t="str">
        <f aca="false">IF(MAX(N($Q142),N($R142))&gt;1.1,"Past job ran over budget","")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38"/>
      <c r="F143" s="10"/>
      <c r="G143" s="39"/>
      <c r="H143" s="40"/>
      <c r="I143" s="39"/>
      <c r="J143" s="38"/>
      <c r="K143" s="10" t="s">
        <v>237</v>
      </c>
      <c r="L143" s="28" t="n">
        <f aca="false">($E143*$G143+$I143)*(1+IF($K143="N",0,INPUTS!$C$23))</f>
        <v>0</v>
      </c>
      <c r="M143" s="41" t="n">
        <f aca="false">$E143*$H143+$J143</f>
        <v>0</v>
      </c>
      <c r="N143" s="28" t="n">
        <f aca="false">$M143*IF(OR($B143="V",$B143="AC"),'LABOUR RATES'!$E$26,'LABOUR RATES'!$E$11)</f>
        <v>0</v>
      </c>
      <c r="O143" s="28" t="n">
        <f aca="false">$M143*IF(OR($B143="V",$B143="AC"),'LABOUR RATES'!$C$27,'LABOUR RATES'!$C$12)</f>
        <v>0</v>
      </c>
      <c r="P143" s="42" t="n">
        <f aca="false">$L143+$N143+$O143</f>
        <v>0</v>
      </c>
      <c r="Q143" s="43" t="str">
        <f aca="false">IF(OR($B143="",$C143=""),"",IFERROR(SUMIFS('KNOWIFY REVIEW'!$AF$4:$AF$400,'KNOWIFY REVIEW'!$AB$4:$AB$400,$B143,'KNOWIFY REVIEW'!$AC$4:$AC$400,$C143,'KNOWIFY REVIEW'!$AD$4:$AD$400,1)/SUMIFS('KNOWIFY REVIEW'!$AE$4:$AE$400,'KNOWIFY REVIEW'!$AB$4:$AB$400,$B143,'KNOWIFY REVIEW'!$AC$4:$AC$400,$C143,'KNOWIFY REVIEW'!$AD$4:$AD$400,1),""))</f>
        <v/>
      </c>
      <c r="R143" s="43" t="str">
        <f aca="false">IF(OR($B143="",$C143=""),"",IFERROR(SUMIFS('KNOWIFY REVIEW'!$AH$4:$AH$400,'KNOWIFY REVIEW'!$AB$4:$AB$400,$B143,'KNOWIFY REVIEW'!$AC$4:$AC$400,IF(OR($C143=INPUTS!$B$69,$C143=INPUTS!$B$70),INPUTS!$B$71,$C143),'KNOWIFY REVIEW'!$AD$4:$AD$400,1)/SUMIFS('KNOWIFY REVIEW'!$AG$4:$AG$400,'KNOWIFY REVIEW'!$AB$4:$AB$400,$B143,'KNOWIFY REVIEW'!$AC$4:$AC$400,IF(OR($C143=INPUTS!$B$69,$C143=INPUTS!$B$70),INPUTS!$B$71,$C143),'KNOWIFY REVIEW'!$AD$4:$AD$400,1),""))</f>
        <v/>
      </c>
      <c r="S143" s="24" t="str">
        <f aca="false">IF(MAX(N($Q143),N($R143))&gt;1.1,"Past job ran over budget","")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38"/>
      <c r="F144" s="10"/>
      <c r="G144" s="39"/>
      <c r="H144" s="40"/>
      <c r="I144" s="39"/>
      <c r="J144" s="38"/>
      <c r="K144" s="10" t="s">
        <v>237</v>
      </c>
      <c r="L144" s="28" t="n">
        <f aca="false">($E144*$G144+$I144)*(1+IF($K144="N",0,INPUTS!$C$23))</f>
        <v>0</v>
      </c>
      <c r="M144" s="41" t="n">
        <f aca="false">$E144*$H144+$J144</f>
        <v>0</v>
      </c>
      <c r="N144" s="28" t="n">
        <f aca="false">$M144*IF(OR($B144="V",$B144="AC"),'LABOUR RATES'!$E$26,'LABOUR RATES'!$E$11)</f>
        <v>0</v>
      </c>
      <c r="O144" s="28" t="n">
        <f aca="false">$M144*IF(OR($B144="V",$B144="AC"),'LABOUR RATES'!$C$27,'LABOUR RATES'!$C$12)</f>
        <v>0</v>
      </c>
      <c r="P144" s="42" t="n">
        <f aca="false">$L144+$N144+$O144</f>
        <v>0</v>
      </c>
      <c r="Q144" s="43" t="str">
        <f aca="false">IF(OR($B144="",$C144=""),"",IFERROR(SUMIFS('KNOWIFY REVIEW'!$AF$4:$AF$400,'KNOWIFY REVIEW'!$AB$4:$AB$400,$B144,'KNOWIFY REVIEW'!$AC$4:$AC$400,$C144,'KNOWIFY REVIEW'!$AD$4:$AD$400,1)/SUMIFS('KNOWIFY REVIEW'!$AE$4:$AE$400,'KNOWIFY REVIEW'!$AB$4:$AB$400,$B144,'KNOWIFY REVIEW'!$AC$4:$AC$400,$C144,'KNOWIFY REVIEW'!$AD$4:$AD$400,1),""))</f>
        <v/>
      </c>
      <c r="R144" s="43" t="str">
        <f aca="false">IF(OR($B144="",$C144=""),"",IFERROR(SUMIFS('KNOWIFY REVIEW'!$AH$4:$AH$400,'KNOWIFY REVIEW'!$AB$4:$AB$400,$B144,'KNOWIFY REVIEW'!$AC$4:$AC$400,IF(OR($C144=INPUTS!$B$69,$C144=INPUTS!$B$70),INPUTS!$B$71,$C144),'KNOWIFY REVIEW'!$AD$4:$AD$400,1)/SUMIFS('KNOWIFY REVIEW'!$AG$4:$AG$400,'KNOWIFY REVIEW'!$AB$4:$AB$400,$B144,'KNOWIFY REVIEW'!$AC$4:$AC$400,IF(OR($C144=INPUTS!$B$69,$C144=INPUTS!$B$70),INPUTS!$B$71,$C144),'KNOWIFY REVIEW'!$AD$4:$AD$400,1),""))</f>
        <v/>
      </c>
      <c r="S144" s="24" t="str">
        <f aca="false">IF(MAX(N($Q144),N($R144))&gt;1.1,"Past job ran over budget","")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38"/>
      <c r="F145" s="10"/>
      <c r="G145" s="39"/>
      <c r="H145" s="40"/>
      <c r="I145" s="39"/>
      <c r="J145" s="38"/>
      <c r="K145" s="10" t="s">
        <v>237</v>
      </c>
      <c r="L145" s="28" t="n">
        <f aca="false">($E145*$G145+$I145)*(1+IF($K145="N",0,INPUTS!$C$23))</f>
        <v>0</v>
      </c>
      <c r="M145" s="41" t="n">
        <f aca="false">$E145*$H145+$J145</f>
        <v>0</v>
      </c>
      <c r="N145" s="28" t="n">
        <f aca="false">$M145*IF(OR($B145="V",$B145="AC"),'LABOUR RATES'!$E$26,'LABOUR RATES'!$E$11)</f>
        <v>0</v>
      </c>
      <c r="O145" s="28" t="n">
        <f aca="false">$M145*IF(OR($B145="V",$B145="AC"),'LABOUR RATES'!$C$27,'LABOUR RATES'!$C$12)</f>
        <v>0</v>
      </c>
      <c r="P145" s="42" t="n">
        <f aca="false">$L145+$N145+$O145</f>
        <v>0</v>
      </c>
      <c r="Q145" s="43" t="str">
        <f aca="false">IF(OR($B145="",$C145=""),"",IFERROR(SUMIFS('KNOWIFY REVIEW'!$AF$4:$AF$400,'KNOWIFY REVIEW'!$AB$4:$AB$400,$B145,'KNOWIFY REVIEW'!$AC$4:$AC$400,$C145,'KNOWIFY REVIEW'!$AD$4:$AD$400,1)/SUMIFS('KNOWIFY REVIEW'!$AE$4:$AE$400,'KNOWIFY REVIEW'!$AB$4:$AB$400,$B145,'KNOWIFY REVIEW'!$AC$4:$AC$400,$C145,'KNOWIFY REVIEW'!$AD$4:$AD$400,1),""))</f>
        <v/>
      </c>
      <c r="R145" s="43" t="str">
        <f aca="false">IF(OR($B145="",$C145=""),"",IFERROR(SUMIFS('KNOWIFY REVIEW'!$AH$4:$AH$400,'KNOWIFY REVIEW'!$AB$4:$AB$400,$B145,'KNOWIFY REVIEW'!$AC$4:$AC$400,IF(OR($C145=INPUTS!$B$69,$C145=INPUTS!$B$70),INPUTS!$B$71,$C145),'KNOWIFY REVIEW'!$AD$4:$AD$400,1)/SUMIFS('KNOWIFY REVIEW'!$AG$4:$AG$400,'KNOWIFY REVIEW'!$AB$4:$AB$400,$B145,'KNOWIFY REVIEW'!$AC$4:$AC$400,IF(OR($C145=INPUTS!$B$69,$C145=INPUTS!$B$70),INPUTS!$B$71,$C145),'KNOWIFY REVIEW'!$AD$4:$AD$400,1),""))</f>
        <v/>
      </c>
      <c r="S145" s="24" t="str">
        <f aca="false">IF(MAX(N($Q145),N($R145))&gt;1.1,"Past job ran over budget","")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38"/>
      <c r="F146" s="10"/>
      <c r="G146" s="39"/>
      <c r="H146" s="40"/>
      <c r="I146" s="39"/>
      <c r="J146" s="38"/>
      <c r="K146" s="10" t="s">
        <v>237</v>
      </c>
      <c r="L146" s="28" t="n">
        <f aca="false">($E146*$G146+$I146)*(1+IF($K146="N",0,INPUTS!$C$23))</f>
        <v>0</v>
      </c>
      <c r="M146" s="41" t="n">
        <f aca="false">$E146*$H146+$J146</f>
        <v>0</v>
      </c>
      <c r="N146" s="28" t="n">
        <f aca="false">$M146*IF(OR($B146="V",$B146="AC"),'LABOUR RATES'!$E$26,'LABOUR RATES'!$E$11)</f>
        <v>0</v>
      </c>
      <c r="O146" s="28" t="n">
        <f aca="false">$M146*IF(OR($B146="V",$B146="AC"),'LABOUR RATES'!$C$27,'LABOUR RATES'!$C$12)</f>
        <v>0</v>
      </c>
      <c r="P146" s="42" t="n">
        <f aca="false">$L146+$N146+$O146</f>
        <v>0</v>
      </c>
      <c r="Q146" s="43" t="str">
        <f aca="false">IF(OR($B146="",$C146=""),"",IFERROR(SUMIFS('KNOWIFY REVIEW'!$AF$4:$AF$400,'KNOWIFY REVIEW'!$AB$4:$AB$400,$B146,'KNOWIFY REVIEW'!$AC$4:$AC$400,$C146,'KNOWIFY REVIEW'!$AD$4:$AD$400,1)/SUMIFS('KNOWIFY REVIEW'!$AE$4:$AE$400,'KNOWIFY REVIEW'!$AB$4:$AB$400,$B146,'KNOWIFY REVIEW'!$AC$4:$AC$400,$C146,'KNOWIFY REVIEW'!$AD$4:$AD$400,1),""))</f>
        <v/>
      </c>
      <c r="R146" s="43" t="str">
        <f aca="false">IF(OR($B146="",$C146=""),"",IFERROR(SUMIFS('KNOWIFY REVIEW'!$AH$4:$AH$400,'KNOWIFY REVIEW'!$AB$4:$AB$400,$B146,'KNOWIFY REVIEW'!$AC$4:$AC$400,IF(OR($C146=INPUTS!$B$69,$C146=INPUTS!$B$70),INPUTS!$B$71,$C146),'KNOWIFY REVIEW'!$AD$4:$AD$400,1)/SUMIFS('KNOWIFY REVIEW'!$AG$4:$AG$400,'KNOWIFY REVIEW'!$AB$4:$AB$400,$B146,'KNOWIFY REVIEW'!$AC$4:$AC$400,IF(OR($C146=INPUTS!$B$69,$C146=INPUTS!$B$70),INPUTS!$B$71,$C146),'KNOWIFY REVIEW'!$AD$4:$AD$400,1),""))</f>
        <v/>
      </c>
      <c r="S146" s="24" t="str">
        <f aca="false">IF(MAX(N($Q146),N($R146))&gt;1.1,"Past job ran over budget","")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38"/>
      <c r="F147" s="10"/>
      <c r="G147" s="39"/>
      <c r="H147" s="40"/>
      <c r="I147" s="39"/>
      <c r="J147" s="38"/>
      <c r="K147" s="10" t="s">
        <v>237</v>
      </c>
      <c r="L147" s="28" t="n">
        <f aca="false">($E147*$G147+$I147)*(1+IF($K147="N",0,INPUTS!$C$23))</f>
        <v>0</v>
      </c>
      <c r="M147" s="41" t="n">
        <f aca="false">$E147*$H147+$J147</f>
        <v>0</v>
      </c>
      <c r="N147" s="28" t="n">
        <f aca="false">$M147*IF(OR($B147="V",$B147="AC"),'LABOUR RATES'!$E$26,'LABOUR RATES'!$E$11)</f>
        <v>0</v>
      </c>
      <c r="O147" s="28" t="n">
        <f aca="false">$M147*IF(OR($B147="V",$B147="AC"),'LABOUR RATES'!$C$27,'LABOUR RATES'!$C$12)</f>
        <v>0</v>
      </c>
      <c r="P147" s="42" t="n">
        <f aca="false">$L147+$N147+$O147</f>
        <v>0</v>
      </c>
      <c r="Q147" s="43" t="str">
        <f aca="false">IF(OR($B147="",$C147=""),"",IFERROR(SUMIFS('KNOWIFY REVIEW'!$AF$4:$AF$400,'KNOWIFY REVIEW'!$AB$4:$AB$400,$B147,'KNOWIFY REVIEW'!$AC$4:$AC$400,$C147,'KNOWIFY REVIEW'!$AD$4:$AD$400,1)/SUMIFS('KNOWIFY REVIEW'!$AE$4:$AE$400,'KNOWIFY REVIEW'!$AB$4:$AB$400,$B147,'KNOWIFY REVIEW'!$AC$4:$AC$400,$C147,'KNOWIFY REVIEW'!$AD$4:$AD$400,1),""))</f>
        <v/>
      </c>
      <c r="R147" s="43" t="str">
        <f aca="false">IF(OR($B147="",$C147=""),"",IFERROR(SUMIFS('KNOWIFY REVIEW'!$AH$4:$AH$400,'KNOWIFY REVIEW'!$AB$4:$AB$400,$B147,'KNOWIFY REVIEW'!$AC$4:$AC$400,IF(OR($C147=INPUTS!$B$69,$C147=INPUTS!$B$70),INPUTS!$B$71,$C147),'KNOWIFY REVIEW'!$AD$4:$AD$400,1)/SUMIFS('KNOWIFY REVIEW'!$AG$4:$AG$400,'KNOWIFY REVIEW'!$AB$4:$AB$400,$B147,'KNOWIFY REVIEW'!$AC$4:$AC$400,IF(OR($C147=INPUTS!$B$69,$C147=INPUTS!$B$70),INPUTS!$B$71,$C147),'KNOWIFY REVIEW'!$AD$4:$AD$400,1),""))</f>
        <v/>
      </c>
      <c r="S147" s="24" t="str">
        <f aca="false">IF(MAX(N($Q147),N($R147))&gt;1.1,"Past job ran over budget","")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38"/>
      <c r="F148" s="10"/>
      <c r="G148" s="39"/>
      <c r="H148" s="40"/>
      <c r="I148" s="39"/>
      <c r="J148" s="38"/>
      <c r="K148" s="10" t="s">
        <v>237</v>
      </c>
      <c r="L148" s="28" t="n">
        <f aca="false">($E148*$G148+$I148)*(1+IF($K148="N",0,INPUTS!$C$23))</f>
        <v>0</v>
      </c>
      <c r="M148" s="41" t="n">
        <f aca="false">$E148*$H148+$J148</f>
        <v>0</v>
      </c>
      <c r="N148" s="28" t="n">
        <f aca="false">$M148*IF(OR($B148="V",$B148="AC"),'LABOUR RATES'!$E$26,'LABOUR RATES'!$E$11)</f>
        <v>0</v>
      </c>
      <c r="O148" s="28" t="n">
        <f aca="false">$M148*IF(OR($B148="V",$B148="AC"),'LABOUR RATES'!$C$27,'LABOUR RATES'!$C$12)</f>
        <v>0</v>
      </c>
      <c r="P148" s="42" t="n">
        <f aca="false">$L148+$N148+$O148</f>
        <v>0</v>
      </c>
      <c r="Q148" s="43" t="str">
        <f aca="false">IF(OR($B148="",$C148=""),"",IFERROR(SUMIFS('KNOWIFY REVIEW'!$AF$4:$AF$400,'KNOWIFY REVIEW'!$AB$4:$AB$400,$B148,'KNOWIFY REVIEW'!$AC$4:$AC$400,$C148,'KNOWIFY REVIEW'!$AD$4:$AD$400,1)/SUMIFS('KNOWIFY REVIEW'!$AE$4:$AE$400,'KNOWIFY REVIEW'!$AB$4:$AB$400,$B148,'KNOWIFY REVIEW'!$AC$4:$AC$400,$C148,'KNOWIFY REVIEW'!$AD$4:$AD$400,1),""))</f>
        <v/>
      </c>
      <c r="R148" s="43" t="str">
        <f aca="false">IF(OR($B148="",$C148=""),"",IFERROR(SUMIFS('KNOWIFY REVIEW'!$AH$4:$AH$400,'KNOWIFY REVIEW'!$AB$4:$AB$400,$B148,'KNOWIFY REVIEW'!$AC$4:$AC$400,IF(OR($C148=INPUTS!$B$69,$C148=INPUTS!$B$70),INPUTS!$B$71,$C148),'KNOWIFY REVIEW'!$AD$4:$AD$400,1)/SUMIFS('KNOWIFY REVIEW'!$AG$4:$AG$400,'KNOWIFY REVIEW'!$AB$4:$AB$400,$B148,'KNOWIFY REVIEW'!$AC$4:$AC$400,IF(OR($C148=INPUTS!$B$69,$C148=INPUTS!$B$70),INPUTS!$B$71,$C148),'KNOWIFY REVIEW'!$AD$4:$AD$400,1),""))</f>
        <v/>
      </c>
      <c r="S148" s="24" t="str">
        <f aca="false">IF(MAX(N($Q148),N($R148))&gt;1.1,"Past job ran over budget","")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38"/>
      <c r="F149" s="10"/>
      <c r="G149" s="39"/>
      <c r="H149" s="40"/>
      <c r="I149" s="39"/>
      <c r="J149" s="38"/>
      <c r="K149" s="10" t="s">
        <v>237</v>
      </c>
      <c r="L149" s="28" t="n">
        <f aca="false">($E149*$G149+$I149)*(1+IF($K149="N",0,INPUTS!$C$23))</f>
        <v>0</v>
      </c>
      <c r="M149" s="41" t="n">
        <f aca="false">$E149*$H149+$J149</f>
        <v>0</v>
      </c>
      <c r="N149" s="28" t="n">
        <f aca="false">$M149*IF(OR($B149="V",$B149="AC"),'LABOUR RATES'!$E$26,'LABOUR RATES'!$E$11)</f>
        <v>0</v>
      </c>
      <c r="O149" s="28" t="n">
        <f aca="false">$M149*IF(OR($B149="V",$B149="AC"),'LABOUR RATES'!$C$27,'LABOUR RATES'!$C$12)</f>
        <v>0</v>
      </c>
      <c r="P149" s="42" t="n">
        <f aca="false">$L149+$N149+$O149</f>
        <v>0</v>
      </c>
      <c r="Q149" s="43" t="str">
        <f aca="false">IF(OR($B149="",$C149=""),"",IFERROR(SUMIFS('KNOWIFY REVIEW'!$AF$4:$AF$400,'KNOWIFY REVIEW'!$AB$4:$AB$400,$B149,'KNOWIFY REVIEW'!$AC$4:$AC$400,$C149,'KNOWIFY REVIEW'!$AD$4:$AD$400,1)/SUMIFS('KNOWIFY REVIEW'!$AE$4:$AE$400,'KNOWIFY REVIEW'!$AB$4:$AB$400,$B149,'KNOWIFY REVIEW'!$AC$4:$AC$400,$C149,'KNOWIFY REVIEW'!$AD$4:$AD$400,1),""))</f>
        <v/>
      </c>
      <c r="R149" s="43" t="str">
        <f aca="false">IF(OR($B149="",$C149=""),"",IFERROR(SUMIFS('KNOWIFY REVIEW'!$AH$4:$AH$400,'KNOWIFY REVIEW'!$AB$4:$AB$400,$B149,'KNOWIFY REVIEW'!$AC$4:$AC$400,IF(OR($C149=INPUTS!$B$69,$C149=INPUTS!$B$70),INPUTS!$B$71,$C149),'KNOWIFY REVIEW'!$AD$4:$AD$400,1)/SUMIFS('KNOWIFY REVIEW'!$AG$4:$AG$400,'KNOWIFY REVIEW'!$AB$4:$AB$400,$B149,'KNOWIFY REVIEW'!$AC$4:$AC$400,IF(OR($C149=INPUTS!$B$69,$C149=INPUTS!$B$70),INPUTS!$B$71,$C149),'KNOWIFY REVIEW'!$AD$4:$AD$400,1),""))</f>
        <v/>
      </c>
      <c r="S149" s="24" t="str">
        <f aca="false">IF(MAX(N($Q149),N($R149))&gt;1.1,"Past job ran over budget","")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38"/>
      <c r="F150" s="10"/>
      <c r="G150" s="39"/>
      <c r="H150" s="40"/>
      <c r="I150" s="39"/>
      <c r="J150" s="38"/>
      <c r="K150" s="10" t="s">
        <v>237</v>
      </c>
      <c r="L150" s="28" t="n">
        <f aca="false">($E150*$G150+$I150)*(1+IF($K150="N",0,INPUTS!$C$23))</f>
        <v>0</v>
      </c>
      <c r="M150" s="41" t="n">
        <f aca="false">$E150*$H150+$J150</f>
        <v>0</v>
      </c>
      <c r="N150" s="28" t="n">
        <f aca="false">$M150*IF(OR($B150="V",$B150="AC"),'LABOUR RATES'!$E$26,'LABOUR RATES'!$E$11)</f>
        <v>0</v>
      </c>
      <c r="O150" s="28" t="n">
        <f aca="false">$M150*IF(OR($B150="V",$B150="AC"),'LABOUR RATES'!$C$27,'LABOUR RATES'!$C$12)</f>
        <v>0</v>
      </c>
      <c r="P150" s="42" t="n">
        <f aca="false">$L150+$N150+$O150</f>
        <v>0</v>
      </c>
      <c r="Q150" s="43" t="str">
        <f aca="false">IF(OR($B150="",$C150=""),"",IFERROR(SUMIFS('KNOWIFY REVIEW'!$AF$4:$AF$400,'KNOWIFY REVIEW'!$AB$4:$AB$400,$B150,'KNOWIFY REVIEW'!$AC$4:$AC$400,$C150,'KNOWIFY REVIEW'!$AD$4:$AD$400,1)/SUMIFS('KNOWIFY REVIEW'!$AE$4:$AE$400,'KNOWIFY REVIEW'!$AB$4:$AB$400,$B150,'KNOWIFY REVIEW'!$AC$4:$AC$400,$C150,'KNOWIFY REVIEW'!$AD$4:$AD$400,1),""))</f>
        <v/>
      </c>
      <c r="R150" s="43" t="str">
        <f aca="false">IF(OR($B150="",$C150=""),"",IFERROR(SUMIFS('KNOWIFY REVIEW'!$AH$4:$AH$400,'KNOWIFY REVIEW'!$AB$4:$AB$400,$B150,'KNOWIFY REVIEW'!$AC$4:$AC$400,IF(OR($C150=INPUTS!$B$69,$C150=INPUTS!$B$70),INPUTS!$B$71,$C150),'KNOWIFY REVIEW'!$AD$4:$AD$400,1)/SUMIFS('KNOWIFY REVIEW'!$AG$4:$AG$400,'KNOWIFY REVIEW'!$AB$4:$AB$400,$B150,'KNOWIFY REVIEW'!$AC$4:$AC$400,IF(OR($C150=INPUTS!$B$69,$C150=INPUTS!$B$70),INPUTS!$B$71,$C150),'KNOWIFY REVIEW'!$AD$4:$AD$400,1),""))</f>
        <v/>
      </c>
      <c r="S150" s="24" t="str">
        <f aca="false">IF(MAX(N($Q150),N($R150))&gt;1.1,"Past job ran over budget","")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38"/>
      <c r="F151" s="10"/>
      <c r="G151" s="39"/>
      <c r="H151" s="40"/>
      <c r="I151" s="39"/>
      <c r="J151" s="38"/>
      <c r="K151" s="10" t="s">
        <v>237</v>
      </c>
      <c r="L151" s="28" t="n">
        <f aca="false">($E151*$G151+$I151)*(1+IF($K151="N",0,INPUTS!$C$23))</f>
        <v>0</v>
      </c>
      <c r="M151" s="41" t="n">
        <f aca="false">$E151*$H151+$J151</f>
        <v>0</v>
      </c>
      <c r="N151" s="28" t="n">
        <f aca="false">$M151*IF(OR($B151="V",$B151="AC"),'LABOUR RATES'!$E$26,'LABOUR RATES'!$E$11)</f>
        <v>0</v>
      </c>
      <c r="O151" s="28" t="n">
        <f aca="false">$M151*IF(OR($B151="V",$B151="AC"),'LABOUR RATES'!$C$27,'LABOUR RATES'!$C$12)</f>
        <v>0</v>
      </c>
      <c r="P151" s="42" t="n">
        <f aca="false">$L151+$N151+$O151</f>
        <v>0</v>
      </c>
      <c r="Q151" s="43" t="str">
        <f aca="false">IF(OR($B151="",$C151=""),"",IFERROR(SUMIFS('KNOWIFY REVIEW'!$AF$4:$AF$400,'KNOWIFY REVIEW'!$AB$4:$AB$400,$B151,'KNOWIFY REVIEW'!$AC$4:$AC$400,$C151,'KNOWIFY REVIEW'!$AD$4:$AD$400,1)/SUMIFS('KNOWIFY REVIEW'!$AE$4:$AE$400,'KNOWIFY REVIEW'!$AB$4:$AB$400,$B151,'KNOWIFY REVIEW'!$AC$4:$AC$400,$C151,'KNOWIFY REVIEW'!$AD$4:$AD$400,1),""))</f>
        <v/>
      </c>
      <c r="R151" s="43" t="str">
        <f aca="false">IF(OR($B151="",$C151=""),"",IFERROR(SUMIFS('KNOWIFY REVIEW'!$AH$4:$AH$400,'KNOWIFY REVIEW'!$AB$4:$AB$400,$B151,'KNOWIFY REVIEW'!$AC$4:$AC$400,IF(OR($C151=INPUTS!$B$69,$C151=INPUTS!$B$70),INPUTS!$B$71,$C151),'KNOWIFY REVIEW'!$AD$4:$AD$400,1)/SUMIFS('KNOWIFY REVIEW'!$AG$4:$AG$400,'KNOWIFY REVIEW'!$AB$4:$AB$400,$B151,'KNOWIFY REVIEW'!$AC$4:$AC$400,IF(OR($C151=INPUTS!$B$69,$C151=INPUTS!$B$70),INPUTS!$B$71,$C151),'KNOWIFY REVIEW'!$AD$4:$AD$400,1),""))</f>
        <v/>
      </c>
      <c r="S151" s="24" t="str">
        <f aca="false">IF(MAX(N($Q151),N($R151))&gt;1.1,"Past job ran over budget","")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38"/>
      <c r="F152" s="10"/>
      <c r="G152" s="39"/>
      <c r="H152" s="40"/>
      <c r="I152" s="39"/>
      <c r="J152" s="38"/>
      <c r="K152" s="10" t="s">
        <v>237</v>
      </c>
      <c r="L152" s="28" t="n">
        <f aca="false">($E152*$G152+$I152)*(1+IF($K152="N",0,INPUTS!$C$23))</f>
        <v>0</v>
      </c>
      <c r="M152" s="41" t="n">
        <f aca="false">$E152*$H152+$J152</f>
        <v>0</v>
      </c>
      <c r="N152" s="28" t="n">
        <f aca="false">$M152*IF(OR($B152="V",$B152="AC"),'LABOUR RATES'!$E$26,'LABOUR RATES'!$E$11)</f>
        <v>0</v>
      </c>
      <c r="O152" s="28" t="n">
        <f aca="false">$M152*IF(OR($B152="V",$B152="AC"),'LABOUR RATES'!$C$27,'LABOUR RATES'!$C$12)</f>
        <v>0</v>
      </c>
      <c r="P152" s="42" t="n">
        <f aca="false">$L152+$N152+$O152</f>
        <v>0</v>
      </c>
      <c r="Q152" s="43" t="str">
        <f aca="false">IF(OR($B152="",$C152=""),"",IFERROR(SUMIFS('KNOWIFY REVIEW'!$AF$4:$AF$400,'KNOWIFY REVIEW'!$AB$4:$AB$400,$B152,'KNOWIFY REVIEW'!$AC$4:$AC$400,$C152,'KNOWIFY REVIEW'!$AD$4:$AD$400,1)/SUMIFS('KNOWIFY REVIEW'!$AE$4:$AE$400,'KNOWIFY REVIEW'!$AB$4:$AB$400,$B152,'KNOWIFY REVIEW'!$AC$4:$AC$400,$C152,'KNOWIFY REVIEW'!$AD$4:$AD$400,1),""))</f>
        <v/>
      </c>
      <c r="R152" s="43" t="str">
        <f aca="false">IF(OR($B152="",$C152=""),"",IFERROR(SUMIFS('KNOWIFY REVIEW'!$AH$4:$AH$400,'KNOWIFY REVIEW'!$AB$4:$AB$400,$B152,'KNOWIFY REVIEW'!$AC$4:$AC$400,IF(OR($C152=INPUTS!$B$69,$C152=INPUTS!$B$70),INPUTS!$B$71,$C152),'KNOWIFY REVIEW'!$AD$4:$AD$400,1)/SUMIFS('KNOWIFY REVIEW'!$AG$4:$AG$400,'KNOWIFY REVIEW'!$AB$4:$AB$400,$B152,'KNOWIFY REVIEW'!$AC$4:$AC$400,IF(OR($C152=INPUTS!$B$69,$C152=INPUTS!$B$70),INPUTS!$B$71,$C152),'KNOWIFY REVIEW'!$AD$4:$AD$400,1),""))</f>
        <v/>
      </c>
      <c r="S152" s="24" t="str">
        <f aca="false">IF(MAX(N($Q152),N($R152))&gt;1.1,"Past job ran over budget","")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38"/>
      <c r="F153" s="10"/>
      <c r="G153" s="39"/>
      <c r="H153" s="40"/>
      <c r="I153" s="39"/>
      <c r="J153" s="38"/>
      <c r="K153" s="10" t="s">
        <v>237</v>
      </c>
      <c r="L153" s="28" t="n">
        <f aca="false">($E153*$G153+$I153)*(1+IF($K153="N",0,INPUTS!$C$23))</f>
        <v>0</v>
      </c>
      <c r="M153" s="41" t="n">
        <f aca="false">$E153*$H153+$J153</f>
        <v>0</v>
      </c>
      <c r="N153" s="28" t="n">
        <f aca="false">$M153*IF(OR($B153="V",$B153="AC"),'LABOUR RATES'!$E$26,'LABOUR RATES'!$E$11)</f>
        <v>0</v>
      </c>
      <c r="O153" s="28" t="n">
        <f aca="false">$M153*IF(OR($B153="V",$B153="AC"),'LABOUR RATES'!$C$27,'LABOUR RATES'!$C$12)</f>
        <v>0</v>
      </c>
      <c r="P153" s="42" t="n">
        <f aca="false">$L153+$N153+$O153</f>
        <v>0</v>
      </c>
      <c r="Q153" s="43" t="str">
        <f aca="false">IF(OR($B153="",$C153=""),"",IFERROR(SUMIFS('KNOWIFY REVIEW'!$AF$4:$AF$400,'KNOWIFY REVIEW'!$AB$4:$AB$400,$B153,'KNOWIFY REVIEW'!$AC$4:$AC$400,$C153,'KNOWIFY REVIEW'!$AD$4:$AD$400,1)/SUMIFS('KNOWIFY REVIEW'!$AE$4:$AE$400,'KNOWIFY REVIEW'!$AB$4:$AB$400,$B153,'KNOWIFY REVIEW'!$AC$4:$AC$400,$C153,'KNOWIFY REVIEW'!$AD$4:$AD$400,1),""))</f>
        <v/>
      </c>
      <c r="R153" s="43" t="str">
        <f aca="false">IF(OR($B153="",$C153=""),"",IFERROR(SUMIFS('KNOWIFY REVIEW'!$AH$4:$AH$400,'KNOWIFY REVIEW'!$AB$4:$AB$400,$B153,'KNOWIFY REVIEW'!$AC$4:$AC$400,IF(OR($C153=INPUTS!$B$69,$C153=INPUTS!$B$70),INPUTS!$B$71,$C153),'KNOWIFY REVIEW'!$AD$4:$AD$400,1)/SUMIFS('KNOWIFY REVIEW'!$AG$4:$AG$400,'KNOWIFY REVIEW'!$AB$4:$AB$400,$B153,'KNOWIFY REVIEW'!$AC$4:$AC$400,IF(OR($C153=INPUTS!$B$69,$C153=INPUTS!$B$70),INPUTS!$B$71,$C153),'KNOWIFY REVIEW'!$AD$4:$AD$400,1),""))</f>
        <v/>
      </c>
      <c r="S153" s="24" t="str">
        <f aca="false">IF(MAX(N($Q153),N($R153))&gt;1.1,"Past job ran over budget","")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38"/>
      <c r="F154" s="10"/>
      <c r="G154" s="39"/>
      <c r="H154" s="40"/>
      <c r="I154" s="39"/>
      <c r="J154" s="38"/>
      <c r="K154" s="10" t="s">
        <v>237</v>
      </c>
      <c r="L154" s="28" t="n">
        <f aca="false">($E154*$G154+$I154)*(1+IF($K154="N",0,INPUTS!$C$23))</f>
        <v>0</v>
      </c>
      <c r="M154" s="41" t="n">
        <f aca="false">$E154*$H154+$J154</f>
        <v>0</v>
      </c>
      <c r="N154" s="28" t="n">
        <f aca="false">$M154*IF(OR($B154="V",$B154="AC"),'LABOUR RATES'!$E$26,'LABOUR RATES'!$E$11)</f>
        <v>0</v>
      </c>
      <c r="O154" s="28" t="n">
        <f aca="false">$M154*IF(OR($B154="V",$B154="AC"),'LABOUR RATES'!$C$27,'LABOUR RATES'!$C$12)</f>
        <v>0</v>
      </c>
      <c r="P154" s="42" t="n">
        <f aca="false">$L154+$N154+$O154</f>
        <v>0</v>
      </c>
      <c r="Q154" s="43" t="str">
        <f aca="false">IF(OR($B154="",$C154=""),"",IFERROR(SUMIFS('KNOWIFY REVIEW'!$AF$4:$AF$400,'KNOWIFY REVIEW'!$AB$4:$AB$400,$B154,'KNOWIFY REVIEW'!$AC$4:$AC$400,$C154,'KNOWIFY REVIEW'!$AD$4:$AD$400,1)/SUMIFS('KNOWIFY REVIEW'!$AE$4:$AE$400,'KNOWIFY REVIEW'!$AB$4:$AB$400,$B154,'KNOWIFY REVIEW'!$AC$4:$AC$400,$C154,'KNOWIFY REVIEW'!$AD$4:$AD$400,1),""))</f>
        <v/>
      </c>
      <c r="R154" s="43" t="str">
        <f aca="false">IF(OR($B154="",$C154=""),"",IFERROR(SUMIFS('KNOWIFY REVIEW'!$AH$4:$AH$400,'KNOWIFY REVIEW'!$AB$4:$AB$400,$B154,'KNOWIFY REVIEW'!$AC$4:$AC$400,IF(OR($C154=INPUTS!$B$69,$C154=INPUTS!$B$70),INPUTS!$B$71,$C154),'KNOWIFY REVIEW'!$AD$4:$AD$400,1)/SUMIFS('KNOWIFY REVIEW'!$AG$4:$AG$400,'KNOWIFY REVIEW'!$AB$4:$AB$400,$B154,'KNOWIFY REVIEW'!$AC$4:$AC$400,IF(OR($C154=INPUTS!$B$69,$C154=INPUTS!$B$70),INPUTS!$B$71,$C154),'KNOWIFY REVIEW'!$AD$4:$AD$400,1),""))</f>
        <v/>
      </c>
      <c r="S154" s="24" t="str">
        <f aca="false">IF(MAX(N($Q154),N($R154))&gt;1.1,"Past job ran over budget","")</f>
        <v/>
      </c>
    </row>
    <row r="155" customFormat="false" ht="15" hidden="false" customHeight="false" outlineLevel="0" collapsed="false">
      <c r="A155" s="10"/>
      <c r="B155" s="10"/>
      <c r="C155" s="10"/>
      <c r="D155" s="10"/>
      <c r="E155" s="38"/>
      <c r="F155" s="10"/>
      <c r="G155" s="39"/>
      <c r="H155" s="40"/>
      <c r="I155" s="39"/>
      <c r="J155" s="38"/>
      <c r="K155" s="10" t="s">
        <v>237</v>
      </c>
      <c r="L155" s="28" t="n">
        <f aca="false">($E155*$G155+$I155)*(1+IF($K155="N",0,INPUTS!$C$23))</f>
        <v>0</v>
      </c>
      <c r="M155" s="41" t="n">
        <f aca="false">$E155*$H155+$J155</f>
        <v>0</v>
      </c>
      <c r="N155" s="28" t="n">
        <f aca="false">$M155*IF(OR($B155="V",$B155="AC"),'LABOUR RATES'!$E$26,'LABOUR RATES'!$E$11)</f>
        <v>0</v>
      </c>
      <c r="O155" s="28" t="n">
        <f aca="false">$M155*IF(OR($B155="V",$B155="AC"),'LABOUR RATES'!$C$27,'LABOUR RATES'!$C$12)</f>
        <v>0</v>
      </c>
      <c r="P155" s="42" t="n">
        <f aca="false">$L155+$N155+$O155</f>
        <v>0</v>
      </c>
      <c r="Q155" s="43" t="str">
        <f aca="false">IF(OR($B155="",$C155=""),"",IFERROR(SUMIFS('KNOWIFY REVIEW'!$AF$4:$AF$400,'KNOWIFY REVIEW'!$AB$4:$AB$400,$B155,'KNOWIFY REVIEW'!$AC$4:$AC$400,$C155,'KNOWIFY REVIEW'!$AD$4:$AD$400,1)/SUMIFS('KNOWIFY REVIEW'!$AE$4:$AE$400,'KNOWIFY REVIEW'!$AB$4:$AB$400,$B155,'KNOWIFY REVIEW'!$AC$4:$AC$400,$C155,'KNOWIFY REVIEW'!$AD$4:$AD$400,1),""))</f>
        <v/>
      </c>
      <c r="R155" s="43" t="str">
        <f aca="false">IF(OR($B155="",$C155=""),"",IFERROR(SUMIFS('KNOWIFY REVIEW'!$AH$4:$AH$400,'KNOWIFY REVIEW'!$AB$4:$AB$400,$B155,'KNOWIFY REVIEW'!$AC$4:$AC$400,IF(OR($C155=INPUTS!$B$69,$C155=INPUTS!$B$70),INPUTS!$B$71,$C155),'KNOWIFY REVIEW'!$AD$4:$AD$400,1)/SUMIFS('KNOWIFY REVIEW'!$AG$4:$AG$400,'KNOWIFY REVIEW'!$AB$4:$AB$400,$B155,'KNOWIFY REVIEW'!$AC$4:$AC$400,IF(OR($C155=INPUTS!$B$69,$C155=INPUTS!$B$70),INPUTS!$B$71,$C155),'KNOWIFY REVIEW'!$AD$4:$AD$400,1),""))</f>
        <v/>
      </c>
      <c r="S155" s="24" t="str">
        <f aca="false">IF(MAX(N($Q155),N($R155))&gt;1.1,"Past job ran over budget","")</f>
        <v/>
      </c>
    </row>
    <row r="156" customFormat="false" ht="15" hidden="false" customHeight="false" outlineLevel="0" collapsed="false">
      <c r="A156" s="10"/>
      <c r="B156" s="10"/>
      <c r="C156" s="10"/>
      <c r="D156" s="10"/>
      <c r="E156" s="38"/>
      <c r="F156" s="10"/>
      <c r="G156" s="39"/>
      <c r="H156" s="40"/>
      <c r="I156" s="39"/>
      <c r="J156" s="38"/>
      <c r="K156" s="10" t="s">
        <v>237</v>
      </c>
      <c r="L156" s="28" t="n">
        <f aca="false">($E156*$G156+$I156)*(1+IF($K156="N",0,INPUTS!$C$23))</f>
        <v>0</v>
      </c>
      <c r="M156" s="41" t="n">
        <f aca="false">$E156*$H156+$J156</f>
        <v>0</v>
      </c>
      <c r="N156" s="28" t="n">
        <f aca="false">$M156*IF(OR($B156="V",$B156="AC"),'LABOUR RATES'!$E$26,'LABOUR RATES'!$E$11)</f>
        <v>0</v>
      </c>
      <c r="O156" s="28" t="n">
        <f aca="false">$M156*IF(OR($B156="V",$B156="AC"),'LABOUR RATES'!$C$27,'LABOUR RATES'!$C$12)</f>
        <v>0</v>
      </c>
      <c r="P156" s="42" t="n">
        <f aca="false">$L156+$N156+$O156</f>
        <v>0</v>
      </c>
      <c r="Q156" s="43" t="str">
        <f aca="false">IF(OR($B156="",$C156=""),"",IFERROR(SUMIFS('KNOWIFY REVIEW'!$AF$4:$AF$400,'KNOWIFY REVIEW'!$AB$4:$AB$400,$B156,'KNOWIFY REVIEW'!$AC$4:$AC$400,$C156,'KNOWIFY REVIEW'!$AD$4:$AD$400,1)/SUMIFS('KNOWIFY REVIEW'!$AE$4:$AE$400,'KNOWIFY REVIEW'!$AB$4:$AB$400,$B156,'KNOWIFY REVIEW'!$AC$4:$AC$400,$C156,'KNOWIFY REVIEW'!$AD$4:$AD$400,1),""))</f>
        <v/>
      </c>
      <c r="R156" s="43" t="str">
        <f aca="false">IF(OR($B156="",$C156=""),"",IFERROR(SUMIFS('KNOWIFY REVIEW'!$AH$4:$AH$400,'KNOWIFY REVIEW'!$AB$4:$AB$400,$B156,'KNOWIFY REVIEW'!$AC$4:$AC$400,IF(OR($C156=INPUTS!$B$69,$C156=INPUTS!$B$70),INPUTS!$B$71,$C156),'KNOWIFY REVIEW'!$AD$4:$AD$400,1)/SUMIFS('KNOWIFY REVIEW'!$AG$4:$AG$400,'KNOWIFY REVIEW'!$AB$4:$AB$400,$B156,'KNOWIFY REVIEW'!$AC$4:$AC$400,IF(OR($C156=INPUTS!$B$69,$C156=INPUTS!$B$70),INPUTS!$B$71,$C156),'KNOWIFY REVIEW'!$AD$4:$AD$400,1),""))</f>
        <v/>
      </c>
      <c r="S156" s="24" t="str">
        <f aca="false">IF(MAX(N($Q156),N($R156))&gt;1.1,"Past job ran over budget","")</f>
        <v/>
      </c>
    </row>
  </sheetData>
  <autoFilter ref="A6:S156"/>
  <conditionalFormatting sqref="Q7:Q156">
    <cfRule type="expression" priority="2" aboveAverage="0" equalAverage="0" bottom="0" percent="0" rank="0" text="" dxfId="10">
      <formula>AND(ISNUMBER(Q7),Q7&gt;1.1)</formula>
    </cfRule>
  </conditionalFormatting>
  <conditionalFormatting sqref="R7:R156">
    <cfRule type="expression" priority="3" aboveAverage="0" equalAverage="0" bottom="0" percent="0" rank="0" text="" dxfId="10">
      <formula>AND(ISNUMBER(R7),R7&gt;1.1)</formula>
    </cfRule>
  </conditionalFormatting>
  <dataValidations count="3">
    <dataValidation allowBlank="true" errorStyle="stop" operator="between" showDropDown="false" showErrorMessage="false" showInputMessage="false" sqref="B7:B156" type="list">
      <formula1>INPUTS!$C$33:$C$36</formula1>
      <formula2>0</formula2>
    </dataValidation>
    <dataValidation allowBlank="true" errorStyle="stop" operator="between" showDropDown="false" showErrorMessage="false" showInputMessage="false" sqref="C7:C156" type="list">
      <formula1>INPUTS!$B$67:$B$75</formula1>
      <formula2>0</formula2>
    </dataValidation>
    <dataValidation allowBlank="true" errorStyle="stop" operator="between" showDropDown="false" showErrorMessage="false" showInputMessage="false" sqref="K7:K15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S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8" min="17" style="0" width="13"/>
    <col collapsed="false" customWidth="true" hidden="false" outlineLevel="0" max="19" min="19" style="0" width="22"/>
  </cols>
  <sheetData>
    <row r="1" customFormat="false" ht="17.35" hidden="false" customHeight="false" outlineLevel="0" collapsed="false">
      <c r="A1" s="1" t="s">
        <v>326</v>
      </c>
    </row>
    <row r="2" customFormat="false" ht="15" hidden="false" customHeight="false" outlineLevel="0" collapsed="false">
      <c r="A2" s="2" t="s">
        <v>327</v>
      </c>
    </row>
    <row r="3" customFormat="false" ht="15" hidden="false" customHeight="false" outlineLevel="0" collapsed="false">
      <c r="A3" s="4" t="s">
        <v>214</v>
      </c>
      <c r="L3" s="36" t="n">
        <f aca="false">SUM(L7:L156)</f>
        <v>0</v>
      </c>
      <c r="M3" s="37" t="n">
        <f aca="false">SUM(M7:M156)</f>
        <v>0</v>
      </c>
      <c r="N3" s="36" t="n">
        <f aca="false">SUM(N7:N156)</f>
        <v>0</v>
      </c>
      <c r="O3" s="36" t="n">
        <f aca="false">SUM(O7:O156)</f>
        <v>0</v>
      </c>
      <c r="P3" s="36" t="n">
        <f aca="false">SUM(P7:P156)</f>
        <v>0</v>
      </c>
    </row>
    <row r="4" customFormat="false" ht="15" hidden="false" customHeight="false" outlineLevel="0" collapsed="false">
      <c r="A4" s="2" t="s">
        <v>215</v>
      </c>
    </row>
    <row r="6" customFormat="false" ht="30" hidden="false" customHeight="true" outlineLevel="0" collapsed="false">
      <c r="A6" s="17" t="s">
        <v>216</v>
      </c>
      <c r="B6" s="17" t="s">
        <v>217</v>
      </c>
      <c r="C6" s="17" t="s">
        <v>218</v>
      </c>
      <c r="D6" s="17" t="s">
        <v>219</v>
      </c>
      <c r="E6" s="17" t="s">
        <v>220</v>
      </c>
      <c r="F6" s="17" t="s">
        <v>221</v>
      </c>
      <c r="G6" s="17" t="s">
        <v>222</v>
      </c>
      <c r="H6" s="17" t="s">
        <v>223</v>
      </c>
      <c r="I6" s="17" t="s">
        <v>224</v>
      </c>
      <c r="J6" s="17" t="s">
        <v>225</v>
      </c>
      <c r="K6" s="17" t="s">
        <v>226</v>
      </c>
      <c r="L6" s="17" t="s">
        <v>227</v>
      </c>
      <c r="M6" s="17" t="s">
        <v>178</v>
      </c>
      <c r="N6" s="17" t="s">
        <v>228</v>
      </c>
      <c r="O6" s="17" t="s">
        <v>229</v>
      </c>
      <c r="P6" s="17" t="s">
        <v>230</v>
      </c>
      <c r="Q6" s="17" t="s">
        <v>231</v>
      </c>
      <c r="R6" s="17" t="s">
        <v>232</v>
      </c>
      <c r="S6" s="17" t="s">
        <v>233</v>
      </c>
    </row>
    <row r="7" customFormat="false" ht="15" hidden="false" customHeight="false" outlineLevel="0" collapsed="false">
      <c r="A7" s="10" t="s">
        <v>328</v>
      </c>
      <c r="B7" s="10" t="s">
        <v>102</v>
      </c>
      <c r="C7" s="10" t="s">
        <v>150</v>
      </c>
      <c r="D7" s="10" t="s">
        <v>329</v>
      </c>
      <c r="E7" s="38"/>
      <c r="F7" s="10" t="s">
        <v>330</v>
      </c>
      <c r="G7" s="39"/>
      <c r="H7" s="40"/>
      <c r="I7" s="39"/>
      <c r="J7" s="38"/>
      <c r="K7" s="10" t="s">
        <v>237</v>
      </c>
      <c r="L7" s="28" t="n">
        <f aca="false">($E7*$G7+$I7)*(1+IF($K7="N",0,INPUTS!$C$23))</f>
        <v>0</v>
      </c>
      <c r="M7" s="41" t="n">
        <f aca="false">$E7*$H7+$J7</f>
        <v>0</v>
      </c>
      <c r="N7" s="28" t="n">
        <f aca="false">$M7*IF(OR($B7="V",$B7="AC"),'LABOUR RATES'!$E$26,'LABOUR RATES'!$E$11)</f>
        <v>0</v>
      </c>
      <c r="O7" s="28" t="n">
        <f aca="false">$M7*IF(OR($B7="V",$B7="AC"),'LABOUR RATES'!$C$27,'LABOUR RATES'!$C$12)</f>
        <v>0</v>
      </c>
      <c r="P7" s="42" t="n">
        <f aca="false">$L7+$N7+$O7</f>
        <v>0</v>
      </c>
      <c r="Q7" s="43" t="n">
        <f aca="false">IF(OR($B7="",$C7=""),"",IFERROR(SUMIFS('KNOWIFY REVIEW'!$AF$4:$AF$400,'KNOWIFY REVIEW'!$AB$4:$AB$400,$B7,'KNOWIFY REVIEW'!$AC$4:$AC$400,$C7,'KNOWIFY REVIEW'!$AD$4:$AD$400,1)/SUMIFS('KNOWIFY REVIEW'!$AE$4:$AE$400,'KNOWIFY REVIEW'!$AB$4:$AB$400,$B7,'KNOWIFY REVIEW'!$AC$4:$AC$400,$C7,'KNOWIFY REVIEW'!$AD$4:$AD$400,1),""))</f>
        <v>1.7282942</v>
      </c>
      <c r="R7" s="43" t="n">
        <f aca="false">IF(OR($B7="",$C7=""),"",IFERROR(SUMIFS('KNOWIFY REVIEW'!$AH$4:$AH$400,'KNOWIFY REVIEW'!$AB$4:$AB$400,$B7,'KNOWIFY REVIEW'!$AC$4:$AC$400,IF(OR($C7=INPUTS!$B$69,$C7=INPUTS!$B$70),INPUTS!$B$71,$C7),'KNOWIFY REVIEW'!$AD$4:$AD$400,1)/SUMIFS('KNOWIFY REVIEW'!$AG$4:$AG$400,'KNOWIFY REVIEW'!$AB$4:$AB$400,$B7,'KNOWIFY REVIEW'!$AC$4:$AC$400,IF(OR($C7=INPUTS!$B$69,$C7=INPUTS!$B$70),INPUTS!$B$71,$C7),'KNOWIFY REVIEW'!$AD$4:$AD$400,1),""))</f>
        <v>1.89189746666667</v>
      </c>
      <c r="S7" s="24" t="str">
        <f aca="false">IF(MAX(N($Q7),N($R7))&gt;1.1,"Past job ran over budget","")</f>
        <v>Past job ran over budget</v>
      </c>
    </row>
    <row r="8" customFormat="false" ht="15" hidden="false" customHeight="false" outlineLevel="0" collapsed="false">
      <c r="A8" s="10" t="s">
        <v>331</v>
      </c>
      <c r="B8" s="10" t="s">
        <v>102</v>
      </c>
      <c r="C8" s="10" t="s">
        <v>150</v>
      </c>
      <c r="D8" s="10" t="s">
        <v>332</v>
      </c>
      <c r="E8" s="38"/>
      <c r="F8" s="10" t="s">
        <v>273</v>
      </c>
      <c r="G8" s="39"/>
      <c r="H8" s="40"/>
      <c r="I8" s="39"/>
      <c r="J8" s="38"/>
      <c r="K8" s="10" t="s">
        <v>237</v>
      </c>
      <c r="L8" s="28" t="n">
        <f aca="false">($E8*$G8+$I8)*(1+IF($K8="N",0,INPUTS!$C$23))</f>
        <v>0</v>
      </c>
      <c r="M8" s="41" t="n">
        <f aca="false">$E8*$H8+$J8</f>
        <v>0</v>
      </c>
      <c r="N8" s="28" t="n">
        <f aca="false">$M8*IF(OR($B8="V",$B8="AC"),'LABOUR RATES'!$E$26,'LABOUR RATES'!$E$11)</f>
        <v>0</v>
      </c>
      <c r="O8" s="28" t="n">
        <f aca="false">$M8*IF(OR($B8="V",$B8="AC"),'LABOUR RATES'!$C$27,'LABOUR RATES'!$C$12)</f>
        <v>0</v>
      </c>
      <c r="P8" s="42" t="n">
        <f aca="false">$L8+$N8+$O8</f>
        <v>0</v>
      </c>
      <c r="Q8" s="43" t="n">
        <f aca="false">IF(OR($B8="",$C8=""),"",IFERROR(SUMIFS('KNOWIFY REVIEW'!$AF$4:$AF$400,'KNOWIFY REVIEW'!$AB$4:$AB$400,$B8,'KNOWIFY REVIEW'!$AC$4:$AC$400,$C8,'KNOWIFY REVIEW'!$AD$4:$AD$400,1)/SUMIFS('KNOWIFY REVIEW'!$AE$4:$AE$400,'KNOWIFY REVIEW'!$AB$4:$AB$400,$B8,'KNOWIFY REVIEW'!$AC$4:$AC$400,$C8,'KNOWIFY REVIEW'!$AD$4:$AD$400,1),""))</f>
        <v>1.7282942</v>
      </c>
      <c r="R8" s="43" t="n">
        <f aca="false">IF(OR($B8="",$C8=""),"",IFERROR(SUMIFS('KNOWIFY REVIEW'!$AH$4:$AH$400,'KNOWIFY REVIEW'!$AB$4:$AB$400,$B8,'KNOWIFY REVIEW'!$AC$4:$AC$400,IF(OR($C8=INPUTS!$B$69,$C8=INPUTS!$B$70),INPUTS!$B$71,$C8),'KNOWIFY REVIEW'!$AD$4:$AD$400,1)/SUMIFS('KNOWIFY REVIEW'!$AG$4:$AG$400,'KNOWIFY REVIEW'!$AB$4:$AB$400,$B8,'KNOWIFY REVIEW'!$AC$4:$AC$400,IF(OR($C8=INPUTS!$B$69,$C8=INPUTS!$B$70),INPUTS!$B$71,$C8),'KNOWIFY REVIEW'!$AD$4:$AD$400,1),""))</f>
        <v>1.89189746666667</v>
      </c>
      <c r="S8" s="24" t="str">
        <f aca="false">IF(MAX(N($Q8),N($R8))&gt;1.1,"Past job ran over budget","")</f>
        <v>Past job ran over budget</v>
      </c>
    </row>
    <row r="9" customFormat="false" ht="15" hidden="false" customHeight="false" outlineLevel="0" collapsed="false">
      <c r="A9" s="10" t="s">
        <v>333</v>
      </c>
      <c r="B9" s="10" t="s">
        <v>102</v>
      </c>
      <c r="C9" s="10" t="s">
        <v>150</v>
      </c>
      <c r="D9" s="10" t="s">
        <v>334</v>
      </c>
      <c r="E9" s="38"/>
      <c r="F9" s="10" t="s">
        <v>276</v>
      </c>
      <c r="G9" s="39"/>
      <c r="H9" s="40"/>
      <c r="I9" s="39"/>
      <c r="J9" s="38"/>
      <c r="K9" s="10" t="s">
        <v>237</v>
      </c>
      <c r="L9" s="28" t="n">
        <f aca="false">($E9*$G9+$I9)*(1+IF($K9="N",0,INPUTS!$C$23))</f>
        <v>0</v>
      </c>
      <c r="M9" s="41" t="n">
        <f aca="false">$E9*$H9+$J9</f>
        <v>0</v>
      </c>
      <c r="N9" s="28" t="n">
        <f aca="false">$M9*IF(OR($B9="V",$B9="AC"),'LABOUR RATES'!$E$26,'LABOUR RATES'!$E$11)</f>
        <v>0</v>
      </c>
      <c r="O9" s="28" t="n">
        <f aca="false">$M9*IF(OR($B9="V",$B9="AC"),'LABOUR RATES'!$C$27,'LABOUR RATES'!$C$12)</f>
        <v>0</v>
      </c>
      <c r="P9" s="42" t="n">
        <f aca="false">$L9+$N9+$O9</f>
        <v>0</v>
      </c>
      <c r="Q9" s="43" t="n">
        <f aca="false">IF(OR($B9="",$C9=""),"",IFERROR(SUMIFS('KNOWIFY REVIEW'!$AF$4:$AF$400,'KNOWIFY REVIEW'!$AB$4:$AB$400,$B9,'KNOWIFY REVIEW'!$AC$4:$AC$400,$C9,'KNOWIFY REVIEW'!$AD$4:$AD$400,1)/SUMIFS('KNOWIFY REVIEW'!$AE$4:$AE$400,'KNOWIFY REVIEW'!$AB$4:$AB$400,$B9,'KNOWIFY REVIEW'!$AC$4:$AC$400,$C9,'KNOWIFY REVIEW'!$AD$4:$AD$400,1),""))</f>
        <v>1.7282942</v>
      </c>
      <c r="R9" s="43" t="n">
        <f aca="false">IF(OR($B9="",$C9=""),"",IFERROR(SUMIFS('KNOWIFY REVIEW'!$AH$4:$AH$400,'KNOWIFY REVIEW'!$AB$4:$AB$400,$B9,'KNOWIFY REVIEW'!$AC$4:$AC$400,IF(OR($C9=INPUTS!$B$69,$C9=INPUTS!$B$70),INPUTS!$B$71,$C9),'KNOWIFY REVIEW'!$AD$4:$AD$400,1)/SUMIFS('KNOWIFY REVIEW'!$AG$4:$AG$400,'KNOWIFY REVIEW'!$AB$4:$AB$400,$B9,'KNOWIFY REVIEW'!$AC$4:$AC$400,IF(OR($C9=INPUTS!$B$69,$C9=INPUTS!$B$70),INPUTS!$B$71,$C9),'KNOWIFY REVIEW'!$AD$4:$AD$400,1),""))</f>
        <v>1.89189746666667</v>
      </c>
      <c r="S9" s="24" t="str">
        <f aca="false">IF(MAX(N($Q9),N($R9))&gt;1.1,"Past job ran over budget","")</f>
        <v>Past job ran over budget</v>
      </c>
    </row>
    <row r="10" customFormat="false" ht="15" hidden="false" customHeight="false" outlineLevel="0" collapsed="false">
      <c r="A10" s="10" t="s">
        <v>335</v>
      </c>
      <c r="B10" s="10" t="s">
        <v>102</v>
      </c>
      <c r="C10" s="10" t="s">
        <v>150</v>
      </c>
      <c r="D10" s="10" t="s">
        <v>336</v>
      </c>
      <c r="E10" s="38"/>
      <c r="F10" s="10" t="s">
        <v>276</v>
      </c>
      <c r="G10" s="39"/>
      <c r="H10" s="40"/>
      <c r="I10" s="39"/>
      <c r="J10" s="38"/>
      <c r="K10" s="10" t="s">
        <v>237</v>
      </c>
      <c r="L10" s="28" t="n">
        <f aca="false">($E10*$G10+$I10)*(1+IF($K10="N",0,INPUTS!$C$23))</f>
        <v>0</v>
      </c>
      <c r="M10" s="41" t="n">
        <f aca="false">$E10*$H10+$J10</f>
        <v>0</v>
      </c>
      <c r="N10" s="28" t="n">
        <f aca="false">$M10*IF(OR($B10="V",$B10="AC"),'LABOUR RATES'!$E$26,'LABOUR RATES'!$E$11)</f>
        <v>0</v>
      </c>
      <c r="O10" s="28" t="n">
        <f aca="false">$M10*IF(OR($B10="V",$B10="AC"),'LABOUR RATES'!$C$27,'LABOUR RATES'!$C$12)</f>
        <v>0</v>
      </c>
      <c r="P10" s="42" t="n">
        <f aca="false">$L10+$N10+$O10</f>
        <v>0</v>
      </c>
      <c r="Q10" s="43" t="n">
        <f aca="false">IF(OR($B10="",$C10=""),"",IFERROR(SUMIFS('KNOWIFY REVIEW'!$AF$4:$AF$400,'KNOWIFY REVIEW'!$AB$4:$AB$400,$B10,'KNOWIFY REVIEW'!$AC$4:$AC$400,$C10,'KNOWIFY REVIEW'!$AD$4:$AD$400,1)/SUMIFS('KNOWIFY REVIEW'!$AE$4:$AE$400,'KNOWIFY REVIEW'!$AB$4:$AB$400,$B10,'KNOWIFY REVIEW'!$AC$4:$AC$400,$C10,'KNOWIFY REVIEW'!$AD$4:$AD$400,1),""))</f>
        <v>1.7282942</v>
      </c>
      <c r="R10" s="43" t="n">
        <f aca="false">IF(OR($B10="",$C10=""),"",IFERROR(SUMIFS('KNOWIFY REVIEW'!$AH$4:$AH$400,'KNOWIFY REVIEW'!$AB$4:$AB$400,$B10,'KNOWIFY REVIEW'!$AC$4:$AC$400,IF(OR($C10=INPUTS!$B$69,$C10=INPUTS!$B$70),INPUTS!$B$71,$C10),'KNOWIFY REVIEW'!$AD$4:$AD$400,1)/SUMIFS('KNOWIFY REVIEW'!$AG$4:$AG$400,'KNOWIFY REVIEW'!$AB$4:$AB$400,$B10,'KNOWIFY REVIEW'!$AC$4:$AC$400,IF(OR($C10=INPUTS!$B$69,$C10=INPUTS!$B$70),INPUTS!$B$71,$C10),'KNOWIFY REVIEW'!$AD$4:$AD$400,1),""))</f>
        <v>1.89189746666667</v>
      </c>
      <c r="S10" s="24" t="str">
        <f aca="false">IF(MAX(N($Q10),N($R10))&gt;1.1,"Past job ran over budget","")</f>
        <v>Past job ran over budget</v>
      </c>
    </row>
    <row r="11" customFormat="false" ht="15" hidden="false" customHeight="false" outlineLevel="0" collapsed="false">
      <c r="A11" s="10" t="s">
        <v>337</v>
      </c>
      <c r="B11" s="10" t="s">
        <v>102</v>
      </c>
      <c r="C11" s="10" t="s">
        <v>150</v>
      </c>
      <c r="D11" s="10" t="s">
        <v>288</v>
      </c>
      <c r="E11" s="38"/>
      <c r="F11" s="10" t="s">
        <v>276</v>
      </c>
      <c r="G11" s="39"/>
      <c r="H11" s="40"/>
      <c r="I11" s="39"/>
      <c r="J11" s="38"/>
      <c r="K11" s="10" t="s">
        <v>237</v>
      </c>
      <c r="L11" s="28" t="n">
        <f aca="false">($E11*$G11+$I11)*(1+IF($K11="N",0,INPUTS!$C$23))</f>
        <v>0</v>
      </c>
      <c r="M11" s="41" t="n">
        <f aca="false">$E11*$H11+$J11</f>
        <v>0</v>
      </c>
      <c r="N11" s="28" t="n">
        <f aca="false">$M11*IF(OR($B11="V",$B11="AC"),'LABOUR RATES'!$E$26,'LABOUR RATES'!$E$11)</f>
        <v>0</v>
      </c>
      <c r="O11" s="28" t="n">
        <f aca="false">$M11*IF(OR($B11="V",$B11="AC"),'LABOUR RATES'!$C$27,'LABOUR RATES'!$C$12)</f>
        <v>0</v>
      </c>
      <c r="P11" s="42" t="n">
        <f aca="false">$L11+$N11+$O11</f>
        <v>0</v>
      </c>
      <c r="Q11" s="43" t="n">
        <f aca="false">IF(OR($B11="",$C11=""),"",IFERROR(SUMIFS('KNOWIFY REVIEW'!$AF$4:$AF$400,'KNOWIFY REVIEW'!$AB$4:$AB$400,$B11,'KNOWIFY REVIEW'!$AC$4:$AC$400,$C11,'KNOWIFY REVIEW'!$AD$4:$AD$400,1)/SUMIFS('KNOWIFY REVIEW'!$AE$4:$AE$400,'KNOWIFY REVIEW'!$AB$4:$AB$400,$B11,'KNOWIFY REVIEW'!$AC$4:$AC$400,$C11,'KNOWIFY REVIEW'!$AD$4:$AD$400,1),""))</f>
        <v>1.7282942</v>
      </c>
      <c r="R11" s="43" t="n">
        <f aca="false">IF(OR($B11="",$C11=""),"",IFERROR(SUMIFS('KNOWIFY REVIEW'!$AH$4:$AH$400,'KNOWIFY REVIEW'!$AB$4:$AB$400,$B11,'KNOWIFY REVIEW'!$AC$4:$AC$400,IF(OR($C11=INPUTS!$B$69,$C11=INPUTS!$B$70),INPUTS!$B$71,$C11),'KNOWIFY REVIEW'!$AD$4:$AD$400,1)/SUMIFS('KNOWIFY REVIEW'!$AG$4:$AG$400,'KNOWIFY REVIEW'!$AB$4:$AB$400,$B11,'KNOWIFY REVIEW'!$AC$4:$AC$400,IF(OR($C11=INPUTS!$B$69,$C11=INPUTS!$B$70),INPUTS!$B$71,$C11),'KNOWIFY REVIEW'!$AD$4:$AD$400,1),""))</f>
        <v>1.89189746666667</v>
      </c>
      <c r="S11" s="24" t="str">
        <f aca="false">IF(MAX(N($Q11),N($R11))&gt;1.1,"Past job ran over budget","")</f>
        <v>Past job ran over budget</v>
      </c>
    </row>
    <row r="12" customFormat="false" ht="15" hidden="false" customHeight="false" outlineLevel="0" collapsed="false">
      <c r="A12" s="10" t="s">
        <v>338</v>
      </c>
      <c r="B12" s="10" t="s">
        <v>102</v>
      </c>
      <c r="C12" s="10" t="s">
        <v>150</v>
      </c>
      <c r="D12" s="10" t="s">
        <v>290</v>
      </c>
      <c r="E12" s="38"/>
      <c r="F12" s="10" t="s">
        <v>276</v>
      </c>
      <c r="G12" s="39"/>
      <c r="H12" s="40"/>
      <c r="I12" s="39"/>
      <c r="J12" s="38"/>
      <c r="K12" s="10" t="s">
        <v>237</v>
      </c>
      <c r="L12" s="28" t="n">
        <f aca="false">($E12*$G12+$I12)*(1+IF($K12="N",0,INPUTS!$C$23))</f>
        <v>0</v>
      </c>
      <c r="M12" s="41" t="n">
        <f aca="false">$E12*$H12+$J12</f>
        <v>0</v>
      </c>
      <c r="N12" s="28" t="n">
        <f aca="false">$M12*IF(OR($B12="V",$B12="AC"),'LABOUR RATES'!$E$26,'LABOUR RATES'!$E$11)</f>
        <v>0</v>
      </c>
      <c r="O12" s="28" t="n">
        <f aca="false">$M12*IF(OR($B12="V",$B12="AC"),'LABOUR RATES'!$C$27,'LABOUR RATES'!$C$12)</f>
        <v>0</v>
      </c>
      <c r="P12" s="42" t="n">
        <f aca="false">$L12+$N12+$O12</f>
        <v>0</v>
      </c>
      <c r="Q12" s="43" t="n">
        <f aca="false">IF(OR($B12="",$C12=""),"",IFERROR(SUMIFS('KNOWIFY REVIEW'!$AF$4:$AF$400,'KNOWIFY REVIEW'!$AB$4:$AB$400,$B12,'KNOWIFY REVIEW'!$AC$4:$AC$400,$C12,'KNOWIFY REVIEW'!$AD$4:$AD$400,1)/SUMIFS('KNOWIFY REVIEW'!$AE$4:$AE$400,'KNOWIFY REVIEW'!$AB$4:$AB$400,$B12,'KNOWIFY REVIEW'!$AC$4:$AC$400,$C12,'KNOWIFY REVIEW'!$AD$4:$AD$400,1),""))</f>
        <v>1.7282942</v>
      </c>
      <c r="R12" s="43" t="n">
        <f aca="false">IF(OR($B12="",$C12=""),"",IFERROR(SUMIFS('KNOWIFY REVIEW'!$AH$4:$AH$400,'KNOWIFY REVIEW'!$AB$4:$AB$400,$B12,'KNOWIFY REVIEW'!$AC$4:$AC$400,IF(OR($C12=INPUTS!$B$69,$C12=INPUTS!$B$70),INPUTS!$B$71,$C12),'KNOWIFY REVIEW'!$AD$4:$AD$400,1)/SUMIFS('KNOWIFY REVIEW'!$AG$4:$AG$400,'KNOWIFY REVIEW'!$AB$4:$AB$400,$B12,'KNOWIFY REVIEW'!$AC$4:$AC$400,IF(OR($C12=INPUTS!$B$69,$C12=INPUTS!$B$70),INPUTS!$B$71,$C12),'KNOWIFY REVIEW'!$AD$4:$AD$400,1),""))</f>
        <v>1.89189746666667</v>
      </c>
      <c r="S12" s="24" t="str">
        <f aca="false">IF(MAX(N($Q12),N($R12))&gt;1.1,"Past job ran over budget","")</f>
        <v>Past job ran over budget</v>
      </c>
    </row>
    <row r="13" customFormat="false" ht="15" hidden="false" customHeight="false" outlineLevel="0" collapsed="false">
      <c r="A13" s="10" t="s">
        <v>339</v>
      </c>
      <c r="B13" s="10" t="s">
        <v>102</v>
      </c>
      <c r="C13" s="10" t="s">
        <v>151</v>
      </c>
      <c r="D13" s="10" t="s">
        <v>340</v>
      </c>
      <c r="E13" s="38"/>
      <c r="F13" s="10" t="s">
        <v>236</v>
      </c>
      <c r="G13" s="39"/>
      <c r="H13" s="40"/>
      <c r="I13" s="39"/>
      <c r="J13" s="38"/>
      <c r="K13" s="10" t="s">
        <v>237</v>
      </c>
      <c r="L13" s="28" t="n">
        <f aca="false">($E13*$G13+$I13)*(1+IF($K13="N",0,INPUTS!$C$23))</f>
        <v>0</v>
      </c>
      <c r="M13" s="41" t="n">
        <f aca="false">$E13*$H13+$J13</f>
        <v>0</v>
      </c>
      <c r="N13" s="28" t="n">
        <f aca="false">$M13*IF(OR($B13="V",$B13="AC"),'LABOUR RATES'!$E$26,'LABOUR RATES'!$E$11)</f>
        <v>0</v>
      </c>
      <c r="O13" s="28" t="n">
        <f aca="false">$M13*IF(OR($B13="V",$B13="AC"),'LABOUR RATES'!$C$27,'LABOUR RATES'!$C$12)</f>
        <v>0</v>
      </c>
      <c r="P13" s="42" t="n">
        <f aca="false">$L13+$N13+$O13</f>
        <v>0</v>
      </c>
      <c r="Q13" s="43" t="n">
        <f aca="false">IF(OR($B13="",$C13=""),"",IFERROR(SUMIFS('KNOWIFY REVIEW'!$AF$4:$AF$400,'KNOWIFY REVIEW'!$AB$4:$AB$400,$B13,'KNOWIFY REVIEW'!$AC$4:$AC$400,$C13,'KNOWIFY REVIEW'!$AD$4:$AD$400,1)/SUMIFS('KNOWIFY REVIEW'!$AE$4:$AE$400,'KNOWIFY REVIEW'!$AB$4:$AB$400,$B13,'KNOWIFY REVIEW'!$AC$4:$AC$400,$C13,'KNOWIFY REVIEW'!$AD$4:$AD$400,1),""))</f>
        <v>0</v>
      </c>
      <c r="R13" s="43" t="n">
        <f aca="false">IF(OR($B13="",$C13=""),"",IFERROR(SUMIFS('KNOWIFY REVIEW'!$AH$4:$AH$400,'KNOWIFY REVIEW'!$AB$4:$AB$400,$B13,'KNOWIFY REVIEW'!$AC$4:$AC$400,IF(OR($C13=INPUTS!$B$69,$C13=INPUTS!$B$70),INPUTS!$B$71,$C13),'KNOWIFY REVIEW'!$AD$4:$AD$400,1)/SUMIFS('KNOWIFY REVIEW'!$AG$4:$AG$400,'KNOWIFY REVIEW'!$AB$4:$AB$400,$B13,'KNOWIFY REVIEW'!$AC$4:$AC$400,IF(OR($C13=INPUTS!$B$69,$C13=INPUTS!$B$70),INPUTS!$B$71,$C13),'KNOWIFY REVIEW'!$AD$4:$AD$400,1),""))</f>
        <v>1.89189746666667</v>
      </c>
      <c r="S13" s="24" t="str">
        <f aca="false">IF(MAX(N($Q13),N($R13))&gt;1.1,"Past job ran over budget","")</f>
        <v>Past job ran over budget</v>
      </c>
    </row>
    <row r="14" customFormat="false" ht="15" hidden="false" customHeight="false" outlineLevel="0" collapsed="false">
      <c r="A14" s="10" t="s">
        <v>341</v>
      </c>
      <c r="B14" s="10" t="s">
        <v>102</v>
      </c>
      <c r="C14" s="10" t="s">
        <v>151</v>
      </c>
      <c r="D14" s="10" t="s">
        <v>294</v>
      </c>
      <c r="E14" s="38"/>
      <c r="F14" s="10" t="s">
        <v>236</v>
      </c>
      <c r="G14" s="39"/>
      <c r="H14" s="40"/>
      <c r="I14" s="39"/>
      <c r="J14" s="38"/>
      <c r="K14" s="10" t="s">
        <v>237</v>
      </c>
      <c r="L14" s="28" t="n">
        <f aca="false">($E14*$G14+$I14)*(1+IF($K14="N",0,INPUTS!$C$23))</f>
        <v>0</v>
      </c>
      <c r="M14" s="41" t="n">
        <f aca="false">$E14*$H14+$J14</f>
        <v>0</v>
      </c>
      <c r="N14" s="28" t="n">
        <f aca="false">$M14*IF(OR($B14="V",$B14="AC"),'LABOUR RATES'!$E$26,'LABOUR RATES'!$E$11)</f>
        <v>0</v>
      </c>
      <c r="O14" s="28" t="n">
        <f aca="false">$M14*IF(OR($B14="V",$B14="AC"),'LABOUR RATES'!$C$27,'LABOUR RATES'!$C$12)</f>
        <v>0</v>
      </c>
      <c r="P14" s="42" t="n">
        <f aca="false">$L14+$N14+$O14</f>
        <v>0</v>
      </c>
      <c r="Q14" s="43" t="n">
        <f aca="false">IF(OR($B14="",$C14=""),"",IFERROR(SUMIFS('KNOWIFY REVIEW'!$AF$4:$AF$400,'KNOWIFY REVIEW'!$AB$4:$AB$400,$B14,'KNOWIFY REVIEW'!$AC$4:$AC$400,$C14,'KNOWIFY REVIEW'!$AD$4:$AD$400,1)/SUMIFS('KNOWIFY REVIEW'!$AE$4:$AE$400,'KNOWIFY REVIEW'!$AB$4:$AB$400,$B14,'KNOWIFY REVIEW'!$AC$4:$AC$400,$C14,'KNOWIFY REVIEW'!$AD$4:$AD$400,1),""))</f>
        <v>0</v>
      </c>
      <c r="R14" s="43" t="n">
        <f aca="false">IF(OR($B14="",$C14=""),"",IFERROR(SUMIFS('KNOWIFY REVIEW'!$AH$4:$AH$400,'KNOWIFY REVIEW'!$AB$4:$AB$400,$B14,'KNOWIFY REVIEW'!$AC$4:$AC$400,IF(OR($C14=INPUTS!$B$69,$C14=INPUTS!$B$70),INPUTS!$B$71,$C14),'KNOWIFY REVIEW'!$AD$4:$AD$400,1)/SUMIFS('KNOWIFY REVIEW'!$AG$4:$AG$400,'KNOWIFY REVIEW'!$AB$4:$AB$400,$B14,'KNOWIFY REVIEW'!$AC$4:$AC$400,IF(OR($C14=INPUTS!$B$69,$C14=INPUTS!$B$70),INPUTS!$B$71,$C14),'KNOWIFY REVIEW'!$AD$4:$AD$400,1),""))</f>
        <v>1.89189746666667</v>
      </c>
      <c r="S14" s="24" t="str">
        <f aca="false">IF(MAX(N($Q14),N($R14))&gt;1.1,"Past job ran over budget","")</f>
        <v>Past job ran over budget</v>
      </c>
    </row>
    <row r="15" customFormat="false" ht="15" hidden="false" customHeight="false" outlineLevel="0" collapsed="false">
      <c r="A15" s="10" t="s">
        <v>342</v>
      </c>
      <c r="B15" s="10" t="s">
        <v>102</v>
      </c>
      <c r="C15" s="10" t="s">
        <v>151</v>
      </c>
      <c r="D15" s="10" t="s">
        <v>343</v>
      </c>
      <c r="E15" s="38"/>
      <c r="F15" s="10" t="s">
        <v>276</v>
      </c>
      <c r="G15" s="39"/>
      <c r="H15" s="40"/>
      <c r="I15" s="39"/>
      <c r="J15" s="38"/>
      <c r="K15" s="10" t="s">
        <v>237</v>
      </c>
      <c r="L15" s="28" t="n">
        <f aca="false">($E15*$G15+$I15)*(1+IF($K15="N",0,INPUTS!$C$23))</f>
        <v>0</v>
      </c>
      <c r="M15" s="41" t="n">
        <f aca="false">$E15*$H15+$J15</f>
        <v>0</v>
      </c>
      <c r="N15" s="28" t="n">
        <f aca="false">$M15*IF(OR($B15="V",$B15="AC"),'LABOUR RATES'!$E$26,'LABOUR RATES'!$E$11)</f>
        <v>0</v>
      </c>
      <c r="O15" s="28" t="n">
        <f aca="false">$M15*IF(OR($B15="V",$B15="AC"),'LABOUR RATES'!$C$27,'LABOUR RATES'!$C$12)</f>
        <v>0</v>
      </c>
      <c r="P15" s="42" t="n">
        <f aca="false">$L15+$N15+$O15</f>
        <v>0</v>
      </c>
      <c r="Q15" s="43" t="n">
        <f aca="false">IF(OR($B15="",$C15=""),"",IFERROR(SUMIFS('KNOWIFY REVIEW'!$AF$4:$AF$400,'KNOWIFY REVIEW'!$AB$4:$AB$400,$B15,'KNOWIFY REVIEW'!$AC$4:$AC$400,$C15,'KNOWIFY REVIEW'!$AD$4:$AD$400,1)/SUMIFS('KNOWIFY REVIEW'!$AE$4:$AE$400,'KNOWIFY REVIEW'!$AB$4:$AB$400,$B15,'KNOWIFY REVIEW'!$AC$4:$AC$400,$C15,'KNOWIFY REVIEW'!$AD$4:$AD$400,1),""))</f>
        <v>0</v>
      </c>
      <c r="R15" s="43" t="n">
        <f aca="false">IF(OR($B15="",$C15=""),"",IFERROR(SUMIFS('KNOWIFY REVIEW'!$AH$4:$AH$400,'KNOWIFY REVIEW'!$AB$4:$AB$400,$B15,'KNOWIFY REVIEW'!$AC$4:$AC$400,IF(OR($C15=INPUTS!$B$69,$C15=INPUTS!$B$70),INPUTS!$B$71,$C15),'KNOWIFY REVIEW'!$AD$4:$AD$400,1)/SUMIFS('KNOWIFY REVIEW'!$AG$4:$AG$400,'KNOWIFY REVIEW'!$AB$4:$AB$400,$B15,'KNOWIFY REVIEW'!$AC$4:$AC$400,IF(OR($C15=INPUTS!$B$69,$C15=INPUTS!$B$70),INPUTS!$B$71,$C15),'KNOWIFY REVIEW'!$AD$4:$AD$400,1),""))</f>
        <v>1.89189746666667</v>
      </c>
      <c r="S15" s="24" t="str">
        <f aca="false">IF(MAX(N($Q15),N($R15))&gt;1.1,"Past job ran over budget","")</f>
        <v>Past job ran over budget</v>
      </c>
    </row>
    <row r="16" customFormat="false" ht="15" hidden="false" customHeight="false" outlineLevel="0" collapsed="false">
      <c r="A16" s="10" t="s">
        <v>344</v>
      </c>
      <c r="B16" s="10" t="s">
        <v>102</v>
      </c>
      <c r="C16" s="10" t="s">
        <v>153</v>
      </c>
      <c r="D16" s="10" t="s">
        <v>345</v>
      </c>
      <c r="E16" s="38"/>
      <c r="F16" s="10" t="s">
        <v>236</v>
      </c>
      <c r="G16" s="39"/>
      <c r="H16" s="40"/>
      <c r="I16" s="39"/>
      <c r="J16" s="38"/>
      <c r="K16" s="10" t="s">
        <v>237</v>
      </c>
      <c r="L16" s="28" t="n">
        <f aca="false">($E16*$G16+$I16)*(1+IF($K16="N",0,INPUTS!$C$23))</f>
        <v>0</v>
      </c>
      <c r="M16" s="41" t="n">
        <f aca="false">$E16*$H16+$J16</f>
        <v>0</v>
      </c>
      <c r="N16" s="28" t="n">
        <f aca="false">$M16*IF(OR($B16="V",$B16="AC"),'LABOUR RATES'!$E$26,'LABOUR RATES'!$E$11)</f>
        <v>0</v>
      </c>
      <c r="O16" s="28" t="n">
        <f aca="false">$M16*IF(OR($B16="V",$B16="AC"),'LABOUR RATES'!$C$27,'LABOUR RATES'!$C$12)</f>
        <v>0</v>
      </c>
      <c r="P16" s="42" t="n">
        <f aca="false">$L16+$N16+$O16</f>
        <v>0</v>
      </c>
      <c r="Q16" s="43" t="str">
        <f aca="false">IF(OR($B16="",$C16=""),"",IFERROR(SUMIFS('KNOWIFY REVIEW'!$AF$4:$AF$400,'KNOWIFY REVIEW'!$AB$4:$AB$400,$B16,'KNOWIFY REVIEW'!$AC$4:$AC$400,$C16,'KNOWIFY REVIEW'!$AD$4:$AD$400,1)/SUMIFS('KNOWIFY REVIEW'!$AE$4:$AE$400,'KNOWIFY REVIEW'!$AB$4:$AB$400,$B16,'KNOWIFY REVIEW'!$AC$4:$AC$400,$C16,'KNOWIFY REVIEW'!$AD$4:$AD$400,1),""))</f>
        <v/>
      </c>
      <c r="R16" s="43" t="str">
        <f aca="false">IF(OR($B16="",$C16=""),"",IFERROR(SUMIFS('KNOWIFY REVIEW'!$AH$4:$AH$400,'KNOWIFY REVIEW'!$AB$4:$AB$400,$B16,'KNOWIFY REVIEW'!$AC$4:$AC$400,IF(OR($C16=INPUTS!$B$69,$C16=INPUTS!$B$70),INPUTS!$B$71,$C16),'KNOWIFY REVIEW'!$AD$4:$AD$400,1)/SUMIFS('KNOWIFY REVIEW'!$AG$4:$AG$400,'KNOWIFY REVIEW'!$AB$4:$AB$400,$B16,'KNOWIFY REVIEW'!$AC$4:$AC$400,IF(OR($C16=INPUTS!$B$69,$C16=INPUTS!$B$70),INPUTS!$B$71,$C16),'KNOWIFY REVIEW'!$AD$4:$AD$400,1),""))</f>
        <v/>
      </c>
      <c r="S16" s="24" t="str">
        <f aca="false">IF(MAX(N($Q16),N($R16))&gt;1.1,"Past job ran over budget","")</f>
        <v/>
      </c>
    </row>
    <row r="17" customFormat="false" ht="15" hidden="false" customHeight="false" outlineLevel="0" collapsed="false">
      <c r="A17" s="10" t="s">
        <v>346</v>
      </c>
      <c r="B17" s="10" t="s">
        <v>102</v>
      </c>
      <c r="C17" s="10" t="s">
        <v>154</v>
      </c>
      <c r="D17" s="10" t="s">
        <v>304</v>
      </c>
      <c r="E17" s="38"/>
      <c r="F17" s="10" t="s">
        <v>276</v>
      </c>
      <c r="G17" s="39"/>
      <c r="H17" s="40"/>
      <c r="I17" s="39"/>
      <c r="J17" s="38"/>
      <c r="K17" s="10" t="s">
        <v>237</v>
      </c>
      <c r="L17" s="28" t="n">
        <f aca="false">($E17*$G17+$I17)*(1+IF($K17="N",0,INPUTS!$C$23))</f>
        <v>0</v>
      </c>
      <c r="M17" s="41" t="n">
        <f aca="false">$E17*$H17+$J17</f>
        <v>0</v>
      </c>
      <c r="N17" s="28" t="n">
        <f aca="false">$M17*IF(OR($B17="V",$B17="AC"),'LABOUR RATES'!$E$26,'LABOUR RATES'!$E$11)</f>
        <v>0</v>
      </c>
      <c r="O17" s="28" t="n">
        <f aca="false">$M17*IF(OR($B17="V",$B17="AC"),'LABOUR RATES'!$C$27,'LABOUR RATES'!$C$12)</f>
        <v>0</v>
      </c>
      <c r="P17" s="42" t="n">
        <f aca="false">$L17+$N17+$O17</f>
        <v>0</v>
      </c>
      <c r="Q17" s="43" t="str">
        <f aca="false">IF(OR($B17="",$C17=""),"",IFERROR(SUMIFS('KNOWIFY REVIEW'!$AF$4:$AF$400,'KNOWIFY REVIEW'!$AB$4:$AB$400,$B17,'KNOWIFY REVIEW'!$AC$4:$AC$400,$C17,'KNOWIFY REVIEW'!$AD$4:$AD$400,1)/SUMIFS('KNOWIFY REVIEW'!$AE$4:$AE$400,'KNOWIFY REVIEW'!$AB$4:$AB$400,$B17,'KNOWIFY REVIEW'!$AC$4:$AC$400,$C17,'KNOWIFY REVIEW'!$AD$4:$AD$400,1),""))</f>
        <v/>
      </c>
      <c r="R17" s="43" t="str">
        <f aca="false">IF(OR($B17="",$C17=""),"",IFERROR(SUMIFS('KNOWIFY REVIEW'!$AH$4:$AH$400,'KNOWIFY REVIEW'!$AB$4:$AB$400,$B17,'KNOWIFY REVIEW'!$AC$4:$AC$400,IF(OR($C17=INPUTS!$B$69,$C17=INPUTS!$B$70),INPUTS!$B$71,$C17),'KNOWIFY REVIEW'!$AD$4:$AD$400,1)/SUMIFS('KNOWIFY REVIEW'!$AG$4:$AG$400,'KNOWIFY REVIEW'!$AB$4:$AB$400,$B17,'KNOWIFY REVIEW'!$AC$4:$AC$400,IF(OR($C17=INPUTS!$B$69,$C17=INPUTS!$B$70),INPUTS!$B$71,$C17),'KNOWIFY REVIEW'!$AD$4:$AD$400,1),""))</f>
        <v/>
      </c>
      <c r="S17" s="24" t="str">
        <f aca="false">IF(MAX(N($Q17),N($R17))&gt;1.1,"Past job ran over budget","")</f>
        <v/>
      </c>
    </row>
    <row r="18" customFormat="false" ht="15" hidden="false" customHeight="false" outlineLevel="0" collapsed="false">
      <c r="A18" s="10" t="s">
        <v>347</v>
      </c>
      <c r="B18" s="10" t="s">
        <v>106</v>
      </c>
      <c r="C18" s="10" t="s">
        <v>150</v>
      </c>
      <c r="D18" s="10" t="s">
        <v>329</v>
      </c>
      <c r="E18" s="38"/>
      <c r="F18" s="10" t="s">
        <v>330</v>
      </c>
      <c r="G18" s="39"/>
      <c r="H18" s="40"/>
      <c r="I18" s="39"/>
      <c r="J18" s="38"/>
      <c r="K18" s="10" t="s">
        <v>237</v>
      </c>
      <c r="L18" s="28" t="n">
        <f aca="false">($E18*$G18+$I18)*(1+IF($K18="N",0,INPUTS!$C$23))</f>
        <v>0</v>
      </c>
      <c r="M18" s="41" t="n">
        <f aca="false">$E18*$H18+$J18</f>
        <v>0</v>
      </c>
      <c r="N18" s="28" t="n">
        <f aca="false">$M18*IF(OR($B18="V",$B18="AC"),'LABOUR RATES'!$E$26,'LABOUR RATES'!$E$11)</f>
        <v>0</v>
      </c>
      <c r="O18" s="28" t="n">
        <f aca="false">$M18*IF(OR($B18="V",$B18="AC"),'LABOUR RATES'!$C$27,'LABOUR RATES'!$C$12)</f>
        <v>0</v>
      </c>
      <c r="P18" s="42" t="n">
        <f aca="false">$L18+$N18+$O18</f>
        <v>0</v>
      </c>
      <c r="Q18" s="43" t="str">
        <f aca="false">IF(OR($B18="",$C18=""),"",IFERROR(SUMIFS('KNOWIFY REVIEW'!$AF$4:$AF$400,'KNOWIFY REVIEW'!$AB$4:$AB$400,$B18,'KNOWIFY REVIEW'!$AC$4:$AC$400,$C18,'KNOWIFY REVIEW'!$AD$4:$AD$400,1)/SUMIFS('KNOWIFY REVIEW'!$AE$4:$AE$400,'KNOWIFY REVIEW'!$AB$4:$AB$400,$B18,'KNOWIFY REVIEW'!$AC$4:$AC$400,$C18,'KNOWIFY REVIEW'!$AD$4:$AD$400,1),""))</f>
        <v/>
      </c>
      <c r="R18" s="43" t="str">
        <f aca="false">IF(OR($B18="",$C18=""),"",IFERROR(SUMIFS('KNOWIFY REVIEW'!$AH$4:$AH$400,'KNOWIFY REVIEW'!$AB$4:$AB$400,$B18,'KNOWIFY REVIEW'!$AC$4:$AC$400,IF(OR($C18=INPUTS!$B$69,$C18=INPUTS!$B$70),INPUTS!$B$71,$C18),'KNOWIFY REVIEW'!$AD$4:$AD$400,1)/SUMIFS('KNOWIFY REVIEW'!$AG$4:$AG$400,'KNOWIFY REVIEW'!$AB$4:$AB$400,$B18,'KNOWIFY REVIEW'!$AC$4:$AC$400,IF(OR($C18=INPUTS!$B$69,$C18=INPUTS!$B$70),INPUTS!$B$71,$C18),'KNOWIFY REVIEW'!$AD$4:$AD$400,1),""))</f>
        <v/>
      </c>
      <c r="S18" s="24" t="str">
        <f aca="false">IF(MAX(N($Q18),N($R18))&gt;1.1,"Past job ran over budget","")</f>
        <v/>
      </c>
    </row>
    <row r="19" customFormat="false" ht="15" hidden="false" customHeight="false" outlineLevel="0" collapsed="false">
      <c r="A19" s="10" t="s">
        <v>348</v>
      </c>
      <c r="B19" s="10" t="s">
        <v>106</v>
      </c>
      <c r="C19" s="10" t="s">
        <v>150</v>
      </c>
      <c r="D19" s="10" t="s">
        <v>332</v>
      </c>
      <c r="E19" s="38"/>
      <c r="F19" s="10" t="s">
        <v>273</v>
      </c>
      <c r="G19" s="39"/>
      <c r="H19" s="40"/>
      <c r="I19" s="39"/>
      <c r="J19" s="38"/>
      <c r="K19" s="10" t="s">
        <v>237</v>
      </c>
      <c r="L19" s="28" t="n">
        <f aca="false">($E19*$G19+$I19)*(1+IF($K19="N",0,INPUTS!$C$23))</f>
        <v>0</v>
      </c>
      <c r="M19" s="41" t="n">
        <f aca="false">$E19*$H19+$J19</f>
        <v>0</v>
      </c>
      <c r="N19" s="28" t="n">
        <f aca="false">$M19*IF(OR($B19="V",$B19="AC"),'LABOUR RATES'!$E$26,'LABOUR RATES'!$E$11)</f>
        <v>0</v>
      </c>
      <c r="O19" s="28" t="n">
        <f aca="false">$M19*IF(OR($B19="V",$B19="AC"),'LABOUR RATES'!$C$27,'LABOUR RATES'!$C$12)</f>
        <v>0</v>
      </c>
      <c r="P19" s="42" t="n">
        <f aca="false">$L19+$N19+$O19</f>
        <v>0</v>
      </c>
      <c r="Q19" s="43" t="str">
        <f aca="false">IF(OR($B19="",$C19=""),"",IFERROR(SUMIFS('KNOWIFY REVIEW'!$AF$4:$AF$400,'KNOWIFY REVIEW'!$AB$4:$AB$400,$B19,'KNOWIFY REVIEW'!$AC$4:$AC$400,$C19,'KNOWIFY REVIEW'!$AD$4:$AD$400,1)/SUMIFS('KNOWIFY REVIEW'!$AE$4:$AE$400,'KNOWIFY REVIEW'!$AB$4:$AB$400,$B19,'KNOWIFY REVIEW'!$AC$4:$AC$400,$C19,'KNOWIFY REVIEW'!$AD$4:$AD$400,1),""))</f>
        <v/>
      </c>
      <c r="R19" s="43" t="str">
        <f aca="false">IF(OR($B19="",$C19=""),"",IFERROR(SUMIFS('KNOWIFY REVIEW'!$AH$4:$AH$400,'KNOWIFY REVIEW'!$AB$4:$AB$400,$B19,'KNOWIFY REVIEW'!$AC$4:$AC$400,IF(OR($C19=INPUTS!$B$69,$C19=INPUTS!$B$70),INPUTS!$B$71,$C19),'KNOWIFY REVIEW'!$AD$4:$AD$400,1)/SUMIFS('KNOWIFY REVIEW'!$AG$4:$AG$400,'KNOWIFY REVIEW'!$AB$4:$AB$400,$B19,'KNOWIFY REVIEW'!$AC$4:$AC$400,IF(OR($C19=INPUTS!$B$69,$C19=INPUTS!$B$70),INPUTS!$B$71,$C19),'KNOWIFY REVIEW'!$AD$4:$AD$400,1),""))</f>
        <v/>
      </c>
      <c r="S19" s="24" t="str">
        <f aca="false">IF(MAX(N($Q19),N($R19))&gt;1.1,"Past job ran over budget","")</f>
        <v/>
      </c>
    </row>
    <row r="20" customFormat="false" ht="15" hidden="false" customHeight="false" outlineLevel="0" collapsed="false">
      <c r="A20" s="10" t="s">
        <v>349</v>
      </c>
      <c r="B20" s="10" t="s">
        <v>106</v>
      </c>
      <c r="C20" s="10" t="s">
        <v>150</v>
      </c>
      <c r="D20" s="10" t="s">
        <v>334</v>
      </c>
      <c r="E20" s="38"/>
      <c r="F20" s="10" t="s">
        <v>276</v>
      </c>
      <c r="G20" s="39"/>
      <c r="H20" s="40"/>
      <c r="I20" s="39"/>
      <c r="J20" s="38"/>
      <c r="K20" s="10" t="s">
        <v>237</v>
      </c>
      <c r="L20" s="28" t="n">
        <f aca="false">($E20*$G20+$I20)*(1+IF($K20="N",0,INPUTS!$C$23))</f>
        <v>0</v>
      </c>
      <c r="M20" s="41" t="n">
        <f aca="false">$E20*$H20+$J20</f>
        <v>0</v>
      </c>
      <c r="N20" s="28" t="n">
        <f aca="false">$M20*IF(OR($B20="V",$B20="AC"),'LABOUR RATES'!$E$26,'LABOUR RATES'!$E$11)</f>
        <v>0</v>
      </c>
      <c r="O20" s="28" t="n">
        <f aca="false">$M20*IF(OR($B20="V",$B20="AC"),'LABOUR RATES'!$C$27,'LABOUR RATES'!$C$12)</f>
        <v>0</v>
      </c>
      <c r="P20" s="42" t="n">
        <f aca="false">$L20+$N20+$O20</f>
        <v>0</v>
      </c>
      <c r="Q20" s="43" t="str">
        <f aca="false">IF(OR($B20="",$C20=""),"",IFERROR(SUMIFS('KNOWIFY REVIEW'!$AF$4:$AF$400,'KNOWIFY REVIEW'!$AB$4:$AB$400,$B20,'KNOWIFY REVIEW'!$AC$4:$AC$400,$C20,'KNOWIFY REVIEW'!$AD$4:$AD$400,1)/SUMIFS('KNOWIFY REVIEW'!$AE$4:$AE$400,'KNOWIFY REVIEW'!$AB$4:$AB$400,$B20,'KNOWIFY REVIEW'!$AC$4:$AC$400,$C20,'KNOWIFY REVIEW'!$AD$4:$AD$400,1),""))</f>
        <v/>
      </c>
      <c r="R20" s="43" t="str">
        <f aca="false">IF(OR($B20="",$C20=""),"",IFERROR(SUMIFS('KNOWIFY REVIEW'!$AH$4:$AH$400,'KNOWIFY REVIEW'!$AB$4:$AB$400,$B20,'KNOWIFY REVIEW'!$AC$4:$AC$400,IF(OR($C20=INPUTS!$B$69,$C20=INPUTS!$B$70),INPUTS!$B$71,$C20),'KNOWIFY REVIEW'!$AD$4:$AD$400,1)/SUMIFS('KNOWIFY REVIEW'!$AG$4:$AG$400,'KNOWIFY REVIEW'!$AB$4:$AB$400,$B20,'KNOWIFY REVIEW'!$AC$4:$AC$400,IF(OR($C20=INPUTS!$B$69,$C20=INPUTS!$B$70),INPUTS!$B$71,$C20),'KNOWIFY REVIEW'!$AD$4:$AD$400,1),""))</f>
        <v/>
      </c>
      <c r="S20" s="24" t="str">
        <f aca="false">IF(MAX(N($Q20),N($R20))&gt;1.1,"Past job ran over budget","")</f>
        <v/>
      </c>
    </row>
    <row r="21" customFormat="false" ht="15" hidden="false" customHeight="false" outlineLevel="0" collapsed="false">
      <c r="A21" s="10" t="s">
        <v>350</v>
      </c>
      <c r="B21" s="10" t="s">
        <v>106</v>
      </c>
      <c r="C21" s="10" t="s">
        <v>150</v>
      </c>
      <c r="D21" s="10" t="s">
        <v>351</v>
      </c>
      <c r="E21" s="38"/>
      <c r="F21" s="10" t="s">
        <v>240</v>
      </c>
      <c r="G21" s="39"/>
      <c r="H21" s="40"/>
      <c r="I21" s="39"/>
      <c r="J21" s="38"/>
      <c r="K21" s="10" t="s">
        <v>237</v>
      </c>
      <c r="L21" s="28" t="n">
        <f aca="false">($E21*$G21+$I21)*(1+IF($K21="N",0,INPUTS!$C$23))</f>
        <v>0</v>
      </c>
      <c r="M21" s="41" t="n">
        <f aca="false">$E21*$H21+$J21</f>
        <v>0</v>
      </c>
      <c r="N21" s="28" t="n">
        <f aca="false">$M21*IF(OR($B21="V",$B21="AC"),'LABOUR RATES'!$E$26,'LABOUR RATES'!$E$11)</f>
        <v>0</v>
      </c>
      <c r="O21" s="28" t="n">
        <f aca="false">$M21*IF(OR($B21="V",$B21="AC"),'LABOUR RATES'!$C$27,'LABOUR RATES'!$C$12)</f>
        <v>0</v>
      </c>
      <c r="P21" s="42" t="n">
        <f aca="false">$L21+$N21+$O21</f>
        <v>0</v>
      </c>
      <c r="Q21" s="43" t="str">
        <f aca="false">IF(OR($B21="",$C21=""),"",IFERROR(SUMIFS('KNOWIFY REVIEW'!$AF$4:$AF$400,'KNOWIFY REVIEW'!$AB$4:$AB$400,$B21,'KNOWIFY REVIEW'!$AC$4:$AC$400,$C21,'KNOWIFY REVIEW'!$AD$4:$AD$400,1)/SUMIFS('KNOWIFY REVIEW'!$AE$4:$AE$400,'KNOWIFY REVIEW'!$AB$4:$AB$400,$B21,'KNOWIFY REVIEW'!$AC$4:$AC$400,$C21,'KNOWIFY REVIEW'!$AD$4:$AD$400,1),""))</f>
        <v/>
      </c>
      <c r="R21" s="43" t="str">
        <f aca="false">IF(OR($B21="",$C21=""),"",IFERROR(SUMIFS('KNOWIFY REVIEW'!$AH$4:$AH$400,'KNOWIFY REVIEW'!$AB$4:$AB$400,$B21,'KNOWIFY REVIEW'!$AC$4:$AC$400,IF(OR($C21=INPUTS!$B$69,$C21=INPUTS!$B$70),INPUTS!$B$71,$C21),'KNOWIFY REVIEW'!$AD$4:$AD$400,1)/SUMIFS('KNOWIFY REVIEW'!$AG$4:$AG$400,'KNOWIFY REVIEW'!$AB$4:$AB$400,$B21,'KNOWIFY REVIEW'!$AC$4:$AC$400,IF(OR($C21=INPUTS!$B$69,$C21=INPUTS!$B$70),INPUTS!$B$71,$C21),'KNOWIFY REVIEW'!$AD$4:$AD$400,1),""))</f>
        <v/>
      </c>
      <c r="S21" s="24" t="str">
        <f aca="false">IF(MAX(N($Q21),N($R21))&gt;1.1,"Past job ran over budget","")</f>
        <v/>
      </c>
    </row>
    <row r="22" customFormat="false" ht="15" hidden="false" customHeight="false" outlineLevel="0" collapsed="false">
      <c r="A22" s="10" t="s">
        <v>352</v>
      </c>
      <c r="B22" s="10" t="s">
        <v>106</v>
      </c>
      <c r="C22" s="10" t="s">
        <v>150</v>
      </c>
      <c r="D22" s="10" t="s">
        <v>353</v>
      </c>
      <c r="E22" s="38"/>
      <c r="F22" s="10" t="s">
        <v>236</v>
      </c>
      <c r="G22" s="39"/>
      <c r="H22" s="40"/>
      <c r="I22" s="39"/>
      <c r="J22" s="38"/>
      <c r="K22" s="10" t="s">
        <v>237</v>
      </c>
      <c r="L22" s="28" t="n">
        <f aca="false">($E22*$G22+$I22)*(1+IF($K22="N",0,INPUTS!$C$23))</f>
        <v>0</v>
      </c>
      <c r="M22" s="41" t="n">
        <f aca="false">$E22*$H22+$J22</f>
        <v>0</v>
      </c>
      <c r="N22" s="28" t="n">
        <f aca="false">$M22*IF(OR($B22="V",$B22="AC"),'LABOUR RATES'!$E$26,'LABOUR RATES'!$E$11)</f>
        <v>0</v>
      </c>
      <c r="O22" s="28" t="n">
        <f aca="false">$M22*IF(OR($B22="V",$B22="AC"),'LABOUR RATES'!$C$27,'LABOUR RATES'!$C$12)</f>
        <v>0</v>
      </c>
      <c r="P22" s="42" t="n">
        <f aca="false">$L22+$N22+$O22</f>
        <v>0</v>
      </c>
      <c r="Q22" s="43" t="str">
        <f aca="false">IF(OR($B22="",$C22=""),"",IFERROR(SUMIFS('KNOWIFY REVIEW'!$AF$4:$AF$400,'KNOWIFY REVIEW'!$AB$4:$AB$400,$B22,'KNOWIFY REVIEW'!$AC$4:$AC$400,$C22,'KNOWIFY REVIEW'!$AD$4:$AD$400,1)/SUMIFS('KNOWIFY REVIEW'!$AE$4:$AE$400,'KNOWIFY REVIEW'!$AB$4:$AB$400,$B22,'KNOWIFY REVIEW'!$AC$4:$AC$400,$C22,'KNOWIFY REVIEW'!$AD$4:$AD$400,1),""))</f>
        <v/>
      </c>
      <c r="R22" s="43" t="str">
        <f aca="false">IF(OR($B22="",$C22=""),"",IFERROR(SUMIFS('KNOWIFY REVIEW'!$AH$4:$AH$400,'KNOWIFY REVIEW'!$AB$4:$AB$400,$B22,'KNOWIFY REVIEW'!$AC$4:$AC$400,IF(OR($C22=INPUTS!$B$69,$C22=INPUTS!$B$70),INPUTS!$B$71,$C22),'KNOWIFY REVIEW'!$AD$4:$AD$400,1)/SUMIFS('KNOWIFY REVIEW'!$AG$4:$AG$400,'KNOWIFY REVIEW'!$AB$4:$AB$400,$B22,'KNOWIFY REVIEW'!$AC$4:$AC$400,IF(OR($C22=INPUTS!$B$69,$C22=INPUTS!$B$70),INPUTS!$B$71,$C22),'KNOWIFY REVIEW'!$AD$4:$AD$400,1),""))</f>
        <v/>
      </c>
      <c r="S22" s="24" t="str">
        <f aca="false">IF(MAX(N($Q22),N($R22))&gt;1.1,"Past job ran over budget","")</f>
        <v/>
      </c>
    </row>
    <row r="23" customFormat="false" ht="15" hidden="false" customHeight="false" outlineLevel="0" collapsed="false">
      <c r="A23" s="10" t="s">
        <v>354</v>
      </c>
      <c r="B23" s="10" t="s">
        <v>106</v>
      </c>
      <c r="C23" s="10" t="s">
        <v>150</v>
      </c>
      <c r="D23" s="10" t="s">
        <v>355</v>
      </c>
      <c r="E23" s="38"/>
      <c r="F23" s="10" t="s">
        <v>236</v>
      </c>
      <c r="G23" s="39"/>
      <c r="H23" s="40"/>
      <c r="I23" s="39"/>
      <c r="J23" s="38"/>
      <c r="K23" s="10" t="s">
        <v>237</v>
      </c>
      <c r="L23" s="28" t="n">
        <f aca="false">($E23*$G23+$I23)*(1+IF($K23="N",0,INPUTS!$C$23))</f>
        <v>0</v>
      </c>
      <c r="M23" s="41" t="n">
        <f aca="false">$E23*$H23+$J23</f>
        <v>0</v>
      </c>
      <c r="N23" s="28" t="n">
        <f aca="false">$M23*IF(OR($B23="V",$B23="AC"),'LABOUR RATES'!$E$26,'LABOUR RATES'!$E$11)</f>
        <v>0</v>
      </c>
      <c r="O23" s="28" t="n">
        <f aca="false">$M23*IF(OR($B23="V",$B23="AC"),'LABOUR RATES'!$C$27,'LABOUR RATES'!$C$12)</f>
        <v>0</v>
      </c>
      <c r="P23" s="42" t="n">
        <f aca="false">$L23+$N23+$O23</f>
        <v>0</v>
      </c>
      <c r="Q23" s="43" t="str">
        <f aca="false">IF(OR($B23="",$C23=""),"",IFERROR(SUMIFS('KNOWIFY REVIEW'!$AF$4:$AF$400,'KNOWIFY REVIEW'!$AB$4:$AB$400,$B23,'KNOWIFY REVIEW'!$AC$4:$AC$400,$C23,'KNOWIFY REVIEW'!$AD$4:$AD$400,1)/SUMIFS('KNOWIFY REVIEW'!$AE$4:$AE$400,'KNOWIFY REVIEW'!$AB$4:$AB$400,$B23,'KNOWIFY REVIEW'!$AC$4:$AC$400,$C23,'KNOWIFY REVIEW'!$AD$4:$AD$400,1),""))</f>
        <v/>
      </c>
      <c r="R23" s="43" t="str">
        <f aca="false">IF(OR($B23="",$C23=""),"",IFERROR(SUMIFS('KNOWIFY REVIEW'!$AH$4:$AH$400,'KNOWIFY REVIEW'!$AB$4:$AB$400,$B23,'KNOWIFY REVIEW'!$AC$4:$AC$400,IF(OR($C23=INPUTS!$B$69,$C23=INPUTS!$B$70),INPUTS!$B$71,$C23),'KNOWIFY REVIEW'!$AD$4:$AD$400,1)/SUMIFS('KNOWIFY REVIEW'!$AG$4:$AG$400,'KNOWIFY REVIEW'!$AB$4:$AB$400,$B23,'KNOWIFY REVIEW'!$AC$4:$AC$400,IF(OR($C23=INPUTS!$B$69,$C23=INPUTS!$B$70),INPUTS!$B$71,$C23),'KNOWIFY REVIEW'!$AD$4:$AD$400,1),""))</f>
        <v/>
      </c>
      <c r="S23" s="24" t="str">
        <f aca="false">IF(MAX(N($Q23),N($R23))&gt;1.1,"Past job ran over budget","")</f>
        <v/>
      </c>
    </row>
    <row r="24" customFormat="false" ht="15" hidden="false" customHeight="false" outlineLevel="0" collapsed="false">
      <c r="A24" s="10" t="s">
        <v>356</v>
      </c>
      <c r="B24" s="10" t="s">
        <v>106</v>
      </c>
      <c r="C24" s="10" t="s">
        <v>150</v>
      </c>
      <c r="D24" s="10" t="s">
        <v>288</v>
      </c>
      <c r="E24" s="38"/>
      <c r="F24" s="10" t="s">
        <v>276</v>
      </c>
      <c r="G24" s="39"/>
      <c r="H24" s="40"/>
      <c r="I24" s="39"/>
      <c r="J24" s="38"/>
      <c r="K24" s="10" t="s">
        <v>237</v>
      </c>
      <c r="L24" s="28" t="n">
        <f aca="false">($E24*$G24+$I24)*(1+IF($K24="N",0,INPUTS!$C$23))</f>
        <v>0</v>
      </c>
      <c r="M24" s="41" t="n">
        <f aca="false">$E24*$H24+$J24</f>
        <v>0</v>
      </c>
      <c r="N24" s="28" t="n">
        <f aca="false">$M24*IF(OR($B24="V",$B24="AC"),'LABOUR RATES'!$E$26,'LABOUR RATES'!$E$11)</f>
        <v>0</v>
      </c>
      <c r="O24" s="28" t="n">
        <f aca="false">$M24*IF(OR($B24="V",$B24="AC"),'LABOUR RATES'!$C$27,'LABOUR RATES'!$C$12)</f>
        <v>0</v>
      </c>
      <c r="P24" s="42" t="n">
        <f aca="false">$L24+$N24+$O24</f>
        <v>0</v>
      </c>
      <c r="Q24" s="43" t="str">
        <f aca="false">IF(OR($B24="",$C24=""),"",IFERROR(SUMIFS('KNOWIFY REVIEW'!$AF$4:$AF$400,'KNOWIFY REVIEW'!$AB$4:$AB$400,$B24,'KNOWIFY REVIEW'!$AC$4:$AC$400,$C24,'KNOWIFY REVIEW'!$AD$4:$AD$400,1)/SUMIFS('KNOWIFY REVIEW'!$AE$4:$AE$400,'KNOWIFY REVIEW'!$AB$4:$AB$400,$B24,'KNOWIFY REVIEW'!$AC$4:$AC$400,$C24,'KNOWIFY REVIEW'!$AD$4:$AD$400,1),""))</f>
        <v/>
      </c>
      <c r="R24" s="43" t="str">
        <f aca="false">IF(OR($B24="",$C24=""),"",IFERROR(SUMIFS('KNOWIFY REVIEW'!$AH$4:$AH$400,'KNOWIFY REVIEW'!$AB$4:$AB$400,$B24,'KNOWIFY REVIEW'!$AC$4:$AC$400,IF(OR($C24=INPUTS!$B$69,$C24=INPUTS!$B$70),INPUTS!$B$71,$C24),'KNOWIFY REVIEW'!$AD$4:$AD$400,1)/SUMIFS('KNOWIFY REVIEW'!$AG$4:$AG$400,'KNOWIFY REVIEW'!$AB$4:$AB$400,$B24,'KNOWIFY REVIEW'!$AC$4:$AC$400,IF(OR($C24=INPUTS!$B$69,$C24=INPUTS!$B$70),INPUTS!$B$71,$C24),'KNOWIFY REVIEW'!$AD$4:$AD$400,1),""))</f>
        <v/>
      </c>
      <c r="S24" s="24" t="str">
        <f aca="false">IF(MAX(N($Q24),N($R24))&gt;1.1,"Past job ran over budget","")</f>
        <v/>
      </c>
    </row>
    <row r="25" customFormat="false" ht="15" hidden="false" customHeight="false" outlineLevel="0" collapsed="false">
      <c r="A25" s="10" t="s">
        <v>357</v>
      </c>
      <c r="B25" s="10" t="s">
        <v>106</v>
      </c>
      <c r="C25" s="10" t="s">
        <v>150</v>
      </c>
      <c r="D25" s="10" t="s">
        <v>290</v>
      </c>
      <c r="E25" s="38"/>
      <c r="F25" s="10" t="s">
        <v>276</v>
      </c>
      <c r="G25" s="39"/>
      <c r="H25" s="40"/>
      <c r="I25" s="39"/>
      <c r="J25" s="38"/>
      <c r="K25" s="10" t="s">
        <v>237</v>
      </c>
      <c r="L25" s="28" t="n">
        <f aca="false">($E25*$G25+$I25)*(1+IF($K25="N",0,INPUTS!$C$23))</f>
        <v>0</v>
      </c>
      <c r="M25" s="41" t="n">
        <f aca="false">$E25*$H25+$J25</f>
        <v>0</v>
      </c>
      <c r="N25" s="28" t="n">
        <f aca="false">$M25*IF(OR($B25="V",$B25="AC"),'LABOUR RATES'!$E$26,'LABOUR RATES'!$E$11)</f>
        <v>0</v>
      </c>
      <c r="O25" s="28" t="n">
        <f aca="false">$M25*IF(OR($B25="V",$B25="AC"),'LABOUR RATES'!$C$27,'LABOUR RATES'!$C$12)</f>
        <v>0</v>
      </c>
      <c r="P25" s="42" t="n">
        <f aca="false">$L25+$N25+$O25</f>
        <v>0</v>
      </c>
      <c r="Q25" s="43" t="str">
        <f aca="false">IF(OR($B25="",$C25=""),"",IFERROR(SUMIFS('KNOWIFY REVIEW'!$AF$4:$AF$400,'KNOWIFY REVIEW'!$AB$4:$AB$400,$B25,'KNOWIFY REVIEW'!$AC$4:$AC$400,$C25,'KNOWIFY REVIEW'!$AD$4:$AD$400,1)/SUMIFS('KNOWIFY REVIEW'!$AE$4:$AE$400,'KNOWIFY REVIEW'!$AB$4:$AB$400,$B25,'KNOWIFY REVIEW'!$AC$4:$AC$400,$C25,'KNOWIFY REVIEW'!$AD$4:$AD$400,1),""))</f>
        <v/>
      </c>
      <c r="R25" s="43" t="str">
        <f aca="false">IF(OR($B25="",$C25=""),"",IFERROR(SUMIFS('KNOWIFY REVIEW'!$AH$4:$AH$400,'KNOWIFY REVIEW'!$AB$4:$AB$400,$B25,'KNOWIFY REVIEW'!$AC$4:$AC$400,IF(OR($C25=INPUTS!$B$69,$C25=INPUTS!$B$70),INPUTS!$B$71,$C25),'KNOWIFY REVIEW'!$AD$4:$AD$400,1)/SUMIFS('KNOWIFY REVIEW'!$AG$4:$AG$400,'KNOWIFY REVIEW'!$AB$4:$AB$400,$B25,'KNOWIFY REVIEW'!$AC$4:$AC$400,IF(OR($C25=INPUTS!$B$69,$C25=INPUTS!$B$70),INPUTS!$B$71,$C25),'KNOWIFY REVIEW'!$AD$4:$AD$400,1),""))</f>
        <v/>
      </c>
      <c r="S25" s="24" t="str">
        <f aca="false">IF(MAX(N($Q25),N($R25))&gt;1.1,"Past job ran over budget","")</f>
        <v/>
      </c>
    </row>
    <row r="26" customFormat="false" ht="15" hidden="false" customHeight="false" outlineLevel="0" collapsed="false">
      <c r="A26" s="10" t="s">
        <v>358</v>
      </c>
      <c r="B26" s="10" t="s">
        <v>106</v>
      </c>
      <c r="C26" s="10" t="s">
        <v>151</v>
      </c>
      <c r="D26" s="10" t="s">
        <v>359</v>
      </c>
      <c r="E26" s="38"/>
      <c r="F26" s="10" t="s">
        <v>236</v>
      </c>
      <c r="G26" s="39"/>
      <c r="H26" s="40"/>
      <c r="I26" s="39"/>
      <c r="J26" s="38"/>
      <c r="K26" s="10" t="s">
        <v>237</v>
      </c>
      <c r="L26" s="28" t="n">
        <f aca="false">($E26*$G26+$I26)*(1+IF($K26="N",0,INPUTS!$C$23))</f>
        <v>0</v>
      </c>
      <c r="M26" s="41" t="n">
        <f aca="false">$E26*$H26+$J26</f>
        <v>0</v>
      </c>
      <c r="N26" s="28" t="n">
        <f aca="false">$M26*IF(OR($B26="V",$B26="AC"),'LABOUR RATES'!$E$26,'LABOUR RATES'!$E$11)</f>
        <v>0</v>
      </c>
      <c r="O26" s="28" t="n">
        <f aca="false">$M26*IF(OR($B26="V",$B26="AC"),'LABOUR RATES'!$C$27,'LABOUR RATES'!$C$12)</f>
        <v>0</v>
      </c>
      <c r="P26" s="42" t="n">
        <f aca="false">$L26+$N26+$O26</f>
        <v>0</v>
      </c>
      <c r="Q26" s="43" t="str">
        <f aca="false">IF(OR($B26="",$C26=""),"",IFERROR(SUMIFS('KNOWIFY REVIEW'!$AF$4:$AF$400,'KNOWIFY REVIEW'!$AB$4:$AB$400,$B26,'KNOWIFY REVIEW'!$AC$4:$AC$400,$C26,'KNOWIFY REVIEW'!$AD$4:$AD$400,1)/SUMIFS('KNOWIFY REVIEW'!$AE$4:$AE$400,'KNOWIFY REVIEW'!$AB$4:$AB$400,$B26,'KNOWIFY REVIEW'!$AC$4:$AC$400,$C26,'KNOWIFY REVIEW'!$AD$4:$AD$400,1),""))</f>
        <v/>
      </c>
      <c r="R26" s="43" t="str">
        <f aca="false">IF(OR($B26="",$C26=""),"",IFERROR(SUMIFS('KNOWIFY REVIEW'!$AH$4:$AH$400,'KNOWIFY REVIEW'!$AB$4:$AB$400,$B26,'KNOWIFY REVIEW'!$AC$4:$AC$400,IF(OR($C26=INPUTS!$B$69,$C26=INPUTS!$B$70),INPUTS!$B$71,$C26),'KNOWIFY REVIEW'!$AD$4:$AD$400,1)/SUMIFS('KNOWIFY REVIEW'!$AG$4:$AG$400,'KNOWIFY REVIEW'!$AB$4:$AB$400,$B26,'KNOWIFY REVIEW'!$AC$4:$AC$400,IF(OR($C26=INPUTS!$B$69,$C26=INPUTS!$B$70),INPUTS!$B$71,$C26),'KNOWIFY REVIEW'!$AD$4:$AD$400,1),""))</f>
        <v/>
      </c>
      <c r="S26" s="24" t="str">
        <f aca="false">IF(MAX(N($Q26),N($R26))&gt;1.1,"Past job ran over budget","")</f>
        <v/>
      </c>
    </row>
    <row r="27" customFormat="false" ht="15" hidden="false" customHeight="false" outlineLevel="0" collapsed="false">
      <c r="A27" s="10" t="s">
        <v>360</v>
      </c>
      <c r="B27" s="10" t="s">
        <v>106</v>
      </c>
      <c r="C27" s="10" t="s">
        <v>151</v>
      </c>
      <c r="D27" s="10" t="s">
        <v>294</v>
      </c>
      <c r="E27" s="38"/>
      <c r="F27" s="10" t="s">
        <v>236</v>
      </c>
      <c r="G27" s="39"/>
      <c r="H27" s="40"/>
      <c r="I27" s="39"/>
      <c r="J27" s="38"/>
      <c r="K27" s="10" t="s">
        <v>237</v>
      </c>
      <c r="L27" s="28" t="n">
        <f aca="false">($E27*$G27+$I27)*(1+IF($K27="N",0,INPUTS!$C$23))</f>
        <v>0</v>
      </c>
      <c r="M27" s="41" t="n">
        <f aca="false">$E27*$H27+$J27</f>
        <v>0</v>
      </c>
      <c r="N27" s="28" t="n">
        <f aca="false">$M27*IF(OR($B27="V",$B27="AC"),'LABOUR RATES'!$E$26,'LABOUR RATES'!$E$11)</f>
        <v>0</v>
      </c>
      <c r="O27" s="28" t="n">
        <f aca="false">$M27*IF(OR($B27="V",$B27="AC"),'LABOUR RATES'!$C$27,'LABOUR RATES'!$C$12)</f>
        <v>0</v>
      </c>
      <c r="P27" s="42" t="n">
        <f aca="false">$L27+$N27+$O27</f>
        <v>0</v>
      </c>
      <c r="Q27" s="43" t="str">
        <f aca="false">IF(OR($B27="",$C27=""),"",IFERROR(SUMIFS('KNOWIFY REVIEW'!$AF$4:$AF$400,'KNOWIFY REVIEW'!$AB$4:$AB$400,$B27,'KNOWIFY REVIEW'!$AC$4:$AC$400,$C27,'KNOWIFY REVIEW'!$AD$4:$AD$400,1)/SUMIFS('KNOWIFY REVIEW'!$AE$4:$AE$400,'KNOWIFY REVIEW'!$AB$4:$AB$400,$B27,'KNOWIFY REVIEW'!$AC$4:$AC$400,$C27,'KNOWIFY REVIEW'!$AD$4:$AD$400,1),""))</f>
        <v/>
      </c>
      <c r="R27" s="43" t="str">
        <f aca="false">IF(OR($B27="",$C27=""),"",IFERROR(SUMIFS('KNOWIFY REVIEW'!$AH$4:$AH$400,'KNOWIFY REVIEW'!$AB$4:$AB$400,$B27,'KNOWIFY REVIEW'!$AC$4:$AC$400,IF(OR($C27=INPUTS!$B$69,$C27=INPUTS!$B$70),INPUTS!$B$71,$C27),'KNOWIFY REVIEW'!$AD$4:$AD$400,1)/SUMIFS('KNOWIFY REVIEW'!$AG$4:$AG$400,'KNOWIFY REVIEW'!$AB$4:$AB$400,$B27,'KNOWIFY REVIEW'!$AC$4:$AC$400,IF(OR($C27=INPUTS!$B$69,$C27=INPUTS!$B$70),INPUTS!$B$71,$C27),'KNOWIFY REVIEW'!$AD$4:$AD$400,1),""))</f>
        <v/>
      </c>
      <c r="S27" s="24" t="str">
        <f aca="false">IF(MAX(N($Q27),N($R27))&gt;1.1,"Past job ran over budget","")</f>
        <v/>
      </c>
    </row>
    <row r="28" customFormat="false" ht="15" hidden="false" customHeight="false" outlineLevel="0" collapsed="false">
      <c r="A28" s="10" t="s">
        <v>361</v>
      </c>
      <c r="B28" s="10" t="s">
        <v>106</v>
      </c>
      <c r="C28" s="10" t="s">
        <v>153</v>
      </c>
      <c r="D28" s="10" t="s">
        <v>362</v>
      </c>
      <c r="E28" s="38"/>
      <c r="F28" s="10" t="s">
        <v>236</v>
      </c>
      <c r="G28" s="39"/>
      <c r="H28" s="40"/>
      <c r="I28" s="39"/>
      <c r="J28" s="38"/>
      <c r="K28" s="10" t="s">
        <v>237</v>
      </c>
      <c r="L28" s="28" t="n">
        <f aca="false">($E28*$G28+$I28)*(1+IF($K28="N",0,INPUTS!$C$23))</f>
        <v>0</v>
      </c>
      <c r="M28" s="41" t="n">
        <f aca="false">$E28*$H28+$J28</f>
        <v>0</v>
      </c>
      <c r="N28" s="28" t="n">
        <f aca="false">$M28*IF(OR($B28="V",$B28="AC"),'LABOUR RATES'!$E$26,'LABOUR RATES'!$E$11)</f>
        <v>0</v>
      </c>
      <c r="O28" s="28" t="n">
        <f aca="false">$M28*IF(OR($B28="V",$B28="AC"),'LABOUR RATES'!$C$27,'LABOUR RATES'!$C$12)</f>
        <v>0</v>
      </c>
      <c r="P28" s="42" t="n">
        <f aca="false">$L28+$N28+$O28</f>
        <v>0</v>
      </c>
      <c r="Q28" s="43" t="str">
        <f aca="false">IF(OR($B28="",$C28=""),"",IFERROR(SUMIFS('KNOWIFY REVIEW'!$AF$4:$AF$400,'KNOWIFY REVIEW'!$AB$4:$AB$400,$B28,'KNOWIFY REVIEW'!$AC$4:$AC$400,$C28,'KNOWIFY REVIEW'!$AD$4:$AD$400,1)/SUMIFS('KNOWIFY REVIEW'!$AE$4:$AE$400,'KNOWIFY REVIEW'!$AB$4:$AB$400,$B28,'KNOWIFY REVIEW'!$AC$4:$AC$400,$C28,'KNOWIFY REVIEW'!$AD$4:$AD$400,1),""))</f>
        <v/>
      </c>
      <c r="R28" s="43" t="str">
        <f aca="false">IF(OR($B28="",$C28=""),"",IFERROR(SUMIFS('KNOWIFY REVIEW'!$AH$4:$AH$400,'KNOWIFY REVIEW'!$AB$4:$AB$400,$B28,'KNOWIFY REVIEW'!$AC$4:$AC$400,IF(OR($C28=INPUTS!$B$69,$C28=INPUTS!$B$70),INPUTS!$B$71,$C28),'KNOWIFY REVIEW'!$AD$4:$AD$400,1)/SUMIFS('KNOWIFY REVIEW'!$AG$4:$AG$400,'KNOWIFY REVIEW'!$AB$4:$AB$400,$B28,'KNOWIFY REVIEW'!$AC$4:$AC$400,IF(OR($C28=INPUTS!$B$69,$C28=INPUTS!$B$70),INPUTS!$B$71,$C28),'KNOWIFY REVIEW'!$AD$4:$AD$400,1),""))</f>
        <v/>
      </c>
      <c r="S28" s="24" t="str">
        <f aca="false">IF(MAX(N($Q28),N($R28))&gt;1.1,"Past job ran over budget","")</f>
        <v/>
      </c>
    </row>
    <row r="29" customFormat="false" ht="15" hidden="false" customHeight="false" outlineLevel="0" collapsed="false">
      <c r="A29" s="10" t="s">
        <v>363</v>
      </c>
      <c r="B29" s="10" t="s">
        <v>106</v>
      </c>
      <c r="C29" s="10" t="s">
        <v>154</v>
      </c>
      <c r="D29" s="10" t="s">
        <v>304</v>
      </c>
      <c r="E29" s="38"/>
      <c r="F29" s="10" t="s">
        <v>276</v>
      </c>
      <c r="G29" s="39"/>
      <c r="H29" s="40"/>
      <c r="I29" s="39"/>
      <c r="J29" s="38"/>
      <c r="K29" s="10" t="s">
        <v>237</v>
      </c>
      <c r="L29" s="28" t="n">
        <f aca="false">($E29*$G29+$I29)*(1+IF($K29="N",0,INPUTS!$C$23))</f>
        <v>0</v>
      </c>
      <c r="M29" s="41" t="n">
        <f aca="false">$E29*$H29+$J29</f>
        <v>0</v>
      </c>
      <c r="N29" s="28" t="n">
        <f aca="false">$M29*IF(OR($B29="V",$B29="AC"),'LABOUR RATES'!$E$26,'LABOUR RATES'!$E$11)</f>
        <v>0</v>
      </c>
      <c r="O29" s="28" t="n">
        <f aca="false">$M29*IF(OR($B29="V",$B29="AC"),'LABOUR RATES'!$C$27,'LABOUR RATES'!$C$12)</f>
        <v>0</v>
      </c>
      <c r="P29" s="42" t="n">
        <f aca="false">$L29+$N29+$O29</f>
        <v>0</v>
      </c>
      <c r="Q29" s="43" t="str">
        <f aca="false">IF(OR($B29="",$C29=""),"",IFERROR(SUMIFS('KNOWIFY REVIEW'!$AF$4:$AF$400,'KNOWIFY REVIEW'!$AB$4:$AB$400,$B29,'KNOWIFY REVIEW'!$AC$4:$AC$400,$C29,'KNOWIFY REVIEW'!$AD$4:$AD$400,1)/SUMIFS('KNOWIFY REVIEW'!$AE$4:$AE$400,'KNOWIFY REVIEW'!$AB$4:$AB$400,$B29,'KNOWIFY REVIEW'!$AC$4:$AC$400,$C29,'KNOWIFY REVIEW'!$AD$4:$AD$400,1),""))</f>
        <v/>
      </c>
      <c r="R29" s="43" t="str">
        <f aca="false">IF(OR($B29="",$C29=""),"",IFERROR(SUMIFS('KNOWIFY REVIEW'!$AH$4:$AH$400,'KNOWIFY REVIEW'!$AB$4:$AB$400,$B29,'KNOWIFY REVIEW'!$AC$4:$AC$400,IF(OR($C29=INPUTS!$B$69,$C29=INPUTS!$B$70),INPUTS!$B$71,$C29),'KNOWIFY REVIEW'!$AD$4:$AD$400,1)/SUMIFS('KNOWIFY REVIEW'!$AG$4:$AG$400,'KNOWIFY REVIEW'!$AB$4:$AB$400,$B29,'KNOWIFY REVIEW'!$AC$4:$AC$400,IF(OR($C29=INPUTS!$B$69,$C29=INPUTS!$B$70),INPUTS!$B$71,$C29),'KNOWIFY REVIEW'!$AD$4:$AD$400,1),""))</f>
        <v/>
      </c>
      <c r="S29" s="24" t="str">
        <f aca="false">IF(MAX(N($Q29),N($R29))&gt;1.1,"Past job ran over budget","")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38"/>
      <c r="F30" s="10"/>
      <c r="G30" s="39"/>
      <c r="H30" s="40"/>
      <c r="I30" s="39"/>
      <c r="J30" s="38"/>
      <c r="K30" s="10" t="s">
        <v>237</v>
      </c>
      <c r="L30" s="28" t="n">
        <f aca="false">($E30*$G30+$I30)*(1+IF($K30="N",0,INPUTS!$C$23))</f>
        <v>0</v>
      </c>
      <c r="M30" s="41" t="n">
        <f aca="false">$E30*$H30+$J30</f>
        <v>0</v>
      </c>
      <c r="N30" s="28" t="n">
        <f aca="false">$M30*IF(OR($B30="V",$B30="AC"),'LABOUR RATES'!$E$26,'LABOUR RATES'!$E$11)</f>
        <v>0</v>
      </c>
      <c r="O30" s="28" t="n">
        <f aca="false">$M30*IF(OR($B30="V",$B30="AC"),'LABOUR RATES'!$C$27,'LABOUR RATES'!$C$12)</f>
        <v>0</v>
      </c>
      <c r="P30" s="42" t="n">
        <f aca="false">$L30+$N30+$O30</f>
        <v>0</v>
      </c>
      <c r="Q30" s="43" t="str">
        <f aca="false">IF(OR($B30="",$C30=""),"",IFERROR(SUMIFS('KNOWIFY REVIEW'!$AF$4:$AF$400,'KNOWIFY REVIEW'!$AB$4:$AB$400,$B30,'KNOWIFY REVIEW'!$AC$4:$AC$400,$C30,'KNOWIFY REVIEW'!$AD$4:$AD$400,1)/SUMIFS('KNOWIFY REVIEW'!$AE$4:$AE$400,'KNOWIFY REVIEW'!$AB$4:$AB$400,$B30,'KNOWIFY REVIEW'!$AC$4:$AC$400,$C30,'KNOWIFY REVIEW'!$AD$4:$AD$400,1),""))</f>
        <v/>
      </c>
      <c r="R30" s="43" t="str">
        <f aca="false">IF(OR($B30="",$C30=""),"",IFERROR(SUMIFS('KNOWIFY REVIEW'!$AH$4:$AH$400,'KNOWIFY REVIEW'!$AB$4:$AB$400,$B30,'KNOWIFY REVIEW'!$AC$4:$AC$400,IF(OR($C30=INPUTS!$B$69,$C30=INPUTS!$B$70),INPUTS!$B$71,$C30),'KNOWIFY REVIEW'!$AD$4:$AD$400,1)/SUMIFS('KNOWIFY REVIEW'!$AG$4:$AG$400,'KNOWIFY REVIEW'!$AB$4:$AB$400,$B30,'KNOWIFY REVIEW'!$AC$4:$AC$400,IF(OR($C30=INPUTS!$B$69,$C30=INPUTS!$B$70),INPUTS!$B$71,$C30),'KNOWIFY REVIEW'!$AD$4:$AD$400,1),""))</f>
        <v/>
      </c>
      <c r="S30" s="24" t="str">
        <f aca="false">IF(MAX(N($Q30),N($R30))&gt;1.1,"Past job ran over budget","")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38"/>
      <c r="F31" s="10"/>
      <c r="G31" s="39"/>
      <c r="H31" s="40"/>
      <c r="I31" s="39"/>
      <c r="J31" s="38"/>
      <c r="K31" s="10" t="s">
        <v>237</v>
      </c>
      <c r="L31" s="28" t="n">
        <f aca="false">($E31*$G31+$I31)*(1+IF($K31="N",0,INPUTS!$C$23))</f>
        <v>0</v>
      </c>
      <c r="M31" s="41" t="n">
        <f aca="false">$E31*$H31+$J31</f>
        <v>0</v>
      </c>
      <c r="N31" s="28" t="n">
        <f aca="false">$M31*IF(OR($B31="V",$B31="AC"),'LABOUR RATES'!$E$26,'LABOUR RATES'!$E$11)</f>
        <v>0</v>
      </c>
      <c r="O31" s="28" t="n">
        <f aca="false">$M31*IF(OR($B31="V",$B31="AC"),'LABOUR RATES'!$C$27,'LABOUR RATES'!$C$12)</f>
        <v>0</v>
      </c>
      <c r="P31" s="42" t="n">
        <f aca="false">$L31+$N31+$O31</f>
        <v>0</v>
      </c>
      <c r="Q31" s="43" t="str">
        <f aca="false">IF(OR($B31="",$C31=""),"",IFERROR(SUMIFS('KNOWIFY REVIEW'!$AF$4:$AF$400,'KNOWIFY REVIEW'!$AB$4:$AB$400,$B31,'KNOWIFY REVIEW'!$AC$4:$AC$400,$C31,'KNOWIFY REVIEW'!$AD$4:$AD$400,1)/SUMIFS('KNOWIFY REVIEW'!$AE$4:$AE$400,'KNOWIFY REVIEW'!$AB$4:$AB$400,$B31,'KNOWIFY REVIEW'!$AC$4:$AC$400,$C31,'KNOWIFY REVIEW'!$AD$4:$AD$400,1),""))</f>
        <v/>
      </c>
      <c r="R31" s="43" t="str">
        <f aca="false">IF(OR($B31="",$C31=""),"",IFERROR(SUMIFS('KNOWIFY REVIEW'!$AH$4:$AH$400,'KNOWIFY REVIEW'!$AB$4:$AB$400,$B31,'KNOWIFY REVIEW'!$AC$4:$AC$400,IF(OR($C31=INPUTS!$B$69,$C31=INPUTS!$B$70),INPUTS!$B$71,$C31),'KNOWIFY REVIEW'!$AD$4:$AD$400,1)/SUMIFS('KNOWIFY REVIEW'!$AG$4:$AG$400,'KNOWIFY REVIEW'!$AB$4:$AB$400,$B31,'KNOWIFY REVIEW'!$AC$4:$AC$400,IF(OR($C31=INPUTS!$B$69,$C31=INPUTS!$B$70),INPUTS!$B$71,$C31),'KNOWIFY REVIEW'!$AD$4:$AD$400,1),""))</f>
        <v/>
      </c>
      <c r="S31" s="24" t="str">
        <f aca="false">IF(MAX(N($Q31),N($R31))&gt;1.1,"Past job ran over budget","")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38"/>
      <c r="F32" s="10"/>
      <c r="G32" s="39"/>
      <c r="H32" s="40"/>
      <c r="I32" s="39"/>
      <c r="J32" s="38"/>
      <c r="K32" s="10" t="s">
        <v>237</v>
      </c>
      <c r="L32" s="28" t="n">
        <f aca="false">($E32*$G32+$I32)*(1+IF($K32="N",0,INPUTS!$C$23))</f>
        <v>0</v>
      </c>
      <c r="M32" s="41" t="n">
        <f aca="false">$E32*$H32+$J32</f>
        <v>0</v>
      </c>
      <c r="N32" s="28" t="n">
        <f aca="false">$M32*IF(OR($B32="V",$B32="AC"),'LABOUR RATES'!$E$26,'LABOUR RATES'!$E$11)</f>
        <v>0</v>
      </c>
      <c r="O32" s="28" t="n">
        <f aca="false">$M32*IF(OR($B32="V",$B32="AC"),'LABOUR RATES'!$C$27,'LABOUR RATES'!$C$12)</f>
        <v>0</v>
      </c>
      <c r="P32" s="42" t="n">
        <f aca="false">$L32+$N32+$O32</f>
        <v>0</v>
      </c>
      <c r="Q32" s="43" t="str">
        <f aca="false">IF(OR($B32="",$C32=""),"",IFERROR(SUMIFS('KNOWIFY REVIEW'!$AF$4:$AF$400,'KNOWIFY REVIEW'!$AB$4:$AB$400,$B32,'KNOWIFY REVIEW'!$AC$4:$AC$400,$C32,'KNOWIFY REVIEW'!$AD$4:$AD$400,1)/SUMIFS('KNOWIFY REVIEW'!$AE$4:$AE$400,'KNOWIFY REVIEW'!$AB$4:$AB$400,$B32,'KNOWIFY REVIEW'!$AC$4:$AC$400,$C32,'KNOWIFY REVIEW'!$AD$4:$AD$400,1),""))</f>
        <v/>
      </c>
      <c r="R32" s="43" t="str">
        <f aca="false">IF(OR($B32="",$C32=""),"",IFERROR(SUMIFS('KNOWIFY REVIEW'!$AH$4:$AH$400,'KNOWIFY REVIEW'!$AB$4:$AB$400,$B32,'KNOWIFY REVIEW'!$AC$4:$AC$400,IF(OR($C32=INPUTS!$B$69,$C32=INPUTS!$B$70),INPUTS!$B$71,$C32),'KNOWIFY REVIEW'!$AD$4:$AD$400,1)/SUMIFS('KNOWIFY REVIEW'!$AG$4:$AG$400,'KNOWIFY REVIEW'!$AB$4:$AB$400,$B32,'KNOWIFY REVIEW'!$AC$4:$AC$400,IF(OR($C32=INPUTS!$B$69,$C32=INPUTS!$B$70),INPUTS!$B$71,$C32),'KNOWIFY REVIEW'!$AD$4:$AD$400,1),""))</f>
        <v/>
      </c>
      <c r="S32" s="24" t="str">
        <f aca="false">IF(MAX(N($Q32),N($R32))&gt;1.1,"Past job ran over budget","")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38"/>
      <c r="F33" s="10"/>
      <c r="G33" s="39"/>
      <c r="H33" s="40"/>
      <c r="I33" s="39"/>
      <c r="J33" s="38"/>
      <c r="K33" s="10" t="s">
        <v>237</v>
      </c>
      <c r="L33" s="28" t="n">
        <f aca="false">($E33*$G33+$I33)*(1+IF($K33="N",0,INPUTS!$C$23))</f>
        <v>0</v>
      </c>
      <c r="M33" s="41" t="n">
        <f aca="false">$E33*$H33+$J33</f>
        <v>0</v>
      </c>
      <c r="N33" s="28" t="n">
        <f aca="false">$M33*IF(OR($B33="V",$B33="AC"),'LABOUR RATES'!$E$26,'LABOUR RATES'!$E$11)</f>
        <v>0</v>
      </c>
      <c r="O33" s="28" t="n">
        <f aca="false">$M33*IF(OR($B33="V",$B33="AC"),'LABOUR RATES'!$C$27,'LABOUR RATES'!$C$12)</f>
        <v>0</v>
      </c>
      <c r="P33" s="42" t="n">
        <f aca="false">$L33+$N33+$O33</f>
        <v>0</v>
      </c>
      <c r="Q33" s="43" t="str">
        <f aca="false">IF(OR($B33="",$C33=""),"",IFERROR(SUMIFS('KNOWIFY REVIEW'!$AF$4:$AF$400,'KNOWIFY REVIEW'!$AB$4:$AB$400,$B33,'KNOWIFY REVIEW'!$AC$4:$AC$400,$C33,'KNOWIFY REVIEW'!$AD$4:$AD$400,1)/SUMIFS('KNOWIFY REVIEW'!$AE$4:$AE$400,'KNOWIFY REVIEW'!$AB$4:$AB$400,$B33,'KNOWIFY REVIEW'!$AC$4:$AC$400,$C33,'KNOWIFY REVIEW'!$AD$4:$AD$400,1),""))</f>
        <v/>
      </c>
      <c r="R33" s="43" t="str">
        <f aca="false">IF(OR($B33="",$C33=""),"",IFERROR(SUMIFS('KNOWIFY REVIEW'!$AH$4:$AH$400,'KNOWIFY REVIEW'!$AB$4:$AB$400,$B33,'KNOWIFY REVIEW'!$AC$4:$AC$400,IF(OR($C33=INPUTS!$B$69,$C33=INPUTS!$B$70),INPUTS!$B$71,$C33),'KNOWIFY REVIEW'!$AD$4:$AD$400,1)/SUMIFS('KNOWIFY REVIEW'!$AG$4:$AG$400,'KNOWIFY REVIEW'!$AB$4:$AB$400,$B33,'KNOWIFY REVIEW'!$AC$4:$AC$400,IF(OR($C33=INPUTS!$B$69,$C33=INPUTS!$B$70),INPUTS!$B$71,$C33),'KNOWIFY REVIEW'!$AD$4:$AD$400,1),""))</f>
        <v/>
      </c>
      <c r="S33" s="24" t="str">
        <f aca="false">IF(MAX(N($Q33),N($R33))&gt;1.1,"Past job ran over budget","")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38"/>
      <c r="F34" s="10"/>
      <c r="G34" s="39"/>
      <c r="H34" s="40"/>
      <c r="I34" s="39"/>
      <c r="J34" s="38"/>
      <c r="K34" s="10" t="s">
        <v>237</v>
      </c>
      <c r="L34" s="28" t="n">
        <f aca="false">($E34*$G34+$I34)*(1+IF($K34="N",0,INPUTS!$C$23))</f>
        <v>0</v>
      </c>
      <c r="M34" s="41" t="n">
        <f aca="false">$E34*$H34+$J34</f>
        <v>0</v>
      </c>
      <c r="N34" s="28" t="n">
        <f aca="false">$M34*IF(OR($B34="V",$B34="AC"),'LABOUR RATES'!$E$26,'LABOUR RATES'!$E$11)</f>
        <v>0</v>
      </c>
      <c r="O34" s="28" t="n">
        <f aca="false">$M34*IF(OR($B34="V",$B34="AC"),'LABOUR RATES'!$C$27,'LABOUR RATES'!$C$12)</f>
        <v>0</v>
      </c>
      <c r="P34" s="42" t="n">
        <f aca="false">$L34+$N34+$O34</f>
        <v>0</v>
      </c>
      <c r="Q34" s="43" t="str">
        <f aca="false">IF(OR($B34="",$C34=""),"",IFERROR(SUMIFS('KNOWIFY REVIEW'!$AF$4:$AF$400,'KNOWIFY REVIEW'!$AB$4:$AB$400,$B34,'KNOWIFY REVIEW'!$AC$4:$AC$400,$C34,'KNOWIFY REVIEW'!$AD$4:$AD$400,1)/SUMIFS('KNOWIFY REVIEW'!$AE$4:$AE$400,'KNOWIFY REVIEW'!$AB$4:$AB$400,$B34,'KNOWIFY REVIEW'!$AC$4:$AC$400,$C34,'KNOWIFY REVIEW'!$AD$4:$AD$400,1),""))</f>
        <v/>
      </c>
      <c r="R34" s="43" t="str">
        <f aca="false">IF(OR($B34="",$C34=""),"",IFERROR(SUMIFS('KNOWIFY REVIEW'!$AH$4:$AH$400,'KNOWIFY REVIEW'!$AB$4:$AB$400,$B34,'KNOWIFY REVIEW'!$AC$4:$AC$400,IF(OR($C34=INPUTS!$B$69,$C34=INPUTS!$B$70),INPUTS!$B$71,$C34),'KNOWIFY REVIEW'!$AD$4:$AD$400,1)/SUMIFS('KNOWIFY REVIEW'!$AG$4:$AG$400,'KNOWIFY REVIEW'!$AB$4:$AB$400,$B34,'KNOWIFY REVIEW'!$AC$4:$AC$400,IF(OR($C34=INPUTS!$B$69,$C34=INPUTS!$B$70),INPUTS!$B$71,$C34),'KNOWIFY REVIEW'!$AD$4:$AD$400,1),""))</f>
        <v/>
      </c>
      <c r="S34" s="24" t="str">
        <f aca="false">IF(MAX(N($Q34),N($R34))&gt;1.1,"Past job ran over budget","")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38"/>
      <c r="F35" s="10"/>
      <c r="G35" s="39"/>
      <c r="H35" s="40"/>
      <c r="I35" s="39"/>
      <c r="J35" s="38"/>
      <c r="K35" s="10" t="s">
        <v>237</v>
      </c>
      <c r="L35" s="28" t="n">
        <f aca="false">($E35*$G35+$I35)*(1+IF($K35="N",0,INPUTS!$C$23))</f>
        <v>0</v>
      </c>
      <c r="M35" s="41" t="n">
        <f aca="false">$E35*$H35+$J35</f>
        <v>0</v>
      </c>
      <c r="N35" s="28" t="n">
        <f aca="false">$M35*IF(OR($B35="V",$B35="AC"),'LABOUR RATES'!$E$26,'LABOUR RATES'!$E$11)</f>
        <v>0</v>
      </c>
      <c r="O35" s="28" t="n">
        <f aca="false">$M35*IF(OR($B35="V",$B35="AC"),'LABOUR RATES'!$C$27,'LABOUR RATES'!$C$12)</f>
        <v>0</v>
      </c>
      <c r="P35" s="42" t="n">
        <f aca="false">$L35+$N35+$O35</f>
        <v>0</v>
      </c>
      <c r="Q35" s="43" t="str">
        <f aca="false">IF(OR($B35="",$C35=""),"",IFERROR(SUMIFS('KNOWIFY REVIEW'!$AF$4:$AF$400,'KNOWIFY REVIEW'!$AB$4:$AB$400,$B35,'KNOWIFY REVIEW'!$AC$4:$AC$400,$C35,'KNOWIFY REVIEW'!$AD$4:$AD$400,1)/SUMIFS('KNOWIFY REVIEW'!$AE$4:$AE$400,'KNOWIFY REVIEW'!$AB$4:$AB$400,$B35,'KNOWIFY REVIEW'!$AC$4:$AC$400,$C35,'KNOWIFY REVIEW'!$AD$4:$AD$400,1),""))</f>
        <v/>
      </c>
      <c r="R35" s="43" t="str">
        <f aca="false">IF(OR($B35="",$C35=""),"",IFERROR(SUMIFS('KNOWIFY REVIEW'!$AH$4:$AH$400,'KNOWIFY REVIEW'!$AB$4:$AB$400,$B35,'KNOWIFY REVIEW'!$AC$4:$AC$400,IF(OR($C35=INPUTS!$B$69,$C35=INPUTS!$B$70),INPUTS!$B$71,$C35),'KNOWIFY REVIEW'!$AD$4:$AD$400,1)/SUMIFS('KNOWIFY REVIEW'!$AG$4:$AG$400,'KNOWIFY REVIEW'!$AB$4:$AB$400,$B35,'KNOWIFY REVIEW'!$AC$4:$AC$400,IF(OR($C35=INPUTS!$B$69,$C35=INPUTS!$B$70),INPUTS!$B$71,$C35),'KNOWIFY REVIEW'!$AD$4:$AD$400,1),""))</f>
        <v/>
      </c>
      <c r="S35" s="24" t="str">
        <f aca="false">IF(MAX(N($Q35),N($R35))&gt;1.1,"Past job ran over budget","")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38"/>
      <c r="F36" s="10"/>
      <c r="G36" s="39"/>
      <c r="H36" s="40"/>
      <c r="I36" s="39"/>
      <c r="J36" s="38"/>
      <c r="K36" s="10" t="s">
        <v>237</v>
      </c>
      <c r="L36" s="28" t="n">
        <f aca="false">($E36*$G36+$I36)*(1+IF($K36="N",0,INPUTS!$C$23))</f>
        <v>0</v>
      </c>
      <c r="M36" s="41" t="n">
        <f aca="false">$E36*$H36+$J36</f>
        <v>0</v>
      </c>
      <c r="N36" s="28" t="n">
        <f aca="false">$M36*IF(OR($B36="V",$B36="AC"),'LABOUR RATES'!$E$26,'LABOUR RATES'!$E$11)</f>
        <v>0</v>
      </c>
      <c r="O36" s="28" t="n">
        <f aca="false">$M36*IF(OR($B36="V",$B36="AC"),'LABOUR RATES'!$C$27,'LABOUR RATES'!$C$12)</f>
        <v>0</v>
      </c>
      <c r="P36" s="42" t="n">
        <f aca="false">$L36+$N36+$O36</f>
        <v>0</v>
      </c>
      <c r="Q36" s="43" t="str">
        <f aca="false">IF(OR($B36="",$C36=""),"",IFERROR(SUMIFS('KNOWIFY REVIEW'!$AF$4:$AF$400,'KNOWIFY REVIEW'!$AB$4:$AB$400,$B36,'KNOWIFY REVIEW'!$AC$4:$AC$400,$C36,'KNOWIFY REVIEW'!$AD$4:$AD$400,1)/SUMIFS('KNOWIFY REVIEW'!$AE$4:$AE$400,'KNOWIFY REVIEW'!$AB$4:$AB$400,$B36,'KNOWIFY REVIEW'!$AC$4:$AC$400,$C36,'KNOWIFY REVIEW'!$AD$4:$AD$400,1),""))</f>
        <v/>
      </c>
      <c r="R36" s="43" t="str">
        <f aca="false">IF(OR($B36="",$C36=""),"",IFERROR(SUMIFS('KNOWIFY REVIEW'!$AH$4:$AH$400,'KNOWIFY REVIEW'!$AB$4:$AB$400,$B36,'KNOWIFY REVIEW'!$AC$4:$AC$400,IF(OR($C36=INPUTS!$B$69,$C36=INPUTS!$B$70),INPUTS!$B$71,$C36),'KNOWIFY REVIEW'!$AD$4:$AD$400,1)/SUMIFS('KNOWIFY REVIEW'!$AG$4:$AG$400,'KNOWIFY REVIEW'!$AB$4:$AB$400,$B36,'KNOWIFY REVIEW'!$AC$4:$AC$400,IF(OR($C36=INPUTS!$B$69,$C36=INPUTS!$B$70),INPUTS!$B$71,$C36),'KNOWIFY REVIEW'!$AD$4:$AD$400,1),""))</f>
        <v/>
      </c>
      <c r="S36" s="24" t="str">
        <f aca="false">IF(MAX(N($Q36),N($R36))&gt;1.1,"Past job ran over budget","")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38"/>
      <c r="F37" s="10"/>
      <c r="G37" s="39"/>
      <c r="H37" s="40"/>
      <c r="I37" s="39"/>
      <c r="J37" s="38"/>
      <c r="K37" s="10" t="s">
        <v>237</v>
      </c>
      <c r="L37" s="28" t="n">
        <f aca="false">($E37*$G37+$I37)*(1+IF($K37="N",0,INPUTS!$C$23))</f>
        <v>0</v>
      </c>
      <c r="M37" s="41" t="n">
        <f aca="false">$E37*$H37+$J37</f>
        <v>0</v>
      </c>
      <c r="N37" s="28" t="n">
        <f aca="false">$M37*IF(OR($B37="V",$B37="AC"),'LABOUR RATES'!$E$26,'LABOUR RATES'!$E$11)</f>
        <v>0</v>
      </c>
      <c r="O37" s="28" t="n">
        <f aca="false">$M37*IF(OR($B37="V",$B37="AC"),'LABOUR RATES'!$C$27,'LABOUR RATES'!$C$12)</f>
        <v>0</v>
      </c>
      <c r="P37" s="42" t="n">
        <f aca="false">$L37+$N37+$O37</f>
        <v>0</v>
      </c>
      <c r="Q37" s="43" t="str">
        <f aca="false">IF(OR($B37="",$C37=""),"",IFERROR(SUMIFS('KNOWIFY REVIEW'!$AF$4:$AF$400,'KNOWIFY REVIEW'!$AB$4:$AB$400,$B37,'KNOWIFY REVIEW'!$AC$4:$AC$400,$C37,'KNOWIFY REVIEW'!$AD$4:$AD$400,1)/SUMIFS('KNOWIFY REVIEW'!$AE$4:$AE$400,'KNOWIFY REVIEW'!$AB$4:$AB$400,$B37,'KNOWIFY REVIEW'!$AC$4:$AC$400,$C37,'KNOWIFY REVIEW'!$AD$4:$AD$400,1),""))</f>
        <v/>
      </c>
      <c r="R37" s="43" t="str">
        <f aca="false">IF(OR($B37="",$C37=""),"",IFERROR(SUMIFS('KNOWIFY REVIEW'!$AH$4:$AH$400,'KNOWIFY REVIEW'!$AB$4:$AB$400,$B37,'KNOWIFY REVIEW'!$AC$4:$AC$400,IF(OR($C37=INPUTS!$B$69,$C37=INPUTS!$B$70),INPUTS!$B$71,$C37),'KNOWIFY REVIEW'!$AD$4:$AD$400,1)/SUMIFS('KNOWIFY REVIEW'!$AG$4:$AG$400,'KNOWIFY REVIEW'!$AB$4:$AB$400,$B37,'KNOWIFY REVIEW'!$AC$4:$AC$400,IF(OR($C37=INPUTS!$B$69,$C37=INPUTS!$B$70),INPUTS!$B$71,$C37),'KNOWIFY REVIEW'!$AD$4:$AD$400,1),""))</f>
        <v/>
      </c>
      <c r="S37" s="24" t="str">
        <f aca="false">IF(MAX(N($Q37),N($R37))&gt;1.1,"Past job ran over budget","")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38"/>
      <c r="F38" s="10"/>
      <c r="G38" s="39"/>
      <c r="H38" s="40"/>
      <c r="I38" s="39"/>
      <c r="J38" s="38"/>
      <c r="K38" s="10" t="s">
        <v>237</v>
      </c>
      <c r="L38" s="28" t="n">
        <f aca="false">($E38*$G38+$I38)*(1+IF($K38="N",0,INPUTS!$C$23))</f>
        <v>0</v>
      </c>
      <c r="M38" s="41" t="n">
        <f aca="false">$E38*$H38+$J38</f>
        <v>0</v>
      </c>
      <c r="N38" s="28" t="n">
        <f aca="false">$M38*IF(OR($B38="V",$B38="AC"),'LABOUR RATES'!$E$26,'LABOUR RATES'!$E$11)</f>
        <v>0</v>
      </c>
      <c r="O38" s="28" t="n">
        <f aca="false">$M38*IF(OR($B38="V",$B38="AC"),'LABOUR RATES'!$C$27,'LABOUR RATES'!$C$12)</f>
        <v>0</v>
      </c>
      <c r="P38" s="42" t="n">
        <f aca="false">$L38+$N38+$O38</f>
        <v>0</v>
      </c>
      <c r="Q38" s="43" t="str">
        <f aca="false">IF(OR($B38="",$C38=""),"",IFERROR(SUMIFS('KNOWIFY REVIEW'!$AF$4:$AF$400,'KNOWIFY REVIEW'!$AB$4:$AB$400,$B38,'KNOWIFY REVIEW'!$AC$4:$AC$400,$C38,'KNOWIFY REVIEW'!$AD$4:$AD$400,1)/SUMIFS('KNOWIFY REVIEW'!$AE$4:$AE$400,'KNOWIFY REVIEW'!$AB$4:$AB$400,$B38,'KNOWIFY REVIEW'!$AC$4:$AC$400,$C38,'KNOWIFY REVIEW'!$AD$4:$AD$400,1),""))</f>
        <v/>
      </c>
      <c r="R38" s="43" t="str">
        <f aca="false">IF(OR($B38="",$C38=""),"",IFERROR(SUMIFS('KNOWIFY REVIEW'!$AH$4:$AH$400,'KNOWIFY REVIEW'!$AB$4:$AB$400,$B38,'KNOWIFY REVIEW'!$AC$4:$AC$400,IF(OR($C38=INPUTS!$B$69,$C38=INPUTS!$B$70),INPUTS!$B$71,$C38),'KNOWIFY REVIEW'!$AD$4:$AD$400,1)/SUMIFS('KNOWIFY REVIEW'!$AG$4:$AG$400,'KNOWIFY REVIEW'!$AB$4:$AB$400,$B38,'KNOWIFY REVIEW'!$AC$4:$AC$400,IF(OR($C38=INPUTS!$B$69,$C38=INPUTS!$B$70),INPUTS!$B$71,$C38),'KNOWIFY REVIEW'!$AD$4:$AD$400,1),""))</f>
        <v/>
      </c>
      <c r="S38" s="24" t="str">
        <f aca="false">IF(MAX(N($Q38),N($R38))&gt;1.1,"Past job ran over budget","")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38"/>
      <c r="F39" s="10"/>
      <c r="G39" s="39"/>
      <c r="H39" s="40"/>
      <c r="I39" s="39"/>
      <c r="J39" s="38"/>
      <c r="K39" s="10" t="s">
        <v>237</v>
      </c>
      <c r="L39" s="28" t="n">
        <f aca="false">($E39*$G39+$I39)*(1+IF($K39="N",0,INPUTS!$C$23))</f>
        <v>0</v>
      </c>
      <c r="M39" s="41" t="n">
        <f aca="false">$E39*$H39+$J39</f>
        <v>0</v>
      </c>
      <c r="N39" s="28" t="n">
        <f aca="false">$M39*IF(OR($B39="V",$B39="AC"),'LABOUR RATES'!$E$26,'LABOUR RATES'!$E$11)</f>
        <v>0</v>
      </c>
      <c r="O39" s="28" t="n">
        <f aca="false">$M39*IF(OR($B39="V",$B39="AC"),'LABOUR RATES'!$C$27,'LABOUR RATES'!$C$12)</f>
        <v>0</v>
      </c>
      <c r="P39" s="42" t="n">
        <f aca="false">$L39+$N39+$O39</f>
        <v>0</v>
      </c>
      <c r="Q39" s="43" t="str">
        <f aca="false">IF(OR($B39="",$C39=""),"",IFERROR(SUMIFS('KNOWIFY REVIEW'!$AF$4:$AF$400,'KNOWIFY REVIEW'!$AB$4:$AB$400,$B39,'KNOWIFY REVIEW'!$AC$4:$AC$400,$C39,'KNOWIFY REVIEW'!$AD$4:$AD$400,1)/SUMIFS('KNOWIFY REVIEW'!$AE$4:$AE$400,'KNOWIFY REVIEW'!$AB$4:$AB$400,$B39,'KNOWIFY REVIEW'!$AC$4:$AC$400,$C39,'KNOWIFY REVIEW'!$AD$4:$AD$400,1),""))</f>
        <v/>
      </c>
      <c r="R39" s="43" t="str">
        <f aca="false">IF(OR($B39="",$C39=""),"",IFERROR(SUMIFS('KNOWIFY REVIEW'!$AH$4:$AH$400,'KNOWIFY REVIEW'!$AB$4:$AB$400,$B39,'KNOWIFY REVIEW'!$AC$4:$AC$400,IF(OR($C39=INPUTS!$B$69,$C39=INPUTS!$B$70),INPUTS!$B$71,$C39),'KNOWIFY REVIEW'!$AD$4:$AD$400,1)/SUMIFS('KNOWIFY REVIEW'!$AG$4:$AG$400,'KNOWIFY REVIEW'!$AB$4:$AB$400,$B39,'KNOWIFY REVIEW'!$AC$4:$AC$400,IF(OR($C39=INPUTS!$B$69,$C39=INPUTS!$B$70),INPUTS!$B$71,$C39),'KNOWIFY REVIEW'!$AD$4:$AD$400,1),""))</f>
        <v/>
      </c>
      <c r="S39" s="24" t="str">
        <f aca="false">IF(MAX(N($Q39),N($R39))&gt;1.1,"Past job ran over budget","")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38"/>
      <c r="F40" s="10"/>
      <c r="G40" s="39"/>
      <c r="H40" s="40"/>
      <c r="I40" s="39"/>
      <c r="J40" s="38"/>
      <c r="K40" s="10" t="s">
        <v>237</v>
      </c>
      <c r="L40" s="28" t="n">
        <f aca="false">($E40*$G40+$I40)*(1+IF($K40="N",0,INPUTS!$C$23))</f>
        <v>0</v>
      </c>
      <c r="M40" s="41" t="n">
        <f aca="false">$E40*$H40+$J40</f>
        <v>0</v>
      </c>
      <c r="N40" s="28" t="n">
        <f aca="false">$M40*IF(OR($B40="V",$B40="AC"),'LABOUR RATES'!$E$26,'LABOUR RATES'!$E$11)</f>
        <v>0</v>
      </c>
      <c r="O40" s="28" t="n">
        <f aca="false">$M40*IF(OR($B40="V",$B40="AC"),'LABOUR RATES'!$C$27,'LABOUR RATES'!$C$12)</f>
        <v>0</v>
      </c>
      <c r="P40" s="42" t="n">
        <f aca="false">$L40+$N40+$O40</f>
        <v>0</v>
      </c>
      <c r="Q40" s="43" t="str">
        <f aca="false">IF(OR($B40="",$C40=""),"",IFERROR(SUMIFS('KNOWIFY REVIEW'!$AF$4:$AF$400,'KNOWIFY REVIEW'!$AB$4:$AB$400,$B40,'KNOWIFY REVIEW'!$AC$4:$AC$400,$C40,'KNOWIFY REVIEW'!$AD$4:$AD$400,1)/SUMIFS('KNOWIFY REVIEW'!$AE$4:$AE$400,'KNOWIFY REVIEW'!$AB$4:$AB$400,$B40,'KNOWIFY REVIEW'!$AC$4:$AC$400,$C40,'KNOWIFY REVIEW'!$AD$4:$AD$400,1),""))</f>
        <v/>
      </c>
      <c r="R40" s="43" t="str">
        <f aca="false">IF(OR($B40="",$C40=""),"",IFERROR(SUMIFS('KNOWIFY REVIEW'!$AH$4:$AH$400,'KNOWIFY REVIEW'!$AB$4:$AB$400,$B40,'KNOWIFY REVIEW'!$AC$4:$AC$400,IF(OR($C40=INPUTS!$B$69,$C40=INPUTS!$B$70),INPUTS!$B$71,$C40),'KNOWIFY REVIEW'!$AD$4:$AD$400,1)/SUMIFS('KNOWIFY REVIEW'!$AG$4:$AG$400,'KNOWIFY REVIEW'!$AB$4:$AB$400,$B40,'KNOWIFY REVIEW'!$AC$4:$AC$400,IF(OR($C40=INPUTS!$B$69,$C40=INPUTS!$B$70),INPUTS!$B$71,$C40),'KNOWIFY REVIEW'!$AD$4:$AD$400,1),""))</f>
        <v/>
      </c>
      <c r="S40" s="24" t="str">
        <f aca="false">IF(MAX(N($Q40),N($R40))&gt;1.1,"Past job ran over budget","")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38"/>
      <c r="F41" s="10"/>
      <c r="G41" s="39"/>
      <c r="H41" s="40"/>
      <c r="I41" s="39"/>
      <c r="J41" s="38"/>
      <c r="K41" s="10" t="s">
        <v>237</v>
      </c>
      <c r="L41" s="28" t="n">
        <f aca="false">($E41*$G41+$I41)*(1+IF($K41="N",0,INPUTS!$C$23))</f>
        <v>0</v>
      </c>
      <c r="M41" s="41" t="n">
        <f aca="false">$E41*$H41+$J41</f>
        <v>0</v>
      </c>
      <c r="N41" s="28" t="n">
        <f aca="false">$M41*IF(OR($B41="V",$B41="AC"),'LABOUR RATES'!$E$26,'LABOUR RATES'!$E$11)</f>
        <v>0</v>
      </c>
      <c r="O41" s="28" t="n">
        <f aca="false">$M41*IF(OR($B41="V",$B41="AC"),'LABOUR RATES'!$C$27,'LABOUR RATES'!$C$12)</f>
        <v>0</v>
      </c>
      <c r="P41" s="42" t="n">
        <f aca="false">$L41+$N41+$O41</f>
        <v>0</v>
      </c>
      <c r="Q41" s="43" t="str">
        <f aca="false">IF(OR($B41="",$C41=""),"",IFERROR(SUMIFS('KNOWIFY REVIEW'!$AF$4:$AF$400,'KNOWIFY REVIEW'!$AB$4:$AB$400,$B41,'KNOWIFY REVIEW'!$AC$4:$AC$400,$C41,'KNOWIFY REVIEW'!$AD$4:$AD$400,1)/SUMIFS('KNOWIFY REVIEW'!$AE$4:$AE$400,'KNOWIFY REVIEW'!$AB$4:$AB$400,$B41,'KNOWIFY REVIEW'!$AC$4:$AC$400,$C41,'KNOWIFY REVIEW'!$AD$4:$AD$400,1),""))</f>
        <v/>
      </c>
      <c r="R41" s="43" t="str">
        <f aca="false">IF(OR($B41="",$C41=""),"",IFERROR(SUMIFS('KNOWIFY REVIEW'!$AH$4:$AH$400,'KNOWIFY REVIEW'!$AB$4:$AB$400,$B41,'KNOWIFY REVIEW'!$AC$4:$AC$400,IF(OR($C41=INPUTS!$B$69,$C41=INPUTS!$B$70),INPUTS!$B$71,$C41),'KNOWIFY REVIEW'!$AD$4:$AD$400,1)/SUMIFS('KNOWIFY REVIEW'!$AG$4:$AG$400,'KNOWIFY REVIEW'!$AB$4:$AB$400,$B41,'KNOWIFY REVIEW'!$AC$4:$AC$400,IF(OR($C41=INPUTS!$B$69,$C41=INPUTS!$B$70),INPUTS!$B$71,$C41),'KNOWIFY REVIEW'!$AD$4:$AD$400,1),""))</f>
        <v/>
      </c>
      <c r="S41" s="24" t="str">
        <f aca="false">IF(MAX(N($Q41),N($R41))&gt;1.1,"Past job ran over budget","")</f>
        <v/>
      </c>
    </row>
    <row r="42" customFormat="false" ht="15" hidden="false" customHeight="false" outlineLevel="0" collapsed="false">
      <c r="A42" s="10"/>
      <c r="B42" s="10"/>
      <c r="C42" s="10"/>
      <c r="D42" s="10"/>
      <c r="E42" s="38"/>
      <c r="F42" s="10"/>
      <c r="G42" s="39"/>
      <c r="H42" s="40"/>
      <c r="I42" s="39"/>
      <c r="J42" s="38"/>
      <c r="K42" s="10" t="s">
        <v>237</v>
      </c>
      <c r="L42" s="28" t="n">
        <f aca="false">($E42*$G42+$I42)*(1+IF($K42="N",0,INPUTS!$C$23))</f>
        <v>0</v>
      </c>
      <c r="M42" s="41" t="n">
        <f aca="false">$E42*$H42+$J42</f>
        <v>0</v>
      </c>
      <c r="N42" s="28" t="n">
        <f aca="false">$M42*IF(OR($B42="V",$B42="AC"),'LABOUR RATES'!$E$26,'LABOUR RATES'!$E$11)</f>
        <v>0</v>
      </c>
      <c r="O42" s="28" t="n">
        <f aca="false">$M42*IF(OR($B42="V",$B42="AC"),'LABOUR RATES'!$C$27,'LABOUR RATES'!$C$12)</f>
        <v>0</v>
      </c>
      <c r="P42" s="42" t="n">
        <f aca="false">$L42+$N42+$O42</f>
        <v>0</v>
      </c>
      <c r="Q42" s="43" t="str">
        <f aca="false">IF(OR($B42="",$C42=""),"",IFERROR(SUMIFS('KNOWIFY REVIEW'!$AF$4:$AF$400,'KNOWIFY REVIEW'!$AB$4:$AB$400,$B42,'KNOWIFY REVIEW'!$AC$4:$AC$400,$C42,'KNOWIFY REVIEW'!$AD$4:$AD$400,1)/SUMIFS('KNOWIFY REVIEW'!$AE$4:$AE$400,'KNOWIFY REVIEW'!$AB$4:$AB$400,$B42,'KNOWIFY REVIEW'!$AC$4:$AC$400,$C42,'KNOWIFY REVIEW'!$AD$4:$AD$400,1),""))</f>
        <v/>
      </c>
      <c r="R42" s="43" t="str">
        <f aca="false">IF(OR($B42="",$C42=""),"",IFERROR(SUMIFS('KNOWIFY REVIEW'!$AH$4:$AH$400,'KNOWIFY REVIEW'!$AB$4:$AB$400,$B42,'KNOWIFY REVIEW'!$AC$4:$AC$400,IF(OR($C42=INPUTS!$B$69,$C42=INPUTS!$B$70),INPUTS!$B$71,$C42),'KNOWIFY REVIEW'!$AD$4:$AD$400,1)/SUMIFS('KNOWIFY REVIEW'!$AG$4:$AG$400,'KNOWIFY REVIEW'!$AB$4:$AB$400,$B42,'KNOWIFY REVIEW'!$AC$4:$AC$400,IF(OR($C42=INPUTS!$B$69,$C42=INPUTS!$B$70),INPUTS!$B$71,$C42),'KNOWIFY REVIEW'!$AD$4:$AD$400,1),""))</f>
        <v/>
      </c>
      <c r="S42" s="24" t="str">
        <f aca="false">IF(MAX(N($Q42),N($R42))&gt;1.1,"Past job ran over budget","")</f>
        <v/>
      </c>
    </row>
    <row r="43" customFormat="false" ht="15" hidden="false" customHeight="false" outlineLevel="0" collapsed="false">
      <c r="A43" s="10"/>
      <c r="B43" s="10"/>
      <c r="C43" s="10"/>
      <c r="D43" s="10"/>
      <c r="E43" s="38"/>
      <c r="F43" s="10"/>
      <c r="G43" s="39"/>
      <c r="H43" s="40"/>
      <c r="I43" s="39"/>
      <c r="J43" s="38"/>
      <c r="K43" s="10" t="s">
        <v>237</v>
      </c>
      <c r="L43" s="28" t="n">
        <f aca="false">($E43*$G43+$I43)*(1+IF($K43="N",0,INPUTS!$C$23))</f>
        <v>0</v>
      </c>
      <c r="M43" s="41" t="n">
        <f aca="false">$E43*$H43+$J43</f>
        <v>0</v>
      </c>
      <c r="N43" s="28" t="n">
        <f aca="false">$M43*IF(OR($B43="V",$B43="AC"),'LABOUR RATES'!$E$26,'LABOUR RATES'!$E$11)</f>
        <v>0</v>
      </c>
      <c r="O43" s="28" t="n">
        <f aca="false">$M43*IF(OR($B43="V",$B43="AC"),'LABOUR RATES'!$C$27,'LABOUR RATES'!$C$12)</f>
        <v>0</v>
      </c>
      <c r="P43" s="42" t="n">
        <f aca="false">$L43+$N43+$O43</f>
        <v>0</v>
      </c>
      <c r="Q43" s="43" t="str">
        <f aca="false">IF(OR($B43="",$C43=""),"",IFERROR(SUMIFS('KNOWIFY REVIEW'!$AF$4:$AF$400,'KNOWIFY REVIEW'!$AB$4:$AB$400,$B43,'KNOWIFY REVIEW'!$AC$4:$AC$400,$C43,'KNOWIFY REVIEW'!$AD$4:$AD$400,1)/SUMIFS('KNOWIFY REVIEW'!$AE$4:$AE$400,'KNOWIFY REVIEW'!$AB$4:$AB$400,$B43,'KNOWIFY REVIEW'!$AC$4:$AC$400,$C43,'KNOWIFY REVIEW'!$AD$4:$AD$400,1),""))</f>
        <v/>
      </c>
      <c r="R43" s="43" t="str">
        <f aca="false">IF(OR($B43="",$C43=""),"",IFERROR(SUMIFS('KNOWIFY REVIEW'!$AH$4:$AH$400,'KNOWIFY REVIEW'!$AB$4:$AB$400,$B43,'KNOWIFY REVIEW'!$AC$4:$AC$400,IF(OR($C43=INPUTS!$B$69,$C43=INPUTS!$B$70),INPUTS!$B$71,$C43),'KNOWIFY REVIEW'!$AD$4:$AD$400,1)/SUMIFS('KNOWIFY REVIEW'!$AG$4:$AG$400,'KNOWIFY REVIEW'!$AB$4:$AB$400,$B43,'KNOWIFY REVIEW'!$AC$4:$AC$400,IF(OR($C43=INPUTS!$B$69,$C43=INPUTS!$B$70),INPUTS!$B$71,$C43),'KNOWIFY REVIEW'!$AD$4:$AD$400,1),""))</f>
        <v/>
      </c>
      <c r="S43" s="24" t="str">
        <f aca="false">IF(MAX(N($Q43),N($R43))&gt;1.1,"Past job ran over budget","")</f>
        <v/>
      </c>
    </row>
    <row r="44" customFormat="false" ht="15" hidden="false" customHeight="false" outlineLevel="0" collapsed="false">
      <c r="A44" s="10"/>
      <c r="B44" s="10"/>
      <c r="C44" s="10"/>
      <c r="D44" s="10"/>
      <c r="E44" s="38"/>
      <c r="F44" s="10"/>
      <c r="G44" s="39"/>
      <c r="H44" s="40"/>
      <c r="I44" s="39"/>
      <c r="J44" s="38"/>
      <c r="K44" s="10" t="s">
        <v>237</v>
      </c>
      <c r="L44" s="28" t="n">
        <f aca="false">($E44*$G44+$I44)*(1+IF($K44="N",0,INPUTS!$C$23))</f>
        <v>0</v>
      </c>
      <c r="M44" s="41" t="n">
        <f aca="false">$E44*$H44+$J44</f>
        <v>0</v>
      </c>
      <c r="N44" s="28" t="n">
        <f aca="false">$M44*IF(OR($B44="V",$B44="AC"),'LABOUR RATES'!$E$26,'LABOUR RATES'!$E$11)</f>
        <v>0</v>
      </c>
      <c r="O44" s="28" t="n">
        <f aca="false">$M44*IF(OR($B44="V",$B44="AC"),'LABOUR RATES'!$C$27,'LABOUR RATES'!$C$12)</f>
        <v>0</v>
      </c>
      <c r="P44" s="42" t="n">
        <f aca="false">$L44+$N44+$O44</f>
        <v>0</v>
      </c>
      <c r="Q44" s="43" t="str">
        <f aca="false">IF(OR($B44="",$C44=""),"",IFERROR(SUMIFS('KNOWIFY REVIEW'!$AF$4:$AF$400,'KNOWIFY REVIEW'!$AB$4:$AB$400,$B44,'KNOWIFY REVIEW'!$AC$4:$AC$400,$C44,'KNOWIFY REVIEW'!$AD$4:$AD$400,1)/SUMIFS('KNOWIFY REVIEW'!$AE$4:$AE$400,'KNOWIFY REVIEW'!$AB$4:$AB$400,$B44,'KNOWIFY REVIEW'!$AC$4:$AC$400,$C44,'KNOWIFY REVIEW'!$AD$4:$AD$400,1),""))</f>
        <v/>
      </c>
      <c r="R44" s="43" t="str">
        <f aca="false">IF(OR($B44="",$C44=""),"",IFERROR(SUMIFS('KNOWIFY REVIEW'!$AH$4:$AH$400,'KNOWIFY REVIEW'!$AB$4:$AB$400,$B44,'KNOWIFY REVIEW'!$AC$4:$AC$400,IF(OR($C44=INPUTS!$B$69,$C44=INPUTS!$B$70),INPUTS!$B$71,$C44),'KNOWIFY REVIEW'!$AD$4:$AD$400,1)/SUMIFS('KNOWIFY REVIEW'!$AG$4:$AG$400,'KNOWIFY REVIEW'!$AB$4:$AB$400,$B44,'KNOWIFY REVIEW'!$AC$4:$AC$400,IF(OR($C44=INPUTS!$B$69,$C44=INPUTS!$B$70),INPUTS!$B$71,$C44),'KNOWIFY REVIEW'!$AD$4:$AD$400,1),""))</f>
        <v/>
      </c>
      <c r="S44" s="24" t="str">
        <f aca="false">IF(MAX(N($Q44),N($R44))&gt;1.1,"Past job ran over budget","")</f>
        <v/>
      </c>
    </row>
    <row r="45" customFormat="false" ht="15" hidden="false" customHeight="false" outlineLevel="0" collapsed="false">
      <c r="A45" s="10"/>
      <c r="B45" s="10"/>
      <c r="C45" s="10"/>
      <c r="D45" s="10"/>
      <c r="E45" s="38"/>
      <c r="F45" s="10"/>
      <c r="G45" s="39"/>
      <c r="H45" s="40"/>
      <c r="I45" s="39"/>
      <c r="J45" s="38"/>
      <c r="K45" s="10" t="s">
        <v>237</v>
      </c>
      <c r="L45" s="28" t="n">
        <f aca="false">($E45*$G45+$I45)*(1+IF($K45="N",0,INPUTS!$C$23))</f>
        <v>0</v>
      </c>
      <c r="M45" s="41" t="n">
        <f aca="false">$E45*$H45+$J45</f>
        <v>0</v>
      </c>
      <c r="N45" s="28" t="n">
        <f aca="false">$M45*IF(OR($B45="V",$B45="AC"),'LABOUR RATES'!$E$26,'LABOUR RATES'!$E$11)</f>
        <v>0</v>
      </c>
      <c r="O45" s="28" t="n">
        <f aca="false">$M45*IF(OR($B45="V",$B45="AC"),'LABOUR RATES'!$C$27,'LABOUR RATES'!$C$12)</f>
        <v>0</v>
      </c>
      <c r="P45" s="42" t="n">
        <f aca="false">$L45+$N45+$O45</f>
        <v>0</v>
      </c>
      <c r="Q45" s="43" t="str">
        <f aca="false">IF(OR($B45="",$C45=""),"",IFERROR(SUMIFS('KNOWIFY REVIEW'!$AF$4:$AF$400,'KNOWIFY REVIEW'!$AB$4:$AB$400,$B45,'KNOWIFY REVIEW'!$AC$4:$AC$400,$C45,'KNOWIFY REVIEW'!$AD$4:$AD$400,1)/SUMIFS('KNOWIFY REVIEW'!$AE$4:$AE$400,'KNOWIFY REVIEW'!$AB$4:$AB$400,$B45,'KNOWIFY REVIEW'!$AC$4:$AC$400,$C45,'KNOWIFY REVIEW'!$AD$4:$AD$400,1),""))</f>
        <v/>
      </c>
      <c r="R45" s="43" t="str">
        <f aca="false">IF(OR($B45="",$C45=""),"",IFERROR(SUMIFS('KNOWIFY REVIEW'!$AH$4:$AH$400,'KNOWIFY REVIEW'!$AB$4:$AB$400,$B45,'KNOWIFY REVIEW'!$AC$4:$AC$400,IF(OR($C45=INPUTS!$B$69,$C45=INPUTS!$B$70),INPUTS!$B$71,$C45),'KNOWIFY REVIEW'!$AD$4:$AD$400,1)/SUMIFS('KNOWIFY REVIEW'!$AG$4:$AG$400,'KNOWIFY REVIEW'!$AB$4:$AB$400,$B45,'KNOWIFY REVIEW'!$AC$4:$AC$400,IF(OR($C45=INPUTS!$B$69,$C45=INPUTS!$B$70),INPUTS!$B$71,$C45),'KNOWIFY REVIEW'!$AD$4:$AD$400,1),""))</f>
        <v/>
      </c>
      <c r="S45" s="24" t="str">
        <f aca="false">IF(MAX(N($Q45),N($R45))&gt;1.1,"Past job ran over budget","")</f>
        <v/>
      </c>
    </row>
    <row r="46" customFormat="false" ht="15" hidden="false" customHeight="false" outlineLevel="0" collapsed="false">
      <c r="A46" s="10"/>
      <c r="B46" s="10"/>
      <c r="C46" s="10"/>
      <c r="D46" s="10"/>
      <c r="E46" s="38"/>
      <c r="F46" s="10"/>
      <c r="G46" s="39"/>
      <c r="H46" s="40"/>
      <c r="I46" s="39"/>
      <c r="J46" s="38"/>
      <c r="K46" s="10" t="s">
        <v>237</v>
      </c>
      <c r="L46" s="28" t="n">
        <f aca="false">($E46*$G46+$I46)*(1+IF($K46="N",0,INPUTS!$C$23))</f>
        <v>0</v>
      </c>
      <c r="M46" s="41" t="n">
        <f aca="false">$E46*$H46+$J46</f>
        <v>0</v>
      </c>
      <c r="N46" s="28" t="n">
        <f aca="false">$M46*IF(OR($B46="V",$B46="AC"),'LABOUR RATES'!$E$26,'LABOUR RATES'!$E$11)</f>
        <v>0</v>
      </c>
      <c r="O46" s="28" t="n">
        <f aca="false">$M46*IF(OR($B46="V",$B46="AC"),'LABOUR RATES'!$C$27,'LABOUR RATES'!$C$12)</f>
        <v>0</v>
      </c>
      <c r="P46" s="42" t="n">
        <f aca="false">$L46+$N46+$O46</f>
        <v>0</v>
      </c>
      <c r="Q46" s="43" t="str">
        <f aca="false">IF(OR($B46="",$C46=""),"",IFERROR(SUMIFS('KNOWIFY REVIEW'!$AF$4:$AF$400,'KNOWIFY REVIEW'!$AB$4:$AB$400,$B46,'KNOWIFY REVIEW'!$AC$4:$AC$400,$C46,'KNOWIFY REVIEW'!$AD$4:$AD$400,1)/SUMIFS('KNOWIFY REVIEW'!$AE$4:$AE$400,'KNOWIFY REVIEW'!$AB$4:$AB$400,$B46,'KNOWIFY REVIEW'!$AC$4:$AC$400,$C46,'KNOWIFY REVIEW'!$AD$4:$AD$400,1),""))</f>
        <v/>
      </c>
      <c r="R46" s="43" t="str">
        <f aca="false">IF(OR($B46="",$C46=""),"",IFERROR(SUMIFS('KNOWIFY REVIEW'!$AH$4:$AH$400,'KNOWIFY REVIEW'!$AB$4:$AB$400,$B46,'KNOWIFY REVIEW'!$AC$4:$AC$400,IF(OR($C46=INPUTS!$B$69,$C46=INPUTS!$B$70),INPUTS!$B$71,$C46),'KNOWIFY REVIEW'!$AD$4:$AD$400,1)/SUMIFS('KNOWIFY REVIEW'!$AG$4:$AG$400,'KNOWIFY REVIEW'!$AB$4:$AB$400,$B46,'KNOWIFY REVIEW'!$AC$4:$AC$400,IF(OR($C46=INPUTS!$B$69,$C46=INPUTS!$B$70),INPUTS!$B$71,$C46),'KNOWIFY REVIEW'!$AD$4:$AD$400,1),""))</f>
        <v/>
      </c>
      <c r="S46" s="24" t="str">
        <f aca="false">IF(MAX(N($Q46),N($R46))&gt;1.1,"Past job ran over budget","")</f>
        <v/>
      </c>
    </row>
    <row r="47" customFormat="false" ht="15" hidden="false" customHeight="false" outlineLevel="0" collapsed="false">
      <c r="A47" s="10"/>
      <c r="B47" s="10"/>
      <c r="C47" s="10"/>
      <c r="D47" s="10"/>
      <c r="E47" s="38"/>
      <c r="F47" s="10"/>
      <c r="G47" s="39"/>
      <c r="H47" s="40"/>
      <c r="I47" s="39"/>
      <c r="J47" s="38"/>
      <c r="K47" s="10" t="s">
        <v>237</v>
      </c>
      <c r="L47" s="28" t="n">
        <f aca="false">($E47*$G47+$I47)*(1+IF($K47="N",0,INPUTS!$C$23))</f>
        <v>0</v>
      </c>
      <c r="M47" s="41" t="n">
        <f aca="false">$E47*$H47+$J47</f>
        <v>0</v>
      </c>
      <c r="N47" s="28" t="n">
        <f aca="false">$M47*IF(OR($B47="V",$B47="AC"),'LABOUR RATES'!$E$26,'LABOUR RATES'!$E$11)</f>
        <v>0</v>
      </c>
      <c r="O47" s="28" t="n">
        <f aca="false">$M47*IF(OR($B47="V",$B47="AC"),'LABOUR RATES'!$C$27,'LABOUR RATES'!$C$12)</f>
        <v>0</v>
      </c>
      <c r="P47" s="42" t="n">
        <f aca="false">$L47+$N47+$O47</f>
        <v>0</v>
      </c>
      <c r="Q47" s="43" t="str">
        <f aca="false">IF(OR($B47="",$C47=""),"",IFERROR(SUMIFS('KNOWIFY REVIEW'!$AF$4:$AF$400,'KNOWIFY REVIEW'!$AB$4:$AB$400,$B47,'KNOWIFY REVIEW'!$AC$4:$AC$400,$C47,'KNOWIFY REVIEW'!$AD$4:$AD$400,1)/SUMIFS('KNOWIFY REVIEW'!$AE$4:$AE$400,'KNOWIFY REVIEW'!$AB$4:$AB$400,$B47,'KNOWIFY REVIEW'!$AC$4:$AC$400,$C47,'KNOWIFY REVIEW'!$AD$4:$AD$400,1),""))</f>
        <v/>
      </c>
      <c r="R47" s="43" t="str">
        <f aca="false">IF(OR($B47="",$C47=""),"",IFERROR(SUMIFS('KNOWIFY REVIEW'!$AH$4:$AH$400,'KNOWIFY REVIEW'!$AB$4:$AB$400,$B47,'KNOWIFY REVIEW'!$AC$4:$AC$400,IF(OR($C47=INPUTS!$B$69,$C47=INPUTS!$B$70),INPUTS!$B$71,$C47),'KNOWIFY REVIEW'!$AD$4:$AD$400,1)/SUMIFS('KNOWIFY REVIEW'!$AG$4:$AG$400,'KNOWIFY REVIEW'!$AB$4:$AB$400,$B47,'KNOWIFY REVIEW'!$AC$4:$AC$400,IF(OR($C47=INPUTS!$B$69,$C47=INPUTS!$B$70),INPUTS!$B$71,$C47),'KNOWIFY REVIEW'!$AD$4:$AD$400,1),""))</f>
        <v/>
      </c>
      <c r="S47" s="24" t="str">
        <f aca="false">IF(MAX(N($Q47),N($R47))&gt;1.1,"Past job ran over budget","")</f>
        <v/>
      </c>
    </row>
    <row r="48" customFormat="false" ht="15" hidden="false" customHeight="false" outlineLevel="0" collapsed="false">
      <c r="A48" s="10"/>
      <c r="B48" s="10"/>
      <c r="C48" s="10"/>
      <c r="D48" s="10"/>
      <c r="E48" s="38"/>
      <c r="F48" s="10"/>
      <c r="G48" s="39"/>
      <c r="H48" s="40"/>
      <c r="I48" s="39"/>
      <c r="J48" s="38"/>
      <c r="K48" s="10" t="s">
        <v>237</v>
      </c>
      <c r="L48" s="28" t="n">
        <f aca="false">($E48*$G48+$I48)*(1+IF($K48="N",0,INPUTS!$C$23))</f>
        <v>0</v>
      </c>
      <c r="M48" s="41" t="n">
        <f aca="false">$E48*$H48+$J48</f>
        <v>0</v>
      </c>
      <c r="N48" s="28" t="n">
        <f aca="false">$M48*IF(OR($B48="V",$B48="AC"),'LABOUR RATES'!$E$26,'LABOUR RATES'!$E$11)</f>
        <v>0</v>
      </c>
      <c r="O48" s="28" t="n">
        <f aca="false">$M48*IF(OR($B48="V",$B48="AC"),'LABOUR RATES'!$C$27,'LABOUR RATES'!$C$12)</f>
        <v>0</v>
      </c>
      <c r="P48" s="42" t="n">
        <f aca="false">$L48+$N48+$O48</f>
        <v>0</v>
      </c>
      <c r="Q48" s="43" t="str">
        <f aca="false">IF(OR($B48="",$C48=""),"",IFERROR(SUMIFS('KNOWIFY REVIEW'!$AF$4:$AF$400,'KNOWIFY REVIEW'!$AB$4:$AB$400,$B48,'KNOWIFY REVIEW'!$AC$4:$AC$400,$C48,'KNOWIFY REVIEW'!$AD$4:$AD$400,1)/SUMIFS('KNOWIFY REVIEW'!$AE$4:$AE$400,'KNOWIFY REVIEW'!$AB$4:$AB$400,$B48,'KNOWIFY REVIEW'!$AC$4:$AC$400,$C48,'KNOWIFY REVIEW'!$AD$4:$AD$400,1),""))</f>
        <v/>
      </c>
      <c r="R48" s="43" t="str">
        <f aca="false">IF(OR($B48="",$C48=""),"",IFERROR(SUMIFS('KNOWIFY REVIEW'!$AH$4:$AH$400,'KNOWIFY REVIEW'!$AB$4:$AB$400,$B48,'KNOWIFY REVIEW'!$AC$4:$AC$400,IF(OR($C48=INPUTS!$B$69,$C48=INPUTS!$B$70),INPUTS!$B$71,$C48),'KNOWIFY REVIEW'!$AD$4:$AD$400,1)/SUMIFS('KNOWIFY REVIEW'!$AG$4:$AG$400,'KNOWIFY REVIEW'!$AB$4:$AB$400,$B48,'KNOWIFY REVIEW'!$AC$4:$AC$400,IF(OR($C48=INPUTS!$B$69,$C48=INPUTS!$B$70),INPUTS!$B$71,$C48),'KNOWIFY REVIEW'!$AD$4:$AD$400,1),""))</f>
        <v/>
      </c>
      <c r="S48" s="24" t="str">
        <f aca="false">IF(MAX(N($Q48),N($R48))&gt;1.1,"Past job ran over budget","")</f>
        <v/>
      </c>
    </row>
    <row r="49" customFormat="false" ht="15" hidden="false" customHeight="false" outlineLevel="0" collapsed="false">
      <c r="A49" s="10"/>
      <c r="B49" s="10"/>
      <c r="C49" s="10"/>
      <c r="D49" s="10"/>
      <c r="E49" s="38"/>
      <c r="F49" s="10"/>
      <c r="G49" s="39"/>
      <c r="H49" s="40"/>
      <c r="I49" s="39"/>
      <c r="J49" s="38"/>
      <c r="K49" s="10" t="s">
        <v>237</v>
      </c>
      <c r="L49" s="28" t="n">
        <f aca="false">($E49*$G49+$I49)*(1+IF($K49="N",0,INPUTS!$C$23))</f>
        <v>0</v>
      </c>
      <c r="M49" s="41" t="n">
        <f aca="false">$E49*$H49+$J49</f>
        <v>0</v>
      </c>
      <c r="N49" s="28" t="n">
        <f aca="false">$M49*IF(OR($B49="V",$B49="AC"),'LABOUR RATES'!$E$26,'LABOUR RATES'!$E$11)</f>
        <v>0</v>
      </c>
      <c r="O49" s="28" t="n">
        <f aca="false">$M49*IF(OR($B49="V",$B49="AC"),'LABOUR RATES'!$C$27,'LABOUR RATES'!$C$12)</f>
        <v>0</v>
      </c>
      <c r="P49" s="42" t="n">
        <f aca="false">$L49+$N49+$O49</f>
        <v>0</v>
      </c>
      <c r="Q49" s="43" t="str">
        <f aca="false">IF(OR($B49="",$C49=""),"",IFERROR(SUMIFS('KNOWIFY REVIEW'!$AF$4:$AF$400,'KNOWIFY REVIEW'!$AB$4:$AB$400,$B49,'KNOWIFY REVIEW'!$AC$4:$AC$400,$C49,'KNOWIFY REVIEW'!$AD$4:$AD$400,1)/SUMIFS('KNOWIFY REVIEW'!$AE$4:$AE$400,'KNOWIFY REVIEW'!$AB$4:$AB$400,$B49,'KNOWIFY REVIEW'!$AC$4:$AC$400,$C49,'KNOWIFY REVIEW'!$AD$4:$AD$400,1),""))</f>
        <v/>
      </c>
      <c r="R49" s="43" t="str">
        <f aca="false">IF(OR($B49="",$C49=""),"",IFERROR(SUMIFS('KNOWIFY REVIEW'!$AH$4:$AH$400,'KNOWIFY REVIEW'!$AB$4:$AB$400,$B49,'KNOWIFY REVIEW'!$AC$4:$AC$400,IF(OR($C49=INPUTS!$B$69,$C49=INPUTS!$B$70),INPUTS!$B$71,$C49),'KNOWIFY REVIEW'!$AD$4:$AD$400,1)/SUMIFS('KNOWIFY REVIEW'!$AG$4:$AG$400,'KNOWIFY REVIEW'!$AB$4:$AB$400,$B49,'KNOWIFY REVIEW'!$AC$4:$AC$400,IF(OR($C49=INPUTS!$B$69,$C49=INPUTS!$B$70),INPUTS!$B$71,$C49),'KNOWIFY REVIEW'!$AD$4:$AD$400,1),""))</f>
        <v/>
      </c>
      <c r="S49" s="24" t="str">
        <f aca="false">IF(MAX(N($Q49),N($R49))&gt;1.1,"Past job ran over budget","")</f>
        <v/>
      </c>
    </row>
    <row r="50" customFormat="false" ht="15" hidden="false" customHeight="false" outlineLevel="0" collapsed="false">
      <c r="A50" s="10"/>
      <c r="B50" s="10"/>
      <c r="C50" s="10"/>
      <c r="D50" s="10"/>
      <c r="E50" s="38"/>
      <c r="F50" s="10"/>
      <c r="G50" s="39"/>
      <c r="H50" s="40"/>
      <c r="I50" s="39"/>
      <c r="J50" s="38"/>
      <c r="K50" s="10" t="s">
        <v>237</v>
      </c>
      <c r="L50" s="28" t="n">
        <f aca="false">($E50*$G50+$I50)*(1+IF($K50="N",0,INPUTS!$C$23))</f>
        <v>0</v>
      </c>
      <c r="M50" s="41" t="n">
        <f aca="false">$E50*$H50+$J50</f>
        <v>0</v>
      </c>
      <c r="N50" s="28" t="n">
        <f aca="false">$M50*IF(OR($B50="V",$B50="AC"),'LABOUR RATES'!$E$26,'LABOUR RATES'!$E$11)</f>
        <v>0</v>
      </c>
      <c r="O50" s="28" t="n">
        <f aca="false">$M50*IF(OR($B50="V",$B50="AC"),'LABOUR RATES'!$C$27,'LABOUR RATES'!$C$12)</f>
        <v>0</v>
      </c>
      <c r="P50" s="42" t="n">
        <f aca="false">$L50+$N50+$O50</f>
        <v>0</v>
      </c>
      <c r="Q50" s="43" t="str">
        <f aca="false">IF(OR($B50="",$C50=""),"",IFERROR(SUMIFS('KNOWIFY REVIEW'!$AF$4:$AF$400,'KNOWIFY REVIEW'!$AB$4:$AB$400,$B50,'KNOWIFY REVIEW'!$AC$4:$AC$400,$C50,'KNOWIFY REVIEW'!$AD$4:$AD$400,1)/SUMIFS('KNOWIFY REVIEW'!$AE$4:$AE$400,'KNOWIFY REVIEW'!$AB$4:$AB$400,$B50,'KNOWIFY REVIEW'!$AC$4:$AC$400,$C50,'KNOWIFY REVIEW'!$AD$4:$AD$400,1),""))</f>
        <v/>
      </c>
      <c r="R50" s="43" t="str">
        <f aca="false">IF(OR($B50="",$C50=""),"",IFERROR(SUMIFS('KNOWIFY REVIEW'!$AH$4:$AH$400,'KNOWIFY REVIEW'!$AB$4:$AB$400,$B50,'KNOWIFY REVIEW'!$AC$4:$AC$400,IF(OR($C50=INPUTS!$B$69,$C50=INPUTS!$B$70),INPUTS!$B$71,$C50),'KNOWIFY REVIEW'!$AD$4:$AD$400,1)/SUMIFS('KNOWIFY REVIEW'!$AG$4:$AG$400,'KNOWIFY REVIEW'!$AB$4:$AB$400,$B50,'KNOWIFY REVIEW'!$AC$4:$AC$400,IF(OR($C50=INPUTS!$B$69,$C50=INPUTS!$B$70),INPUTS!$B$71,$C50),'KNOWIFY REVIEW'!$AD$4:$AD$400,1),""))</f>
        <v/>
      </c>
      <c r="S50" s="24" t="str">
        <f aca="false">IF(MAX(N($Q50),N($R50))&gt;1.1,"Past job ran over budget","")</f>
        <v/>
      </c>
    </row>
    <row r="51" customFormat="false" ht="15" hidden="false" customHeight="false" outlineLevel="0" collapsed="false">
      <c r="A51" s="10"/>
      <c r="B51" s="10"/>
      <c r="C51" s="10"/>
      <c r="D51" s="10"/>
      <c r="E51" s="38"/>
      <c r="F51" s="10"/>
      <c r="G51" s="39"/>
      <c r="H51" s="40"/>
      <c r="I51" s="39"/>
      <c r="J51" s="38"/>
      <c r="K51" s="10" t="s">
        <v>237</v>
      </c>
      <c r="L51" s="28" t="n">
        <f aca="false">($E51*$G51+$I51)*(1+IF($K51="N",0,INPUTS!$C$23))</f>
        <v>0</v>
      </c>
      <c r="M51" s="41" t="n">
        <f aca="false">$E51*$H51+$J51</f>
        <v>0</v>
      </c>
      <c r="N51" s="28" t="n">
        <f aca="false">$M51*IF(OR($B51="V",$B51="AC"),'LABOUR RATES'!$E$26,'LABOUR RATES'!$E$11)</f>
        <v>0</v>
      </c>
      <c r="O51" s="28" t="n">
        <f aca="false">$M51*IF(OR($B51="V",$B51="AC"),'LABOUR RATES'!$C$27,'LABOUR RATES'!$C$12)</f>
        <v>0</v>
      </c>
      <c r="P51" s="42" t="n">
        <f aca="false">$L51+$N51+$O51</f>
        <v>0</v>
      </c>
      <c r="Q51" s="43" t="str">
        <f aca="false">IF(OR($B51="",$C51=""),"",IFERROR(SUMIFS('KNOWIFY REVIEW'!$AF$4:$AF$400,'KNOWIFY REVIEW'!$AB$4:$AB$400,$B51,'KNOWIFY REVIEW'!$AC$4:$AC$400,$C51,'KNOWIFY REVIEW'!$AD$4:$AD$400,1)/SUMIFS('KNOWIFY REVIEW'!$AE$4:$AE$400,'KNOWIFY REVIEW'!$AB$4:$AB$400,$B51,'KNOWIFY REVIEW'!$AC$4:$AC$400,$C51,'KNOWIFY REVIEW'!$AD$4:$AD$400,1),""))</f>
        <v/>
      </c>
      <c r="R51" s="43" t="str">
        <f aca="false">IF(OR($B51="",$C51=""),"",IFERROR(SUMIFS('KNOWIFY REVIEW'!$AH$4:$AH$400,'KNOWIFY REVIEW'!$AB$4:$AB$400,$B51,'KNOWIFY REVIEW'!$AC$4:$AC$400,IF(OR($C51=INPUTS!$B$69,$C51=INPUTS!$B$70),INPUTS!$B$71,$C51),'KNOWIFY REVIEW'!$AD$4:$AD$400,1)/SUMIFS('KNOWIFY REVIEW'!$AG$4:$AG$400,'KNOWIFY REVIEW'!$AB$4:$AB$400,$B51,'KNOWIFY REVIEW'!$AC$4:$AC$400,IF(OR($C51=INPUTS!$B$69,$C51=INPUTS!$B$70),INPUTS!$B$71,$C51),'KNOWIFY REVIEW'!$AD$4:$AD$400,1),""))</f>
        <v/>
      </c>
      <c r="S51" s="24" t="str">
        <f aca="false">IF(MAX(N($Q51),N($R51))&gt;1.1,"Past job ran over budget","")</f>
        <v/>
      </c>
    </row>
    <row r="52" customFormat="false" ht="15" hidden="false" customHeight="false" outlineLevel="0" collapsed="false">
      <c r="A52" s="10"/>
      <c r="B52" s="10"/>
      <c r="C52" s="10"/>
      <c r="D52" s="10"/>
      <c r="E52" s="38"/>
      <c r="F52" s="10"/>
      <c r="G52" s="39"/>
      <c r="H52" s="40"/>
      <c r="I52" s="39"/>
      <c r="J52" s="38"/>
      <c r="K52" s="10" t="s">
        <v>237</v>
      </c>
      <c r="L52" s="28" t="n">
        <f aca="false">($E52*$G52+$I52)*(1+IF($K52="N",0,INPUTS!$C$23))</f>
        <v>0</v>
      </c>
      <c r="M52" s="41" t="n">
        <f aca="false">$E52*$H52+$J52</f>
        <v>0</v>
      </c>
      <c r="N52" s="28" t="n">
        <f aca="false">$M52*IF(OR($B52="V",$B52="AC"),'LABOUR RATES'!$E$26,'LABOUR RATES'!$E$11)</f>
        <v>0</v>
      </c>
      <c r="O52" s="28" t="n">
        <f aca="false">$M52*IF(OR($B52="V",$B52="AC"),'LABOUR RATES'!$C$27,'LABOUR RATES'!$C$12)</f>
        <v>0</v>
      </c>
      <c r="P52" s="42" t="n">
        <f aca="false">$L52+$N52+$O52</f>
        <v>0</v>
      </c>
      <c r="Q52" s="43" t="str">
        <f aca="false">IF(OR($B52="",$C52=""),"",IFERROR(SUMIFS('KNOWIFY REVIEW'!$AF$4:$AF$400,'KNOWIFY REVIEW'!$AB$4:$AB$400,$B52,'KNOWIFY REVIEW'!$AC$4:$AC$400,$C52,'KNOWIFY REVIEW'!$AD$4:$AD$400,1)/SUMIFS('KNOWIFY REVIEW'!$AE$4:$AE$400,'KNOWIFY REVIEW'!$AB$4:$AB$400,$B52,'KNOWIFY REVIEW'!$AC$4:$AC$400,$C52,'KNOWIFY REVIEW'!$AD$4:$AD$400,1),""))</f>
        <v/>
      </c>
      <c r="R52" s="43" t="str">
        <f aca="false">IF(OR($B52="",$C52=""),"",IFERROR(SUMIFS('KNOWIFY REVIEW'!$AH$4:$AH$400,'KNOWIFY REVIEW'!$AB$4:$AB$400,$B52,'KNOWIFY REVIEW'!$AC$4:$AC$400,IF(OR($C52=INPUTS!$B$69,$C52=INPUTS!$B$70),INPUTS!$B$71,$C52),'KNOWIFY REVIEW'!$AD$4:$AD$400,1)/SUMIFS('KNOWIFY REVIEW'!$AG$4:$AG$400,'KNOWIFY REVIEW'!$AB$4:$AB$400,$B52,'KNOWIFY REVIEW'!$AC$4:$AC$400,IF(OR($C52=INPUTS!$B$69,$C52=INPUTS!$B$70),INPUTS!$B$71,$C52),'KNOWIFY REVIEW'!$AD$4:$AD$400,1),""))</f>
        <v/>
      </c>
      <c r="S52" s="24" t="str">
        <f aca="false">IF(MAX(N($Q52),N($R52))&gt;1.1,"Past job ran over budget","")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38"/>
      <c r="F53" s="10"/>
      <c r="G53" s="39"/>
      <c r="H53" s="40"/>
      <c r="I53" s="39"/>
      <c r="J53" s="38"/>
      <c r="K53" s="10" t="s">
        <v>237</v>
      </c>
      <c r="L53" s="28" t="n">
        <f aca="false">($E53*$G53+$I53)*(1+IF($K53="N",0,INPUTS!$C$23))</f>
        <v>0</v>
      </c>
      <c r="M53" s="41" t="n">
        <f aca="false">$E53*$H53+$J53</f>
        <v>0</v>
      </c>
      <c r="N53" s="28" t="n">
        <f aca="false">$M53*IF(OR($B53="V",$B53="AC"),'LABOUR RATES'!$E$26,'LABOUR RATES'!$E$11)</f>
        <v>0</v>
      </c>
      <c r="O53" s="28" t="n">
        <f aca="false">$M53*IF(OR($B53="V",$B53="AC"),'LABOUR RATES'!$C$27,'LABOUR RATES'!$C$12)</f>
        <v>0</v>
      </c>
      <c r="P53" s="42" t="n">
        <f aca="false">$L53+$N53+$O53</f>
        <v>0</v>
      </c>
      <c r="Q53" s="43" t="str">
        <f aca="false">IF(OR($B53="",$C53=""),"",IFERROR(SUMIFS('KNOWIFY REVIEW'!$AF$4:$AF$400,'KNOWIFY REVIEW'!$AB$4:$AB$400,$B53,'KNOWIFY REVIEW'!$AC$4:$AC$400,$C53,'KNOWIFY REVIEW'!$AD$4:$AD$400,1)/SUMIFS('KNOWIFY REVIEW'!$AE$4:$AE$400,'KNOWIFY REVIEW'!$AB$4:$AB$400,$B53,'KNOWIFY REVIEW'!$AC$4:$AC$400,$C53,'KNOWIFY REVIEW'!$AD$4:$AD$400,1),""))</f>
        <v/>
      </c>
      <c r="R53" s="43" t="str">
        <f aca="false">IF(OR($B53="",$C53=""),"",IFERROR(SUMIFS('KNOWIFY REVIEW'!$AH$4:$AH$400,'KNOWIFY REVIEW'!$AB$4:$AB$400,$B53,'KNOWIFY REVIEW'!$AC$4:$AC$400,IF(OR($C53=INPUTS!$B$69,$C53=INPUTS!$B$70),INPUTS!$B$71,$C53),'KNOWIFY REVIEW'!$AD$4:$AD$400,1)/SUMIFS('KNOWIFY REVIEW'!$AG$4:$AG$400,'KNOWIFY REVIEW'!$AB$4:$AB$400,$B53,'KNOWIFY REVIEW'!$AC$4:$AC$400,IF(OR($C53=INPUTS!$B$69,$C53=INPUTS!$B$70),INPUTS!$B$71,$C53),'KNOWIFY REVIEW'!$AD$4:$AD$400,1),""))</f>
        <v/>
      </c>
      <c r="S53" s="24" t="str">
        <f aca="false">IF(MAX(N($Q53),N($R53))&gt;1.1,"Past job ran over budget","")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38"/>
      <c r="F54" s="10"/>
      <c r="G54" s="39"/>
      <c r="H54" s="40"/>
      <c r="I54" s="39"/>
      <c r="J54" s="38"/>
      <c r="K54" s="10" t="s">
        <v>237</v>
      </c>
      <c r="L54" s="28" t="n">
        <f aca="false">($E54*$G54+$I54)*(1+IF($K54="N",0,INPUTS!$C$23))</f>
        <v>0</v>
      </c>
      <c r="M54" s="41" t="n">
        <f aca="false">$E54*$H54+$J54</f>
        <v>0</v>
      </c>
      <c r="N54" s="28" t="n">
        <f aca="false">$M54*IF(OR($B54="V",$B54="AC"),'LABOUR RATES'!$E$26,'LABOUR RATES'!$E$11)</f>
        <v>0</v>
      </c>
      <c r="O54" s="28" t="n">
        <f aca="false">$M54*IF(OR($B54="V",$B54="AC"),'LABOUR RATES'!$C$27,'LABOUR RATES'!$C$12)</f>
        <v>0</v>
      </c>
      <c r="P54" s="42" t="n">
        <f aca="false">$L54+$N54+$O54</f>
        <v>0</v>
      </c>
      <c r="Q54" s="43" t="str">
        <f aca="false">IF(OR($B54="",$C54=""),"",IFERROR(SUMIFS('KNOWIFY REVIEW'!$AF$4:$AF$400,'KNOWIFY REVIEW'!$AB$4:$AB$400,$B54,'KNOWIFY REVIEW'!$AC$4:$AC$400,$C54,'KNOWIFY REVIEW'!$AD$4:$AD$400,1)/SUMIFS('KNOWIFY REVIEW'!$AE$4:$AE$400,'KNOWIFY REVIEW'!$AB$4:$AB$400,$B54,'KNOWIFY REVIEW'!$AC$4:$AC$400,$C54,'KNOWIFY REVIEW'!$AD$4:$AD$400,1),""))</f>
        <v/>
      </c>
      <c r="R54" s="43" t="str">
        <f aca="false">IF(OR($B54="",$C54=""),"",IFERROR(SUMIFS('KNOWIFY REVIEW'!$AH$4:$AH$400,'KNOWIFY REVIEW'!$AB$4:$AB$400,$B54,'KNOWIFY REVIEW'!$AC$4:$AC$400,IF(OR($C54=INPUTS!$B$69,$C54=INPUTS!$B$70),INPUTS!$B$71,$C54),'KNOWIFY REVIEW'!$AD$4:$AD$400,1)/SUMIFS('KNOWIFY REVIEW'!$AG$4:$AG$400,'KNOWIFY REVIEW'!$AB$4:$AB$400,$B54,'KNOWIFY REVIEW'!$AC$4:$AC$400,IF(OR($C54=INPUTS!$B$69,$C54=INPUTS!$B$70),INPUTS!$B$71,$C54),'KNOWIFY REVIEW'!$AD$4:$AD$400,1),""))</f>
        <v/>
      </c>
      <c r="S54" s="24" t="str">
        <f aca="false">IF(MAX(N($Q54),N($R54))&gt;1.1,"Past job ran over budget","")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38"/>
      <c r="F55" s="10"/>
      <c r="G55" s="39"/>
      <c r="H55" s="40"/>
      <c r="I55" s="39"/>
      <c r="J55" s="38"/>
      <c r="K55" s="10" t="s">
        <v>237</v>
      </c>
      <c r="L55" s="28" t="n">
        <f aca="false">($E55*$G55+$I55)*(1+IF($K55="N",0,INPUTS!$C$23))</f>
        <v>0</v>
      </c>
      <c r="M55" s="41" t="n">
        <f aca="false">$E55*$H55+$J55</f>
        <v>0</v>
      </c>
      <c r="N55" s="28" t="n">
        <f aca="false">$M55*IF(OR($B55="V",$B55="AC"),'LABOUR RATES'!$E$26,'LABOUR RATES'!$E$11)</f>
        <v>0</v>
      </c>
      <c r="O55" s="28" t="n">
        <f aca="false">$M55*IF(OR($B55="V",$B55="AC"),'LABOUR RATES'!$C$27,'LABOUR RATES'!$C$12)</f>
        <v>0</v>
      </c>
      <c r="P55" s="42" t="n">
        <f aca="false">$L55+$N55+$O55</f>
        <v>0</v>
      </c>
      <c r="Q55" s="43" t="str">
        <f aca="false">IF(OR($B55="",$C55=""),"",IFERROR(SUMIFS('KNOWIFY REVIEW'!$AF$4:$AF$400,'KNOWIFY REVIEW'!$AB$4:$AB$400,$B55,'KNOWIFY REVIEW'!$AC$4:$AC$400,$C55,'KNOWIFY REVIEW'!$AD$4:$AD$400,1)/SUMIFS('KNOWIFY REVIEW'!$AE$4:$AE$400,'KNOWIFY REVIEW'!$AB$4:$AB$400,$B55,'KNOWIFY REVIEW'!$AC$4:$AC$400,$C55,'KNOWIFY REVIEW'!$AD$4:$AD$400,1),""))</f>
        <v/>
      </c>
      <c r="R55" s="43" t="str">
        <f aca="false">IF(OR($B55="",$C55=""),"",IFERROR(SUMIFS('KNOWIFY REVIEW'!$AH$4:$AH$400,'KNOWIFY REVIEW'!$AB$4:$AB$400,$B55,'KNOWIFY REVIEW'!$AC$4:$AC$400,IF(OR($C55=INPUTS!$B$69,$C55=INPUTS!$B$70),INPUTS!$B$71,$C55),'KNOWIFY REVIEW'!$AD$4:$AD$400,1)/SUMIFS('KNOWIFY REVIEW'!$AG$4:$AG$400,'KNOWIFY REVIEW'!$AB$4:$AB$400,$B55,'KNOWIFY REVIEW'!$AC$4:$AC$400,IF(OR($C55=INPUTS!$B$69,$C55=INPUTS!$B$70),INPUTS!$B$71,$C55),'KNOWIFY REVIEW'!$AD$4:$AD$400,1),""))</f>
        <v/>
      </c>
      <c r="S55" s="24" t="str">
        <f aca="false">IF(MAX(N($Q55),N($R55))&gt;1.1,"Past job ran over budget","")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38"/>
      <c r="F56" s="10"/>
      <c r="G56" s="39"/>
      <c r="H56" s="40"/>
      <c r="I56" s="39"/>
      <c r="J56" s="38"/>
      <c r="K56" s="10" t="s">
        <v>237</v>
      </c>
      <c r="L56" s="28" t="n">
        <f aca="false">($E56*$G56+$I56)*(1+IF($K56="N",0,INPUTS!$C$23))</f>
        <v>0</v>
      </c>
      <c r="M56" s="41" t="n">
        <f aca="false">$E56*$H56+$J56</f>
        <v>0</v>
      </c>
      <c r="N56" s="28" t="n">
        <f aca="false">$M56*IF(OR($B56="V",$B56="AC"),'LABOUR RATES'!$E$26,'LABOUR RATES'!$E$11)</f>
        <v>0</v>
      </c>
      <c r="O56" s="28" t="n">
        <f aca="false">$M56*IF(OR($B56="V",$B56="AC"),'LABOUR RATES'!$C$27,'LABOUR RATES'!$C$12)</f>
        <v>0</v>
      </c>
      <c r="P56" s="42" t="n">
        <f aca="false">$L56+$N56+$O56</f>
        <v>0</v>
      </c>
      <c r="Q56" s="43" t="str">
        <f aca="false">IF(OR($B56="",$C56=""),"",IFERROR(SUMIFS('KNOWIFY REVIEW'!$AF$4:$AF$400,'KNOWIFY REVIEW'!$AB$4:$AB$400,$B56,'KNOWIFY REVIEW'!$AC$4:$AC$400,$C56,'KNOWIFY REVIEW'!$AD$4:$AD$400,1)/SUMIFS('KNOWIFY REVIEW'!$AE$4:$AE$400,'KNOWIFY REVIEW'!$AB$4:$AB$400,$B56,'KNOWIFY REVIEW'!$AC$4:$AC$400,$C56,'KNOWIFY REVIEW'!$AD$4:$AD$400,1),""))</f>
        <v/>
      </c>
      <c r="R56" s="43" t="str">
        <f aca="false">IF(OR($B56="",$C56=""),"",IFERROR(SUMIFS('KNOWIFY REVIEW'!$AH$4:$AH$400,'KNOWIFY REVIEW'!$AB$4:$AB$400,$B56,'KNOWIFY REVIEW'!$AC$4:$AC$400,IF(OR($C56=INPUTS!$B$69,$C56=INPUTS!$B$70),INPUTS!$B$71,$C56),'KNOWIFY REVIEW'!$AD$4:$AD$400,1)/SUMIFS('KNOWIFY REVIEW'!$AG$4:$AG$400,'KNOWIFY REVIEW'!$AB$4:$AB$400,$B56,'KNOWIFY REVIEW'!$AC$4:$AC$400,IF(OR($C56=INPUTS!$B$69,$C56=INPUTS!$B$70),INPUTS!$B$71,$C56),'KNOWIFY REVIEW'!$AD$4:$AD$400,1),""))</f>
        <v/>
      </c>
      <c r="S56" s="24" t="str">
        <f aca="false">IF(MAX(N($Q56),N($R56))&gt;1.1,"Past job ran over budget","")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38"/>
      <c r="F57" s="10"/>
      <c r="G57" s="39"/>
      <c r="H57" s="40"/>
      <c r="I57" s="39"/>
      <c r="J57" s="38"/>
      <c r="K57" s="10" t="s">
        <v>237</v>
      </c>
      <c r="L57" s="28" t="n">
        <f aca="false">($E57*$G57+$I57)*(1+IF($K57="N",0,INPUTS!$C$23))</f>
        <v>0</v>
      </c>
      <c r="M57" s="41" t="n">
        <f aca="false">$E57*$H57+$J57</f>
        <v>0</v>
      </c>
      <c r="N57" s="28" t="n">
        <f aca="false">$M57*IF(OR($B57="V",$B57="AC"),'LABOUR RATES'!$E$26,'LABOUR RATES'!$E$11)</f>
        <v>0</v>
      </c>
      <c r="O57" s="28" t="n">
        <f aca="false">$M57*IF(OR($B57="V",$B57="AC"),'LABOUR RATES'!$C$27,'LABOUR RATES'!$C$12)</f>
        <v>0</v>
      </c>
      <c r="P57" s="42" t="n">
        <f aca="false">$L57+$N57+$O57</f>
        <v>0</v>
      </c>
      <c r="Q57" s="43" t="str">
        <f aca="false">IF(OR($B57="",$C57=""),"",IFERROR(SUMIFS('KNOWIFY REVIEW'!$AF$4:$AF$400,'KNOWIFY REVIEW'!$AB$4:$AB$400,$B57,'KNOWIFY REVIEW'!$AC$4:$AC$400,$C57,'KNOWIFY REVIEW'!$AD$4:$AD$400,1)/SUMIFS('KNOWIFY REVIEW'!$AE$4:$AE$400,'KNOWIFY REVIEW'!$AB$4:$AB$400,$B57,'KNOWIFY REVIEW'!$AC$4:$AC$400,$C57,'KNOWIFY REVIEW'!$AD$4:$AD$400,1),""))</f>
        <v/>
      </c>
      <c r="R57" s="43" t="str">
        <f aca="false">IF(OR($B57="",$C57=""),"",IFERROR(SUMIFS('KNOWIFY REVIEW'!$AH$4:$AH$400,'KNOWIFY REVIEW'!$AB$4:$AB$400,$B57,'KNOWIFY REVIEW'!$AC$4:$AC$400,IF(OR($C57=INPUTS!$B$69,$C57=INPUTS!$B$70),INPUTS!$B$71,$C57),'KNOWIFY REVIEW'!$AD$4:$AD$400,1)/SUMIFS('KNOWIFY REVIEW'!$AG$4:$AG$400,'KNOWIFY REVIEW'!$AB$4:$AB$400,$B57,'KNOWIFY REVIEW'!$AC$4:$AC$400,IF(OR($C57=INPUTS!$B$69,$C57=INPUTS!$B$70),INPUTS!$B$71,$C57),'KNOWIFY REVIEW'!$AD$4:$AD$400,1),""))</f>
        <v/>
      </c>
      <c r="S57" s="24" t="str">
        <f aca="false">IF(MAX(N($Q57),N($R57))&gt;1.1,"Past job ran over budget","")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38"/>
      <c r="F58" s="10"/>
      <c r="G58" s="39"/>
      <c r="H58" s="40"/>
      <c r="I58" s="39"/>
      <c r="J58" s="38"/>
      <c r="K58" s="10" t="s">
        <v>237</v>
      </c>
      <c r="L58" s="28" t="n">
        <f aca="false">($E58*$G58+$I58)*(1+IF($K58="N",0,INPUTS!$C$23))</f>
        <v>0</v>
      </c>
      <c r="M58" s="41" t="n">
        <f aca="false">$E58*$H58+$J58</f>
        <v>0</v>
      </c>
      <c r="N58" s="28" t="n">
        <f aca="false">$M58*IF(OR($B58="V",$B58="AC"),'LABOUR RATES'!$E$26,'LABOUR RATES'!$E$11)</f>
        <v>0</v>
      </c>
      <c r="O58" s="28" t="n">
        <f aca="false">$M58*IF(OR($B58="V",$B58="AC"),'LABOUR RATES'!$C$27,'LABOUR RATES'!$C$12)</f>
        <v>0</v>
      </c>
      <c r="P58" s="42" t="n">
        <f aca="false">$L58+$N58+$O58</f>
        <v>0</v>
      </c>
      <c r="Q58" s="43" t="str">
        <f aca="false">IF(OR($B58="",$C58=""),"",IFERROR(SUMIFS('KNOWIFY REVIEW'!$AF$4:$AF$400,'KNOWIFY REVIEW'!$AB$4:$AB$400,$B58,'KNOWIFY REVIEW'!$AC$4:$AC$400,$C58,'KNOWIFY REVIEW'!$AD$4:$AD$400,1)/SUMIFS('KNOWIFY REVIEW'!$AE$4:$AE$400,'KNOWIFY REVIEW'!$AB$4:$AB$400,$B58,'KNOWIFY REVIEW'!$AC$4:$AC$400,$C58,'KNOWIFY REVIEW'!$AD$4:$AD$400,1),""))</f>
        <v/>
      </c>
      <c r="R58" s="43" t="str">
        <f aca="false">IF(OR($B58="",$C58=""),"",IFERROR(SUMIFS('KNOWIFY REVIEW'!$AH$4:$AH$400,'KNOWIFY REVIEW'!$AB$4:$AB$400,$B58,'KNOWIFY REVIEW'!$AC$4:$AC$400,IF(OR($C58=INPUTS!$B$69,$C58=INPUTS!$B$70),INPUTS!$B$71,$C58),'KNOWIFY REVIEW'!$AD$4:$AD$400,1)/SUMIFS('KNOWIFY REVIEW'!$AG$4:$AG$400,'KNOWIFY REVIEW'!$AB$4:$AB$400,$B58,'KNOWIFY REVIEW'!$AC$4:$AC$400,IF(OR($C58=INPUTS!$B$69,$C58=INPUTS!$B$70),INPUTS!$B$71,$C58),'KNOWIFY REVIEW'!$AD$4:$AD$400,1),""))</f>
        <v/>
      </c>
      <c r="S58" s="24" t="str">
        <f aca="false">IF(MAX(N($Q58),N($R58))&gt;1.1,"Past job ran over budget","")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38"/>
      <c r="F59" s="10"/>
      <c r="G59" s="39"/>
      <c r="H59" s="40"/>
      <c r="I59" s="39"/>
      <c r="J59" s="38"/>
      <c r="K59" s="10" t="s">
        <v>237</v>
      </c>
      <c r="L59" s="28" t="n">
        <f aca="false">($E59*$G59+$I59)*(1+IF($K59="N",0,INPUTS!$C$23))</f>
        <v>0</v>
      </c>
      <c r="M59" s="41" t="n">
        <f aca="false">$E59*$H59+$J59</f>
        <v>0</v>
      </c>
      <c r="N59" s="28" t="n">
        <f aca="false">$M59*IF(OR($B59="V",$B59="AC"),'LABOUR RATES'!$E$26,'LABOUR RATES'!$E$11)</f>
        <v>0</v>
      </c>
      <c r="O59" s="28" t="n">
        <f aca="false">$M59*IF(OR($B59="V",$B59="AC"),'LABOUR RATES'!$C$27,'LABOUR RATES'!$C$12)</f>
        <v>0</v>
      </c>
      <c r="P59" s="42" t="n">
        <f aca="false">$L59+$N59+$O59</f>
        <v>0</v>
      </c>
      <c r="Q59" s="43" t="str">
        <f aca="false">IF(OR($B59="",$C59=""),"",IFERROR(SUMIFS('KNOWIFY REVIEW'!$AF$4:$AF$400,'KNOWIFY REVIEW'!$AB$4:$AB$400,$B59,'KNOWIFY REVIEW'!$AC$4:$AC$400,$C59,'KNOWIFY REVIEW'!$AD$4:$AD$400,1)/SUMIFS('KNOWIFY REVIEW'!$AE$4:$AE$400,'KNOWIFY REVIEW'!$AB$4:$AB$400,$B59,'KNOWIFY REVIEW'!$AC$4:$AC$400,$C59,'KNOWIFY REVIEW'!$AD$4:$AD$400,1),""))</f>
        <v/>
      </c>
      <c r="R59" s="43" t="str">
        <f aca="false">IF(OR($B59="",$C59=""),"",IFERROR(SUMIFS('KNOWIFY REVIEW'!$AH$4:$AH$400,'KNOWIFY REVIEW'!$AB$4:$AB$400,$B59,'KNOWIFY REVIEW'!$AC$4:$AC$400,IF(OR($C59=INPUTS!$B$69,$C59=INPUTS!$B$70),INPUTS!$B$71,$C59),'KNOWIFY REVIEW'!$AD$4:$AD$400,1)/SUMIFS('KNOWIFY REVIEW'!$AG$4:$AG$400,'KNOWIFY REVIEW'!$AB$4:$AB$400,$B59,'KNOWIFY REVIEW'!$AC$4:$AC$400,IF(OR($C59=INPUTS!$B$69,$C59=INPUTS!$B$70),INPUTS!$B$71,$C59),'KNOWIFY REVIEW'!$AD$4:$AD$400,1),""))</f>
        <v/>
      </c>
      <c r="S59" s="24" t="str">
        <f aca="false">IF(MAX(N($Q59),N($R59))&gt;1.1,"Past job ran over budget","")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38"/>
      <c r="F60" s="10"/>
      <c r="G60" s="39"/>
      <c r="H60" s="40"/>
      <c r="I60" s="39"/>
      <c r="J60" s="38"/>
      <c r="K60" s="10" t="s">
        <v>237</v>
      </c>
      <c r="L60" s="28" t="n">
        <f aca="false">($E60*$G60+$I60)*(1+IF($K60="N",0,INPUTS!$C$23))</f>
        <v>0</v>
      </c>
      <c r="M60" s="41" t="n">
        <f aca="false">$E60*$H60+$J60</f>
        <v>0</v>
      </c>
      <c r="N60" s="28" t="n">
        <f aca="false">$M60*IF(OR($B60="V",$B60="AC"),'LABOUR RATES'!$E$26,'LABOUR RATES'!$E$11)</f>
        <v>0</v>
      </c>
      <c r="O60" s="28" t="n">
        <f aca="false">$M60*IF(OR($B60="V",$B60="AC"),'LABOUR RATES'!$C$27,'LABOUR RATES'!$C$12)</f>
        <v>0</v>
      </c>
      <c r="P60" s="42" t="n">
        <f aca="false">$L60+$N60+$O60</f>
        <v>0</v>
      </c>
      <c r="Q60" s="43" t="str">
        <f aca="false">IF(OR($B60="",$C60=""),"",IFERROR(SUMIFS('KNOWIFY REVIEW'!$AF$4:$AF$400,'KNOWIFY REVIEW'!$AB$4:$AB$400,$B60,'KNOWIFY REVIEW'!$AC$4:$AC$400,$C60,'KNOWIFY REVIEW'!$AD$4:$AD$400,1)/SUMIFS('KNOWIFY REVIEW'!$AE$4:$AE$400,'KNOWIFY REVIEW'!$AB$4:$AB$400,$B60,'KNOWIFY REVIEW'!$AC$4:$AC$400,$C60,'KNOWIFY REVIEW'!$AD$4:$AD$400,1),""))</f>
        <v/>
      </c>
      <c r="R60" s="43" t="str">
        <f aca="false">IF(OR($B60="",$C60=""),"",IFERROR(SUMIFS('KNOWIFY REVIEW'!$AH$4:$AH$400,'KNOWIFY REVIEW'!$AB$4:$AB$400,$B60,'KNOWIFY REVIEW'!$AC$4:$AC$400,IF(OR($C60=INPUTS!$B$69,$C60=INPUTS!$B$70),INPUTS!$B$71,$C60),'KNOWIFY REVIEW'!$AD$4:$AD$400,1)/SUMIFS('KNOWIFY REVIEW'!$AG$4:$AG$400,'KNOWIFY REVIEW'!$AB$4:$AB$400,$B60,'KNOWIFY REVIEW'!$AC$4:$AC$400,IF(OR($C60=INPUTS!$B$69,$C60=INPUTS!$B$70),INPUTS!$B$71,$C60),'KNOWIFY REVIEW'!$AD$4:$AD$400,1),""))</f>
        <v/>
      </c>
      <c r="S60" s="24" t="str">
        <f aca="false">IF(MAX(N($Q60),N($R60))&gt;1.1,"Past job ran over budget","")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38"/>
      <c r="F61" s="10"/>
      <c r="G61" s="39"/>
      <c r="H61" s="40"/>
      <c r="I61" s="39"/>
      <c r="J61" s="38"/>
      <c r="K61" s="10" t="s">
        <v>237</v>
      </c>
      <c r="L61" s="28" t="n">
        <f aca="false">($E61*$G61+$I61)*(1+IF($K61="N",0,INPUTS!$C$23))</f>
        <v>0</v>
      </c>
      <c r="M61" s="41" t="n">
        <f aca="false">$E61*$H61+$J61</f>
        <v>0</v>
      </c>
      <c r="N61" s="28" t="n">
        <f aca="false">$M61*IF(OR($B61="V",$B61="AC"),'LABOUR RATES'!$E$26,'LABOUR RATES'!$E$11)</f>
        <v>0</v>
      </c>
      <c r="O61" s="28" t="n">
        <f aca="false">$M61*IF(OR($B61="V",$B61="AC"),'LABOUR RATES'!$C$27,'LABOUR RATES'!$C$12)</f>
        <v>0</v>
      </c>
      <c r="P61" s="42" t="n">
        <f aca="false">$L61+$N61+$O61</f>
        <v>0</v>
      </c>
      <c r="Q61" s="43" t="str">
        <f aca="false">IF(OR($B61="",$C61=""),"",IFERROR(SUMIFS('KNOWIFY REVIEW'!$AF$4:$AF$400,'KNOWIFY REVIEW'!$AB$4:$AB$400,$B61,'KNOWIFY REVIEW'!$AC$4:$AC$400,$C61,'KNOWIFY REVIEW'!$AD$4:$AD$400,1)/SUMIFS('KNOWIFY REVIEW'!$AE$4:$AE$400,'KNOWIFY REVIEW'!$AB$4:$AB$400,$B61,'KNOWIFY REVIEW'!$AC$4:$AC$400,$C61,'KNOWIFY REVIEW'!$AD$4:$AD$400,1),""))</f>
        <v/>
      </c>
      <c r="R61" s="43" t="str">
        <f aca="false">IF(OR($B61="",$C61=""),"",IFERROR(SUMIFS('KNOWIFY REVIEW'!$AH$4:$AH$400,'KNOWIFY REVIEW'!$AB$4:$AB$400,$B61,'KNOWIFY REVIEW'!$AC$4:$AC$400,IF(OR($C61=INPUTS!$B$69,$C61=INPUTS!$B$70),INPUTS!$B$71,$C61),'KNOWIFY REVIEW'!$AD$4:$AD$400,1)/SUMIFS('KNOWIFY REVIEW'!$AG$4:$AG$400,'KNOWIFY REVIEW'!$AB$4:$AB$400,$B61,'KNOWIFY REVIEW'!$AC$4:$AC$400,IF(OR($C61=INPUTS!$B$69,$C61=INPUTS!$B$70),INPUTS!$B$71,$C61),'KNOWIFY REVIEW'!$AD$4:$AD$400,1),""))</f>
        <v/>
      </c>
      <c r="S61" s="24" t="str">
        <f aca="false">IF(MAX(N($Q61),N($R61))&gt;1.1,"Past job ran over budget","")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38"/>
      <c r="F62" s="10"/>
      <c r="G62" s="39"/>
      <c r="H62" s="40"/>
      <c r="I62" s="39"/>
      <c r="J62" s="38"/>
      <c r="K62" s="10" t="s">
        <v>237</v>
      </c>
      <c r="L62" s="28" t="n">
        <f aca="false">($E62*$G62+$I62)*(1+IF($K62="N",0,INPUTS!$C$23))</f>
        <v>0</v>
      </c>
      <c r="M62" s="41" t="n">
        <f aca="false">$E62*$H62+$J62</f>
        <v>0</v>
      </c>
      <c r="N62" s="28" t="n">
        <f aca="false">$M62*IF(OR($B62="V",$B62="AC"),'LABOUR RATES'!$E$26,'LABOUR RATES'!$E$11)</f>
        <v>0</v>
      </c>
      <c r="O62" s="28" t="n">
        <f aca="false">$M62*IF(OR($B62="V",$B62="AC"),'LABOUR RATES'!$C$27,'LABOUR RATES'!$C$12)</f>
        <v>0</v>
      </c>
      <c r="P62" s="42" t="n">
        <f aca="false">$L62+$N62+$O62</f>
        <v>0</v>
      </c>
      <c r="Q62" s="43" t="str">
        <f aca="false">IF(OR($B62="",$C62=""),"",IFERROR(SUMIFS('KNOWIFY REVIEW'!$AF$4:$AF$400,'KNOWIFY REVIEW'!$AB$4:$AB$400,$B62,'KNOWIFY REVIEW'!$AC$4:$AC$400,$C62,'KNOWIFY REVIEW'!$AD$4:$AD$400,1)/SUMIFS('KNOWIFY REVIEW'!$AE$4:$AE$400,'KNOWIFY REVIEW'!$AB$4:$AB$400,$B62,'KNOWIFY REVIEW'!$AC$4:$AC$400,$C62,'KNOWIFY REVIEW'!$AD$4:$AD$400,1),""))</f>
        <v/>
      </c>
      <c r="R62" s="43" t="str">
        <f aca="false">IF(OR($B62="",$C62=""),"",IFERROR(SUMIFS('KNOWIFY REVIEW'!$AH$4:$AH$400,'KNOWIFY REVIEW'!$AB$4:$AB$400,$B62,'KNOWIFY REVIEW'!$AC$4:$AC$400,IF(OR($C62=INPUTS!$B$69,$C62=INPUTS!$B$70),INPUTS!$B$71,$C62),'KNOWIFY REVIEW'!$AD$4:$AD$400,1)/SUMIFS('KNOWIFY REVIEW'!$AG$4:$AG$400,'KNOWIFY REVIEW'!$AB$4:$AB$400,$B62,'KNOWIFY REVIEW'!$AC$4:$AC$400,IF(OR($C62=INPUTS!$B$69,$C62=INPUTS!$B$70),INPUTS!$B$71,$C62),'KNOWIFY REVIEW'!$AD$4:$AD$400,1),""))</f>
        <v/>
      </c>
      <c r="S62" s="24" t="str">
        <f aca="false">IF(MAX(N($Q62),N($R62))&gt;1.1,"Past job ran over budget","")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38"/>
      <c r="F63" s="10"/>
      <c r="G63" s="39"/>
      <c r="H63" s="40"/>
      <c r="I63" s="39"/>
      <c r="J63" s="38"/>
      <c r="K63" s="10" t="s">
        <v>237</v>
      </c>
      <c r="L63" s="28" t="n">
        <f aca="false">($E63*$G63+$I63)*(1+IF($K63="N",0,INPUTS!$C$23))</f>
        <v>0</v>
      </c>
      <c r="M63" s="41" t="n">
        <f aca="false">$E63*$H63+$J63</f>
        <v>0</v>
      </c>
      <c r="N63" s="28" t="n">
        <f aca="false">$M63*IF(OR($B63="V",$B63="AC"),'LABOUR RATES'!$E$26,'LABOUR RATES'!$E$11)</f>
        <v>0</v>
      </c>
      <c r="O63" s="28" t="n">
        <f aca="false">$M63*IF(OR($B63="V",$B63="AC"),'LABOUR RATES'!$C$27,'LABOUR RATES'!$C$12)</f>
        <v>0</v>
      </c>
      <c r="P63" s="42" t="n">
        <f aca="false">$L63+$N63+$O63</f>
        <v>0</v>
      </c>
      <c r="Q63" s="43" t="str">
        <f aca="false">IF(OR($B63="",$C63=""),"",IFERROR(SUMIFS('KNOWIFY REVIEW'!$AF$4:$AF$400,'KNOWIFY REVIEW'!$AB$4:$AB$400,$B63,'KNOWIFY REVIEW'!$AC$4:$AC$400,$C63,'KNOWIFY REVIEW'!$AD$4:$AD$400,1)/SUMIFS('KNOWIFY REVIEW'!$AE$4:$AE$400,'KNOWIFY REVIEW'!$AB$4:$AB$400,$B63,'KNOWIFY REVIEW'!$AC$4:$AC$400,$C63,'KNOWIFY REVIEW'!$AD$4:$AD$400,1),""))</f>
        <v/>
      </c>
      <c r="R63" s="43" t="str">
        <f aca="false">IF(OR($B63="",$C63=""),"",IFERROR(SUMIFS('KNOWIFY REVIEW'!$AH$4:$AH$400,'KNOWIFY REVIEW'!$AB$4:$AB$400,$B63,'KNOWIFY REVIEW'!$AC$4:$AC$400,IF(OR($C63=INPUTS!$B$69,$C63=INPUTS!$B$70),INPUTS!$B$71,$C63),'KNOWIFY REVIEW'!$AD$4:$AD$400,1)/SUMIFS('KNOWIFY REVIEW'!$AG$4:$AG$400,'KNOWIFY REVIEW'!$AB$4:$AB$400,$B63,'KNOWIFY REVIEW'!$AC$4:$AC$400,IF(OR($C63=INPUTS!$B$69,$C63=INPUTS!$B$70),INPUTS!$B$71,$C63),'KNOWIFY REVIEW'!$AD$4:$AD$400,1),""))</f>
        <v/>
      </c>
      <c r="S63" s="24" t="str">
        <f aca="false">IF(MAX(N($Q63),N($R63))&gt;1.1,"Past job ran over budget","")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38"/>
      <c r="F64" s="10"/>
      <c r="G64" s="39"/>
      <c r="H64" s="40"/>
      <c r="I64" s="39"/>
      <c r="J64" s="38"/>
      <c r="K64" s="10" t="s">
        <v>237</v>
      </c>
      <c r="L64" s="28" t="n">
        <f aca="false">($E64*$G64+$I64)*(1+IF($K64="N",0,INPUTS!$C$23))</f>
        <v>0</v>
      </c>
      <c r="M64" s="41" t="n">
        <f aca="false">$E64*$H64+$J64</f>
        <v>0</v>
      </c>
      <c r="N64" s="28" t="n">
        <f aca="false">$M64*IF(OR($B64="V",$B64="AC"),'LABOUR RATES'!$E$26,'LABOUR RATES'!$E$11)</f>
        <v>0</v>
      </c>
      <c r="O64" s="28" t="n">
        <f aca="false">$M64*IF(OR($B64="V",$B64="AC"),'LABOUR RATES'!$C$27,'LABOUR RATES'!$C$12)</f>
        <v>0</v>
      </c>
      <c r="P64" s="42" t="n">
        <f aca="false">$L64+$N64+$O64</f>
        <v>0</v>
      </c>
      <c r="Q64" s="43" t="str">
        <f aca="false">IF(OR($B64="",$C64=""),"",IFERROR(SUMIFS('KNOWIFY REVIEW'!$AF$4:$AF$400,'KNOWIFY REVIEW'!$AB$4:$AB$400,$B64,'KNOWIFY REVIEW'!$AC$4:$AC$400,$C64,'KNOWIFY REVIEW'!$AD$4:$AD$400,1)/SUMIFS('KNOWIFY REVIEW'!$AE$4:$AE$400,'KNOWIFY REVIEW'!$AB$4:$AB$400,$B64,'KNOWIFY REVIEW'!$AC$4:$AC$400,$C64,'KNOWIFY REVIEW'!$AD$4:$AD$400,1),""))</f>
        <v/>
      </c>
      <c r="R64" s="43" t="str">
        <f aca="false">IF(OR($B64="",$C64=""),"",IFERROR(SUMIFS('KNOWIFY REVIEW'!$AH$4:$AH$400,'KNOWIFY REVIEW'!$AB$4:$AB$400,$B64,'KNOWIFY REVIEW'!$AC$4:$AC$400,IF(OR($C64=INPUTS!$B$69,$C64=INPUTS!$B$70),INPUTS!$B$71,$C64),'KNOWIFY REVIEW'!$AD$4:$AD$400,1)/SUMIFS('KNOWIFY REVIEW'!$AG$4:$AG$400,'KNOWIFY REVIEW'!$AB$4:$AB$400,$B64,'KNOWIFY REVIEW'!$AC$4:$AC$400,IF(OR($C64=INPUTS!$B$69,$C64=INPUTS!$B$70),INPUTS!$B$71,$C64),'KNOWIFY REVIEW'!$AD$4:$AD$400,1),""))</f>
        <v/>
      </c>
      <c r="S64" s="24" t="str">
        <f aca="false">IF(MAX(N($Q64),N($R64))&gt;1.1,"Past job ran over budget","")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38"/>
      <c r="F65" s="10"/>
      <c r="G65" s="39"/>
      <c r="H65" s="40"/>
      <c r="I65" s="39"/>
      <c r="J65" s="38"/>
      <c r="K65" s="10" t="s">
        <v>237</v>
      </c>
      <c r="L65" s="28" t="n">
        <f aca="false">($E65*$G65+$I65)*(1+IF($K65="N",0,INPUTS!$C$23))</f>
        <v>0</v>
      </c>
      <c r="M65" s="41" t="n">
        <f aca="false">$E65*$H65+$J65</f>
        <v>0</v>
      </c>
      <c r="N65" s="28" t="n">
        <f aca="false">$M65*IF(OR($B65="V",$B65="AC"),'LABOUR RATES'!$E$26,'LABOUR RATES'!$E$11)</f>
        <v>0</v>
      </c>
      <c r="O65" s="28" t="n">
        <f aca="false">$M65*IF(OR($B65="V",$B65="AC"),'LABOUR RATES'!$C$27,'LABOUR RATES'!$C$12)</f>
        <v>0</v>
      </c>
      <c r="P65" s="42" t="n">
        <f aca="false">$L65+$N65+$O65</f>
        <v>0</v>
      </c>
      <c r="Q65" s="43" t="str">
        <f aca="false">IF(OR($B65="",$C65=""),"",IFERROR(SUMIFS('KNOWIFY REVIEW'!$AF$4:$AF$400,'KNOWIFY REVIEW'!$AB$4:$AB$400,$B65,'KNOWIFY REVIEW'!$AC$4:$AC$400,$C65,'KNOWIFY REVIEW'!$AD$4:$AD$400,1)/SUMIFS('KNOWIFY REVIEW'!$AE$4:$AE$400,'KNOWIFY REVIEW'!$AB$4:$AB$400,$B65,'KNOWIFY REVIEW'!$AC$4:$AC$400,$C65,'KNOWIFY REVIEW'!$AD$4:$AD$400,1),""))</f>
        <v/>
      </c>
      <c r="R65" s="43" t="str">
        <f aca="false">IF(OR($B65="",$C65=""),"",IFERROR(SUMIFS('KNOWIFY REVIEW'!$AH$4:$AH$400,'KNOWIFY REVIEW'!$AB$4:$AB$400,$B65,'KNOWIFY REVIEW'!$AC$4:$AC$400,IF(OR($C65=INPUTS!$B$69,$C65=INPUTS!$B$70),INPUTS!$B$71,$C65),'KNOWIFY REVIEW'!$AD$4:$AD$400,1)/SUMIFS('KNOWIFY REVIEW'!$AG$4:$AG$400,'KNOWIFY REVIEW'!$AB$4:$AB$400,$B65,'KNOWIFY REVIEW'!$AC$4:$AC$400,IF(OR($C65=INPUTS!$B$69,$C65=INPUTS!$B$70),INPUTS!$B$71,$C65),'KNOWIFY REVIEW'!$AD$4:$AD$400,1),""))</f>
        <v/>
      </c>
      <c r="S65" s="24" t="str">
        <f aca="false">IF(MAX(N($Q65),N($R65))&gt;1.1,"Past job ran over budget","")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38"/>
      <c r="F66" s="10"/>
      <c r="G66" s="39"/>
      <c r="H66" s="40"/>
      <c r="I66" s="39"/>
      <c r="J66" s="38"/>
      <c r="K66" s="10" t="s">
        <v>237</v>
      </c>
      <c r="L66" s="28" t="n">
        <f aca="false">($E66*$G66+$I66)*(1+IF($K66="N",0,INPUTS!$C$23))</f>
        <v>0</v>
      </c>
      <c r="M66" s="41" t="n">
        <f aca="false">$E66*$H66+$J66</f>
        <v>0</v>
      </c>
      <c r="N66" s="28" t="n">
        <f aca="false">$M66*IF(OR($B66="V",$B66="AC"),'LABOUR RATES'!$E$26,'LABOUR RATES'!$E$11)</f>
        <v>0</v>
      </c>
      <c r="O66" s="28" t="n">
        <f aca="false">$M66*IF(OR($B66="V",$B66="AC"),'LABOUR RATES'!$C$27,'LABOUR RATES'!$C$12)</f>
        <v>0</v>
      </c>
      <c r="P66" s="42" t="n">
        <f aca="false">$L66+$N66+$O66</f>
        <v>0</v>
      </c>
      <c r="Q66" s="43" t="str">
        <f aca="false">IF(OR($B66="",$C66=""),"",IFERROR(SUMIFS('KNOWIFY REVIEW'!$AF$4:$AF$400,'KNOWIFY REVIEW'!$AB$4:$AB$400,$B66,'KNOWIFY REVIEW'!$AC$4:$AC$400,$C66,'KNOWIFY REVIEW'!$AD$4:$AD$400,1)/SUMIFS('KNOWIFY REVIEW'!$AE$4:$AE$400,'KNOWIFY REVIEW'!$AB$4:$AB$400,$B66,'KNOWIFY REVIEW'!$AC$4:$AC$400,$C66,'KNOWIFY REVIEW'!$AD$4:$AD$400,1),""))</f>
        <v/>
      </c>
      <c r="R66" s="43" t="str">
        <f aca="false">IF(OR($B66="",$C66=""),"",IFERROR(SUMIFS('KNOWIFY REVIEW'!$AH$4:$AH$400,'KNOWIFY REVIEW'!$AB$4:$AB$400,$B66,'KNOWIFY REVIEW'!$AC$4:$AC$400,IF(OR($C66=INPUTS!$B$69,$C66=INPUTS!$B$70),INPUTS!$B$71,$C66),'KNOWIFY REVIEW'!$AD$4:$AD$400,1)/SUMIFS('KNOWIFY REVIEW'!$AG$4:$AG$400,'KNOWIFY REVIEW'!$AB$4:$AB$400,$B66,'KNOWIFY REVIEW'!$AC$4:$AC$400,IF(OR($C66=INPUTS!$B$69,$C66=INPUTS!$B$70),INPUTS!$B$71,$C66),'KNOWIFY REVIEW'!$AD$4:$AD$400,1),""))</f>
        <v/>
      </c>
      <c r="S66" s="24" t="str">
        <f aca="false">IF(MAX(N($Q66),N($R66))&gt;1.1,"Past job ran over budget","")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38"/>
      <c r="F67" s="10"/>
      <c r="G67" s="39"/>
      <c r="H67" s="40"/>
      <c r="I67" s="39"/>
      <c r="J67" s="38"/>
      <c r="K67" s="10" t="s">
        <v>237</v>
      </c>
      <c r="L67" s="28" t="n">
        <f aca="false">($E67*$G67+$I67)*(1+IF($K67="N",0,INPUTS!$C$23))</f>
        <v>0</v>
      </c>
      <c r="M67" s="41" t="n">
        <f aca="false">$E67*$H67+$J67</f>
        <v>0</v>
      </c>
      <c r="N67" s="28" t="n">
        <f aca="false">$M67*IF(OR($B67="V",$B67="AC"),'LABOUR RATES'!$E$26,'LABOUR RATES'!$E$11)</f>
        <v>0</v>
      </c>
      <c r="O67" s="28" t="n">
        <f aca="false">$M67*IF(OR($B67="V",$B67="AC"),'LABOUR RATES'!$C$27,'LABOUR RATES'!$C$12)</f>
        <v>0</v>
      </c>
      <c r="P67" s="42" t="n">
        <f aca="false">$L67+$N67+$O67</f>
        <v>0</v>
      </c>
      <c r="Q67" s="43" t="str">
        <f aca="false">IF(OR($B67="",$C67=""),"",IFERROR(SUMIFS('KNOWIFY REVIEW'!$AF$4:$AF$400,'KNOWIFY REVIEW'!$AB$4:$AB$400,$B67,'KNOWIFY REVIEW'!$AC$4:$AC$400,$C67,'KNOWIFY REVIEW'!$AD$4:$AD$400,1)/SUMIFS('KNOWIFY REVIEW'!$AE$4:$AE$400,'KNOWIFY REVIEW'!$AB$4:$AB$400,$B67,'KNOWIFY REVIEW'!$AC$4:$AC$400,$C67,'KNOWIFY REVIEW'!$AD$4:$AD$400,1),""))</f>
        <v/>
      </c>
      <c r="R67" s="43" t="str">
        <f aca="false">IF(OR($B67="",$C67=""),"",IFERROR(SUMIFS('KNOWIFY REVIEW'!$AH$4:$AH$400,'KNOWIFY REVIEW'!$AB$4:$AB$400,$B67,'KNOWIFY REVIEW'!$AC$4:$AC$400,IF(OR($C67=INPUTS!$B$69,$C67=INPUTS!$B$70),INPUTS!$B$71,$C67),'KNOWIFY REVIEW'!$AD$4:$AD$400,1)/SUMIFS('KNOWIFY REVIEW'!$AG$4:$AG$400,'KNOWIFY REVIEW'!$AB$4:$AB$400,$B67,'KNOWIFY REVIEW'!$AC$4:$AC$400,IF(OR($C67=INPUTS!$B$69,$C67=INPUTS!$B$70),INPUTS!$B$71,$C67),'KNOWIFY REVIEW'!$AD$4:$AD$400,1),""))</f>
        <v/>
      </c>
      <c r="S67" s="24" t="str">
        <f aca="false">IF(MAX(N($Q67),N($R67))&gt;1.1,"Past job ran over budget","")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38"/>
      <c r="F68" s="10"/>
      <c r="G68" s="39"/>
      <c r="H68" s="40"/>
      <c r="I68" s="39"/>
      <c r="J68" s="38"/>
      <c r="K68" s="10" t="s">
        <v>237</v>
      </c>
      <c r="L68" s="28" t="n">
        <f aca="false">($E68*$G68+$I68)*(1+IF($K68="N",0,INPUTS!$C$23))</f>
        <v>0</v>
      </c>
      <c r="M68" s="41" t="n">
        <f aca="false">$E68*$H68+$J68</f>
        <v>0</v>
      </c>
      <c r="N68" s="28" t="n">
        <f aca="false">$M68*IF(OR($B68="V",$B68="AC"),'LABOUR RATES'!$E$26,'LABOUR RATES'!$E$11)</f>
        <v>0</v>
      </c>
      <c r="O68" s="28" t="n">
        <f aca="false">$M68*IF(OR($B68="V",$B68="AC"),'LABOUR RATES'!$C$27,'LABOUR RATES'!$C$12)</f>
        <v>0</v>
      </c>
      <c r="P68" s="42" t="n">
        <f aca="false">$L68+$N68+$O68</f>
        <v>0</v>
      </c>
      <c r="Q68" s="43" t="str">
        <f aca="false">IF(OR($B68="",$C68=""),"",IFERROR(SUMIFS('KNOWIFY REVIEW'!$AF$4:$AF$400,'KNOWIFY REVIEW'!$AB$4:$AB$400,$B68,'KNOWIFY REVIEW'!$AC$4:$AC$400,$C68,'KNOWIFY REVIEW'!$AD$4:$AD$400,1)/SUMIFS('KNOWIFY REVIEW'!$AE$4:$AE$400,'KNOWIFY REVIEW'!$AB$4:$AB$400,$B68,'KNOWIFY REVIEW'!$AC$4:$AC$400,$C68,'KNOWIFY REVIEW'!$AD$4:$AD$400,1),""))</f>
        <v/>
      </c>
      <c r="R68" s="43" t="str">
        <f aca="false">IF(OR($B68="",$C68=""),"",IFERROR(SUMIFS('KNOWIFY REVIEW'!$AH$4:$AH$400,'KNOWIFY REVIEW'!$AB$4:$AB$400,$B68,'KNOWIFY REVIEW'!$AC$4:$AC$400,IF(OR($C68=INPUTS!$B$69,$C68=INPUTS!$B$70),INPUTS!$B$71,$C68),'KNOWIFY REVIEW'!$AD$4:$AD$400,1)/SUMIFS('KNOWIFY REVIEW'!$AG$4:$AG$400,'KNOWIFY REVIEW'!$AB$4:$AB$400,$B68,'KNOWIFY REVIEW'!$AC$4:$AC$400,IF(OR($C68=INPUTS!$B$69,$C68=INPUTS!$B$70),INPUTS!$B$71,$C68),'KNOWIFY REVIEW'!$AD$4:$AD$400,1),""))</f>
        <v/>
      </c>
      <c r="S68" s="24" t="str">
        <f aca="false">IF(MAX(N($Q68),N($R68))&gt;1.1,"Past job ran over budget","")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38"/>
      <c r="F69" s="10"/>
      <c r="G69" s="39"/>
      <c r="H69" s="40"/>
      <c r="I69" s="39"/>
      <c r="J69" s="38"/>
      <c r="K69" s="10" t="s">
        <v>237</v>
      </c>
      <c r="L69" s="28" t="n">
        <f aca="false">($E69*$G69+$I69)*(1+IF($K69="N",0,INPUTS!$C$23))</f>
        <v>0</v>
      </c>
      <c r="M69" s="41" t="n">
        <f aca="false">$E69*$H69+$J69</f>
        <v>0</v>
      </c>
      <c r="N69" s="28" t="n">
        <f aca="false">$M69*IF(OR($B69="V",$B69="AC"),'LABOUR RATES'!$E$26,'LABOUR RATES'!$E$11)</f>
        <v>0</v>
      </c>
      <c r="O69" s="28" t="n">
        <f aca="false">$M69*IF(OR($B69="V",$B69="AC"),'LABOUR RATES'!$C$27,'LABOUR RATES'!$C$12)</f>
        <v>0</v>
      </c>
      <c r="P69" s="42" t="n">
        <f aca="false">$L69+$N69+$O69</f>
        <v>0</v>
      </c>
      <c r="Q69" s="43" t="str">
        <f aca="false">IF(OR($B69="",$C69=""),"",IFERROR(SUMIFS('KNOWIFY REVIEW'!$AF$4:$AF$400,'KNOWIFY REVIEW'!$AB$4:$AB$400,$B69,'KNOWIFY REVIEW'!$AC$4:$AC$400,$C69,'KNOWIFY REVIEW'!$AD$4:$AD$400,1)/SUMIFS('KNOWIFY REVIEW'!$AE$4:$AE$400,'KNOWIFY REVIEW'!$AB$4:$AB$400,$B69,'KNOWIFY REVIEW'!$AC$4:$AC$400,$C69,'KNOWIFY REVIEW'!$AD$4:$AD$400,1),""))</f>
        <v/>
      </c>
      <c r="R69" s="43" t="str">
        <f aca="false">IF(OR($B69="",$C69=""),"",IFERROR(SUMIFS('KNOWIFY REVIEW'!$AH$4:$AH$400,'KNOWIFY REVIEW'!$AB$4:$AB$400,$B69,'KNOWIFY REVIEW'!$AC$4:$AC$400,IF(OR($C69=INPUTS!$B$69,$C69=INPUTS!$B$70),INPUTS!$B$71,$C69),'KNOWIFY REVIEW'!$AD$4:$AD$400,1)/SUMIFS('KNOWIFY REVIEW'!$AG$4:$AG$400,'KNOWIFY REVIEW'!$AB$4:$AB$400,$B69,'KNOWIFY REVIEW'!$AC$4:$AC$400,IF(OR($C69=INPUTS!$B$69,$C69=INPUTS!$B$70),INPUTS!$B$71,$C69),'KNOWIFY REVIEW'!$AD$4:$AD$400,1),""))</f>
        <v/>
      </c>
      <c r="S69" s="24" t="str">
        <f aca="false">IF(MAX(N($Q69),N($R69))&gt;1.1,"Past job ran over budget","")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38"/>
      <c r="F70" s="10"/>
      <c r="G70" s="39"/>
      <c r="H70" s="40"/>
      <c r="I70" s="39"/>
      <c r="J70" s="38"/>
      <c r="K70" s="10" t="s">
        <v>237</v>
      </c>
      <c r="L70" s="28" t="n">
        <f aca="false">($E70*$G70+$I70)*(1+IF($K70="N",0,INPUTS!$C$23))</f>
        <v>0</v>
      </c>
      <c r="M70" s="41" t="n">
        <f aca="false">$E70*$H70+$J70</f>
        <v>0</v>
      </c>
      <c r="N70" s="28" t="n">
        <f aca="false">$M70*IF(OR($B70="V",$B70="AC"),'LABOUR RATES'!$E$26,'LABOUR RATES'!$E$11)</f>
        <v>0</v>
      </c>
      <c r="O70" s="28" t="n">
        <f aca="false">$M70*IF(OR($B70="V",$B70="AC"),'LABOUR RATES'!$C$27,'LABOUR RATES'!$C$12)</f>
        <v>0</v>
      </c>
      <c r="P70" s="42" t="n">
        <f aca="false">$L70+$N70+$O70</f>
        <v>0</v>
      </c>
      <c r="Q70" s="43" t="str">
        <f aca="false">IF(OR($B70="",$C70=""),"",IFERROR(SUMIFS('KNOWIFY REVIEW'!$AF$4:$AF$400,'KNOWIFY REVIEW'!$AB$4:$AB$400,$B70,'KNOWIFY REVIEW'!$AC$4:$AC$400,$C70,'KNOWIFY REVIEW'!$AD$4:$AD$400,1)/SUMIFS('KNOWIFY REVIEW'!$AE$4:$AE$400,'KNOWIFY REVIEW'!$AB$4:$AB$400,$B70,'KNOWIFY REVIEW'!$AC$4:$AC$400,$C70,'KNOWIFY REVIEW'!$AD$4:$AD$400,1),""))</f>
        <v/>
      </c>
      <c r="R70" s="43" t="str">
        <f aca="false">IF(OR($B70="",$C70=""),"",IFERROR(SUMIFS('KNOWIFY REVIEW'!$AH$4:$AH$400,'KNOWIFY REVIEW'!$AB$4:$AB$400,$B70,'KNOWIFY REVIEW'!$AC$4:$AC$400,IF(OR($C70=INPUTS!$B$69,$C70=INPUTS!$B$70),INPUTS!$B$71,$C70),'KNOWIFY REVIEW'!$AD$4:$AD$400,1)/SUMIFS('KNOWIFY REVIEW'!$AG$4:$AG$400,'KNOWIFY REVIEW'!$AB$4:$AB$400,$B70,'KNOWIFY REVIEW'!$AC$4:$AC$400,IF(OR($C70=INPUTS!$B$69,$C70=INPUTS!$B$70),INPUTS!$B$71,$C70),'KNOWIFY REVIEW'!$AD$4:$AD$400,1),""))</f>
        <v/>
      </c>
      <c r="S70" s="24" t="str">
        <f aca="false">IF(MAX(N($Q70),N($R70))&gt;1.1,"Past job ran over budget","")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38"/>
      <c r="F71" s="10"/>
      <c r="G71" s="39"/>
      <c r="H71" s="40"/>
      <c r="I71" s="39"/>
      <c r="J71" s="38"/>
      <c r="K71" s="10" t="s">
        <v>237</v>
      </c>
      <c r="L71" s="28" t="n">
        <f aca="false">($E71*$G71+$I71)*(1+IF($K71="N",0,INPUTS!$C$23))</f>
        <v>0</v>
      </c>
      <c r="M71" s="41" t="n">
        <f aca="false">$E71*$H71+$J71</f>
        <v>0</v>
      </c>
      <c r="N71" s="28" t="n">
        <f aca="false">$M71*IF(OR($B71="V",$B71="AC"),'LABOUR RATES'!$E$26,'LABOUR RATES'!$E$11)</f>
        <v>0</v>
      </c>
      <c r="O71" s="28" t="n">
        <f aca="false">$M71*IF(OR($B71="V",$B71="AC"),'LABOUR RATES'!$C$27,'LABOUR RATES'!$C$12)</f>
        <v>0</v>
      </c>
      <c r="P71" s="42" t="n">
        <f aca="false">$L71+$N71+$O71</f>
        <v>0</v>
      </c>
      <c r="Q71" s="43" t="str">
        <f aca="false">IF(OR($B71="",$C71=""),"",IFERROR(SUMIFS('KNOWIFY REVIEW'!$AF$4:$AF$400,'KNOWIFY REVIEW'!$AB$4:$AB$400,$B71,'KNOWIFY REVIEW'!$AC$4:$AC$400,$C71,'KNOWIFY REVIEW'!$AD$4:$AD$400,1)/SUMIFS('KNOWIFY REVIEW'!$AE$4:$AE$400,'KNOWIFY REVIEW'!$AB$4:$AB$400,$B71,'KNOWIFY REVIEW'!$AC$4:$AC$400,$C71,'KNOWIFY REVIEW'!$AD$4:$AD$400,1),""))</f>
        <v/>
      </c>
      <c r="R71" s="43" t="str">
        <f aca="false">IF(OR($B71="",$C71=""),"",IFERROR(SUMIFS('KNOWIFY REVIEW'!$AH$4:$AH$400,'KNOWIFY REVIEW'!$AB$4:$AB$400,$B71,'KNOWIFY REVIEW'!$AC$4:$AC$400,IF(OR($C71=INPUTS!$B$69,$C71=INPUTS!$B$70),INPUTS!$B$71,$C71),'KNOWIFY REVIEW'!$AD$4:$AD$400,1)/SUMIFS('KNOWIFY REVIEW'!$AG$4:$AG$400,'KNOWIFY REVIEW'!$AB$4:$AB$400,$B71,'KNOWIFY REVIEW'!$AC$4:$AC$400,IF(OR($C71=INPUTS!$B$69,$C71=INPUTS!$B$70),INPUTS!$B$71,$C71),'KNOWIFY REVIEW'!$AD$4:$AD$400,1),""))</f>
        <v/>
      </c>
      <c r="S71" s="24" t="str">
        <f aca="false">IF(MAX(N($Q71),N($R71))&gt;1.1,"Past job ran over budget","")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38"/>
      <c r="F72" s="10"/>
      <c r="G72" s="39"/>
      <c r="H72" s="40"/>
      <c r="I72" s="39"/>
      <c r="J72" s="38"/>
      <c r="K72" s="10" t="s">
        <v>237</v>
      </c>
      <c r="L72" s="28" t="n">
        <f aca="false">($E72*$G72+$I72)*(1+IF($K72="N",0,INPUTS!$C$23))</f>
        <v>0</v>
      </c>
      <c r="M72" s="41" t="n">
        <f aca="false">$E72*$H72+$J72</f>
        <v>0</v>
      </c>
      <c r="N72" s="28" t="n">
        <f aca="false">$M72*IF(OR($B72="V",$B72="AC"),'LABOUR RATES'!$E$26,'LABOUR RATES'!$E$11)</f>
        <v>0</v>
      </c>
      <c r="O72" s="28" t="n">
        <f aca="false">$M72*IF(OR($B72="V",$B72="AC"),'LABOUR RATES'!$C$27,'LABOUR RATES'!$C$12)</f>
        <v>0</v>
      </c>
      <c r="P72" s="42" t="n">
        <f aca="false">$L72+$N72+$O72</f>
        <v>0</v>
      </c>
      <c r="Q72" s="43" t="str">
        <f aca="false">IF(OR($B72="",$C72=""),"",IFERROR(SUMIFS('KNOWIFY REVIEW'!$AF$4:$AF$400,'KNOWIFY REVIEW'!$AB$4:$AB$400,$B72,'KNOWIFY REVIEW'!$AC$4:$AC$400,$C72,'KNOWIFY REVIEW'!$AD$4:$AD$400,1)/SUMIFS('KNOWIFY REVIEW'!$AE$4:$AE$400,'KNOWIFY REVIEW'!$AB$4:$AB$400,$B72,'KNOWIFY REVIEW'!$AC$4:$AC$400,$C72,'KNOWIFY REVIEW'!$AD$4:$AD$400,1),""))</f>
        <v/>
      </c>
      <c r="R72" s="43" t="str">
        <f aca="false">IF(OR($B72="",$C72=""),"",IFERROR(SUMIFS('KNOWIFY REVIEW'!$AH$4:$AH$400,'KNOWIFY REVIEW'!$AB$4:$AB$400,$B72,'KNOWIFY REVIEW'!$AC$4:$AC$400,IF(OR($C72=INPUTS!$B$69,$C72=INPUTS!$B$70),INPUTS!$B$71,$C72),'KNOWIFY REVIEW'!$AD$4:$AD$400,1)/SUMIFS('KNOWIFY REVIEW'!$AG$4:$AG$400,'KNOWIFY REVIEW'!$AB$4:$AB$400,$B72,'KNOWIFY REVIEW'!$AC$4:$AC$400,IF(OR($C72=INPUTS!$B$69,$C72=INPUTS!$B$70),INPUTS!$B$71,$C72),'KNOWIFY REVIEW'!$AD$4:$AD$400,1),""))</f>
        <v/>
      </c>
      <c r="S72" s="24" t="str">
        <f aca="false">IF(MAX(N($Q72),N($R72))&gt;1.1,"Past job ran over budget","")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38"/>
      <c r="F73" s="10"/>
      <c r="G73" s="39"/>
      <c r="H73" s="40"/>
      <c r="I73" s="39"/>
      <c r="J73" s="38"/>
      <c r="K73" s="10" t="s">
        <v>237</v>
      </c>
      <c r="L73" s="28" t="n">
        <f aca="false">($E73*$G73+$I73)*(1+IF($K73="N",0,INPUTS!$C$23))</f>
        <v>0</v>
      </c>
      <c r="M73" s="41" t="n">
        <f aca="false">$E73*$H73+$J73</f>
        <v>0</v>
      </c>
      <c r="N73" s="28" t="n">
        <f aca="false">$M73*IF(OR($B73="V",$B73="AC"),'LABOUR RATES'!$E$26,'LABOUR RATES'!$E$11)</f>
        <v>0</v>
      </c>
      <c r="O73" s="28" t="n">
        <f aca="false">$M73*IF(OR($B73="V",$B73="AC"),'LABOUR RATES'!$C$27,'LABOUR RATES'!$C$12)</f>
        <v>0</v>
      </c>
      <c r="P73" s="42" t="n">
        <f aca="false">$L73+$N73+$O73</f>
        <v>0</v>
      </c>
      <c r="Q73" s="43" t="str">
        <f aca="false">IF(OR($B73="",$C73=""),"",IFERROR(SUMIFS('KNOWIFY REVIEW'!$AF$4:$AF$400,'KNOWIFY REVIEW'!$AB$4:$AB$400,$B73,'KNOWIFY REVIEW'!$AC$4:$AC$400,$C73,'KNOWIFY REVIEW'!$AD$4:$AD$400,1)/SUMIFS('KNOWIFY REVIEW'!$AE$4:$AE$400,'KNOWIFY REVIEW'!$AB$4:$AB$400,$B73,'KNOWIFY REVIEW'!$AC$4:$AC$400,$C73,'KNOWIFY REVIEW'!$AD$4:$AD$400,1),""))</f>
        <v/>
      </c>
      <c r="R73" s="43" t="str">
        <f aca="false">IF(OR($B73="",$C73=""),"",IFERROR(SUMIFS('KNOWIFY REVIEW'!$AH$4:$AH$400,'KNOWIFY REVIEW'!$AB$4:$AB$400,$B73,'KNOWIFY REVIEW'!$AC$4:$AC$400,IF(OR($C73=INPUTS!$B$69,$C73=INPUTS!$B$70),INPUTS!$B$71,$C73),'KNOWIFY REVIEW'!$AD$4:$AD$400,1)/SUMIFS('KNOWIFY REVIEW'!$AG$4:$AG$400,'KNOWIFY REVIEW'!$AB$4:$AB$400,$B73,'KNOWIFY REVIEW'!$AC$4:$AC$400,IF(OR($C73=INPUTS!$B$69,$C73=INPUTS!$B$70),INPUTS!$B$71,$C73),'KNOWIFY REVIEW'!$AD$4:$AD$400,1),""))</f>
        <v/>
      </c>
      <c r="S73" s="24" t="str">
        <f aca="false">IF(MAX(N($Q73),N($R73))&gt;1.1,"Past job ran over budget","")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38"/>
      <c r="F74" s="10"/>
      <c r="G74" s="39"/>
      <c r="H74" s="40"/>
      <c r="I74" s="39"/>
      <c r="J74" s="38"/>
      <c r="K74" s="10" t="s">
        <v>237</v>
      </c>
      <c r="L74" s="28" t="n">
        <f aca="false">($E74*$G74+$I74)*(1+IF($K74="N",0,INPUTS!$C$23))</f>
        <v>0</v>
      </c>
      <c r="M74" s="41" t="n">
        <f aca="false">$E74*$H74+$J74</f>
        <v>0</v>
      </c>
      <c r="N74" s="28" t="n">
        <f aca="false">$M74*IF(OR($B74="V",$B74="AC"),'LABOUR RATES'!$E$26,'LABOUR RATES'!$E$11)</f>
        <v>0</v>
      </c>
      <c r="O74" s="28" t="n">
        <f aca="false">$M74*IF(OR($B74="V",$B74="AC"),'LABOUR RATES'!$C$27,'LABOUR RATES'!$C$12)</f>
        <v>0</v>
      </c>
      <c r="P74" s="42" t="n">
        <f aca="false">$L74+$N74+$O74</f>
        <v>0</v>
      </c>
      <c r="Q74" s="43" t="str">
        <f aca="false">IF(OR($B74="",$C74=""),"",IFERROR(SUMIFS('KNOWIFY REVIEW'!$AF$4:$AF$400,'KNOWIFY REVIEW'!$AB$4:$AB$400,$B74,'KNOWIFY REVIEW'!$AC$4:$AC$400,$C74,'KNOWIFY REVIEW'!$AD$4:$AD$400,1)/SUMIFS('KNOWIFY REVIEW'!$AE$4:$AE$400,'KNOWIFY REVIEW'!$AB$4:$AB$400,$B74,'KNOWIFY REVIEW'!$AC$4:$AC$400,$C74,'KNOWIFY REVIEW'!$AD$4:$AD$400,1),""))</f>
        <v/>
      </c>
      <c r="R74" s="43" t="str">
        <f aca="false">IF(OR($B74="",$C74=""),"",IFERROR(SUMIFS('KNOWIFY REVIEW'!$AH$4:$AH$400,'KNOWIFY REVIEW'!$AB$4:$AB$400,$B74,'KNOWIFY REVIEW'!$AC$4:$AC$400,IF(OR($C74=INPUTS!$B$69,$C74=INPUTS!$B$70),INPUTS!$B$71,$C74),'KNOWIFY REVIEW'!$AD$4:$AD$400,1)/SUMIFS('KNOWIFY REVIEW'!$AG$4:$AG$400,'KNOWIFY REVIEW'!$AB$4:$AB$400,$B74,'KNOWIFY REVIEW'!$AC$4:$AC$400,IF(OR($C74=INPUTS!$B$69,$C74=INPUTS!$B$70),INPUTS!$B$71,$C74),'KNOWIFY REVIEW'!$AD$4:$AD$400,1),""))</f>
        <v/>
      </c>
      <c r="S74" s="24" t="str">
        <f aca="false">IF(MAX(N($Q74),N($R74))&gt;1.1,"Past job ran over budget","")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38"/>
      <c r="F75" s="10"/>
      <c r="G75" s="39"/>
      <c r="H75" s="40"/>
      <c r="I75" s="39"/>
      <c r="J75" s="38"/>
      <c r="K75" s="10" t="s">
        <v>237</v>
      </c>
      <c r="L75" s="28" t="n">
        <f aca="false">($E75*$G75+$I75)*(1+IF($K75="N",0,INPUTS!$C$23))</f>
        <v>0</v>
      </c>
      <c r="M75" s="41" t="n">
        <f aca="false">$E75*$H75+$J75</f>
        <v>0</v>
      </c>
      <c r="N75" s="28" t="n">
        <f aca="false">$M75*IF(OR($B75="V",$B75="AC"),'LABOUR RATES'!$E$26,'LABOUR RATES'!$E$11)</f>
        <v>0</v>
      </c>
      <c r="O75" s="28" t="n">
        <f aca="false">$M75*IF(OR($B75="V",$B75="AC"),'LABOUR RATES'!$C$27,'LABOUR RATES'!$C$12)</f>
        <v>0</v>
      </c>
      <c r="P75" s="42" t="n">
        <f aca="false">$L75+$N75+$O75</f>
        <v>0</v>
      </c>
      <c r="Q75" s="43" t="str">
        <f aca="false">IF(OR($B75="",$C75=""),"",IFERROR(SUMIFS('KNOWIFY REVIEW'!$AF$4:$AF$400,'KNOWIFY REVIEW'!$AB$4:$AB$400,$B75,'KNOWIFY REVIEW'!$AC$4:$AC$400,$C75,'KNOWIFY REVIEW'!$AD$4:$AD$400,1)/SUMIFS('KNOWIFY REVIEW'!$AE$4:$AE$400,'KNOWIFY REVIEW'!$AB$4:$AB$400,$B75,'KNOWIFY REVIEW'!$AC$4:$AC$400,$C75,'KNOWIFY REVIEW'!$AD$4:$AD$400,1),""))</f>
        <v/>
      </c>
      <c r="R75" s="43" t="str">
        <f aca="false">IF(OR($B75="",$C75=""),"",IFERROR(SUMIFS('KNOWIFY REVIEW'!$AH$4:$AH$400,'KNOWIFY REVIEW'!$AB$4:$AB$400,$B75,'KNOWIFY REVIEW'!$AC$4:$AC$400,IF(OR($C75=INPUTS!$B$69,$C75=INPUTS!$B$70),INPUTS!$B$71,$C75),'KNOWIFY REVIEW'!$AD$4:$AD$400,1)/SUMIFS('KNOWIFY REVIEW'!$AG$4:$AG$400,'KNOWIFY REVIEW'!$AB$4:$AB$400,$B75,'KNOWIFY REVIEW'!$AC$4:$AC$400,IF(OR($C75=INPUTS!$B$69,$C75=INPUTS!$B$70),INPUTS!$B$71,$C75),'KNOWIFY REVIEW'!$AD$4:$AD$400,1),""))</f>
        <v/>
      </c>
      <c r="S75" s="24" t="str">
        <f aca="false">IF(MAX(N($Q75),N($R75))&gt;1.1,"Past job ran over budget","")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38"/>
      <c r="F76" s="10"/>
      <c r="G76" s="39"/>
      <c r="H76" s="40"/>
      <c r="I76" s="39"/>
      <c r="J76" s="38"/>
      <c r="K76" s="10" t="s">
        <v>237</v>
      </c>
      <c r="L76" s="28" t="n">
        <f aca="false">($E76*$G76+$I76)*(1+IF($K76="N",0,INPUTS!$C$23))</f>
        <v>0</v>
      </c>
      <c r="M76" s="41" t="n">
        <f aca="false">$E76*$H76+$J76</f>
        <v>0</v>
      </c>
      <c r="N76" s="28" t="n">
        <f aca="false">$M76*IF(OR($B76="V",$B76="AC"),'LABOUR RATES'!$E$26,'LABOUR RATES'!$E$11)</f>
        <v>0</v>
      </c>
      <c r="O76" s="28" t="n">
        <f aca="false">$M76*IF(OR($B76="V",$B76="AC"),'LABOUR RATES'!$C$27,'LABOUR RATES'!$C$12)</f>
        <v>0</v>
      </c>
      <c r="P76" s="42" t="n">
        <f aca="false">$L76+$N76+$O76</f>
        <v>0</v>
      </c>
      <c r="Q76" s="43" t="str">
        <f aca="false">IF(OR($B76="",$C76=""),"",IFERROR(SUMIFS('KNOWIFY REVIEW'!$AF$4:$AF$400,'KNOWIFY REVIEW'!$AB$4:$AB$400,$B76,'KNOWIFY REVIEW'!$AC$4:$AC$400,$C76,'KNOWIFY REVIEW'!$AD$4:$AD$400,1)/SUMIFS('KNOWIFY REVIEW'!$AE$4:$AE$400,'KNOWIFY REVIEW'!$AB$4:$AB$400,$B76,'KNOWIFY REVIEW'!$AC$4:$AC$400,$C76,'KNOWIFY REVIEW'!$AD$4:$AD$400,1),""))</f>
        <v/>
      </c>
      <c r="R76" s="43" t="str">
        <f aca="false">IF(OR($B76="",$C76=""),"",IFERROR(SUMIFS('KNOWIFY REVIEW'!$AH$4:$AH$400,'KNOWIFY REVIEW'!$AB$4:$AB$400,$B76,'KNOWIFY REVIEW'!$AC$4:$AC$400,IF(OR($C76=INPUTS!$B$69,$C76=INPUTS!$B$70),INPUTS!$B$71,$C76),'KNOWIFY REVIEW'!$AD$4:$AD$400,1)/SUMIFS('KNOWIFY REVIEW'!$AG$4:$AG$400,'KNOWIFY REVIEW'!$AB$4:$AB$400,$B76,'KNOWIFY REVIEW'!$AC$4:$AC$400,IF(OR($C76=INPUTS!$B$69,$C76=INPUTS!$B$70),INPUTS!$B$71,$C76),'KNOWIFY REVIEW'!$AD$4:$AD$400,1),""))</f>
        <v/>
      </c>
      <c r="S76" s="24" t="str">
        <f aca="false">IF(MAX(N($Q76),N($R76))&gt;1.1,"Past job ran over budget","")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38"/>
      <c r="F77" s="10"/>
      <c r="G77" s="39"/>
      <c r="H77" s="40"/>
      <c r="I77" s="39"/>
      <c r="J77" s="38"/>
      <c r="K77" s="10" t="s">
        <v>237</v>
      </c>
      <c r="L77" s="28" t="n">
        <f aca="false">($E77*$G77+$I77)*(1+IF($K77="N",0,INPUTS!$C$23))</f>
        <v>0</v>
      </c>
      <c r="M77" s="41" t="n">
        <f aca="false">$E77*$H77+$J77</f>
        <v>0</v>
      </c>
      <c r="N77" s="28" t="n">
        <f aca="false">$M77*IF(OR($B77="V",$B77="AC"),'LABOUR RATES'!$E$26,'LABOUR RATES'!$E$11)</f>
        <v>0</v>
      </c>
      <c r="O77" s="28" t="n">
        <f aca="false">$M77*IF(OR($B77="V",$B77="AC"),'LABOUR RATES'!$C$27,'LABOUR RATES'!$C$12)</f>
        <v>0</v>
      </c>
      <c r="P77" s="42" t="n">
        <f aca="false">$L77+$N77+$O77</f>
        <v>0</v>
      </c>
      <c r="Q77" s="43" t="str">
        <f aca="false">IF(OR($B77="",$C77=""),"",IFERROR(SUMIFS('KNOWIFY REVIEW'!$AF$4:$AF$400,'KNOWIFY REVIEW'!$AB$4:$AB$400,$B77,'KNOWIFY REVIEW'!$AC$4:$AC$400,$C77,'KNOWIFY REVIEW'!$AD$4:$AD$400,1)/SUMIFS('KNOWIFY REVIEW'!$AE$4:$AE$400,'KNOWIFY REVIEW'!$AB$4:$AB$400,$B77,'KNOWIFY REVIEW'!$AC$4:$AC$400,$C77,'KNOWIFY REVIEW'!$AD$4:$AD$400,1),""))</f>
        <v/>
      </c>
      <c r="R77" s="43" t="str">
        <f aca="false">IF(OR($B77="",$C77=""),"",IFERROR(SUMIFS('KNOWIFY REVIEW'!$AH$4:$AH$400,'KNOWIFY REVIEW'!$AB$4:$AB$400,$B77,'KNOWIFY REVIEW'!$AC$4:$AC$400,IF(OR($C77=INPUTS!$B$69,$C77=INPUTS!$B$70),INPUTS!$B$71,$C77),'KNOWIFY REVIEW'!$AD$4:$AD$400,1)/SUMIFS('KNOWIFY REVIEW'!$AG$4:$AG$400,'KNOWIFY REVIEW'!$AB$4:$AB$400,$B77,'KNOWIFY REVIEW'!$AC$4:$AC$400,IF(OR($C77=INPUTS!$B$69,$C77=INPUTS!$B$70),INPUTS!$B$71,$C77),'KNOWIFY REVIEW'!$AD$4:$AD$400,1),""))</f>
        <v/>
      </c>
      <c r="S77" s="24" t="str">
        <f aca="false">IF(MAX(N($Q77),N($R77))&gt;1.1,"Past job ran over budget","")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38"/>
      <c r="F78" s="10"/>
      <c r="G78" s="39"/>
      <c r="H78" s="40"/>
      <c r="I78" s="39"/>
      <c r="J78" s="38"/>
      <c r="K78" s="10" t="s">
        <v>237</v>
      </c>
      <c r="L78" s="28" t="n">
        <f aca="false">($E78*$G78+$I78)*(1+IF($K78="N",0,INPUTS!$C$23))</f>
        <v>0</v>
      </c>
      <c r="M78" s="41" t="n">
        <f aca="false">$E78*$H78+$J78</f>
        <v>0</v>
      </c>
      <c r="N78" s="28" t="n">
        <f aca="false">$M78*IF(OR($B78="V",$B78="AC"),'LABOUR RATES'!$E$26,'LABOUR RATES'!$E$11)</f>
        <v>0</v>
      </c>
      <c r="O78" s="28" t="n">
        <f aca="false">$M78*IF(OR($B78="V",$B78="AC"),'LABOUR RATES'!$C$27,'LABOUR RATES'!$C$12)</f>
        <v>0</v>
      </c>
      <c r="P78" s="42" t="n">
        <f aca="false">$L78+$N78+$O78</f>
        <v>0</v>
      </c>
      <c r="Q78" s="43" t="str">
        <f aca="false">IF(OR($B78="",$C78=""),"",IFERROR(SUMIFS('KNOWIFY REVIEW'!$AF$4:$AF$400,'KNOWIFY REVIEW'!$AB$4:$AB$400,$B78,'KNOWIFY REVIEW'!$AC$4:$AC$400,$C78,'KNOWIFY REVIEW'!$AD$4:$AD$400,1)/SUMIFS('KNOWIFY REVIEW'!$AE$4:$AE$400,'KNOWIFY REVIEW'!$AB$4:$AB$400,$B78,'KNOWIFY REVIEW'!$AC$4:$AC$400,$C78,'KNOWIFY REVIEW'!$AD$4:$AD$400,1),""))</f>
        <v/>
      </c>
      <c r="R78" s="43" t="str">
        <f aca="false">IF(OR($B78="",$C78=""),"",IFERROR(SUMIFS('KNOWIFY REVIEW'!$AH$4:$AH$400,'KNOWIFY REVIEW'!$AB$4:$AB$400,$B78,'KNOWIFY REVIEW'!$AC$4:$AC$400,IF(OR($C78=INPUTS!$B$69,$C78=INPUTS!$B$70),INPUTS!$B$71,$C78),'KNOWIFY REVIEW'!$AD$4:$AD$400,1)/SUMIFS('KNOWIFY REVIEW'!$AG$4:$AG$400,'KNOWIFY REVIEW'!$AB$4:$AB$400,$B78,'KNOWIFY REVIEW'!$AC$4:$AC$400,IF(OR($C78=INPUTS!$B$69,$C78=INPUTS!$B$70),INPUTS!$B$71,$C78),'KNOWIFY REVIEW'!$AD$4:$AD$400,1),""))</f>
        <v/>
      </c>
      <c r="S78" s="24" t="str">
        <f aca="false">IF(MAX(N($Q78),N($R78))&gt;1.1,"Past job ran over budget","")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38"/>
      <c r="F79" s="10"/>
      <c r="G79" s="39"/>
      <c r="H79" s="40"/>
      <c r="I79" s="39"/>
      <c r="J79" s="38"/>
      <c r="K79" s="10" t="s">
        <v>237</v>
      </c>
      <c r="L79" s="28" t="n">
        <f aca="false">($E79*$G79+$I79)*(1+IF($K79="N",0,INPUTS!$C$23))</f>
        <v>0</v>
      </c>
      <c r="M79" s="41" t="n">
        <f aca="false">$E79*$H79+$J79</f>
        <v>0</v>
      </c>
      <c r="N79" s="28" t="n">
        <f aca="false">$M79*IF(OR($B79="V",$B79="AC"),'LABOUR RATES'!$E$26,'LABOUR RATES'!$E$11)</f>
        <v>0</v>
      </c>
      <c r="O79" s="28" t="n">
        <f aca="false">$M79*IF(OR($B79="V",$B79="AC"),'LABOUR RATES'!$C$27,'LABOUR RATES'!$C$12)</f>
        <v>0</v>
      </c>
      <c r="P79" s="42" t="n">
        <f aca="false">$L79+$N79+$O79</f>
        <v>0</v>
      </c>
      <c r="Q79" s="43" t="str">
        <f aca="false">IF(OR($B79="",$C79=""),"",IFERROR(SUMIFS('KNOWIFY REVIEW'!$AF$4:$AF$400,'KNOWIFY REVIEW'!$AB$4:$AB$400,$B79,'KNOWIFY REVIEW'!$AC$4:$AC$400,$C79,'KNOWIFY REVIEW'!$AD$4:$AD$400,1)/SUMIFS('KNOWIFY REVIEW'!$AE$4:$AE$400,'KNOWIFY REVIEW'!$AB$4:$AB$400,$B79,'KNOWIFY REVIEW'!$AC$4:$AC$400,$C79,'KNOWIFY REVIEW'!$AD$4:$AD$400,1),""))</f>
        <v/>
      </c>
      <c r="R79" s="43" t="str">
        <f aca="false">IF(OR($B79="",$C79=""),"",IFERROR(SUMIFS('KNOWIFY REVIEW'!$AH$4:$AH$400,'KNOWIFY REVIEW'!$AB$4:$AB$400,$B79,'KNOWIFY REVIEW'!$AC$4:$AC$400,IF(OR($C79=INPUTS!$B$69,$C79=INPUTS!$B$70),INPUTS!$B$71,$C79),'KNOWIFY REVIEW'!$AD$4:$AD$400,1)/SUMIFS('KNOWIFY REVIEW'!$AG$4:$AG$400,'KNOWIFY REVIEW'!$AB$4:$AB$400,$B79,'KNOWIFY REVIEW'!$AC$4:$AC$400,IF(OR($C79=INPUTS!$B$69,$C79=INPUTS!$B$70),INPUTS!$B$71,$C79),'KNOWIFY REVIEW'!$AD$4:$AD$400,1),""))</f>
        <v/>
      </c>
      <c r="S79" s="24" t="str">
        <f aca="false">IF(MAX(N($Q79),N($R79))&gt;1.1,"Past job ran over budget","")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38"/>
      <c r="F80" s="10"/>
      <c r="G80" s="39"/>
      <c r="H80" s="40"/>
      <c r="I80" s="39"/>
      <c r="J80" s="38"/>
      <c r="K80" s="10" t="s">
        <v>237</v>
      </c>
      <c r="L80" s="28" t="n">
        <f aca="false">($E80*$G80+$I80)*(1+IF($K80="N",0,INPUTS!$C$23))</f>
        <v>0</v>
      </c>
      <c r="M80" s="41" t="n">
        <f aca="false">$E80*$H80+$J80</f>
        <v>0</v>
      </c>
      <c r="N80" s="28" t="n">
        <f aca="false">$M80*IF(OR($B80="V",$B80="AC"),'LABOUR RATES'!$E$26,'LABOUR RATES'!$E$11)</f>
        <v>0</v>
      </c>
      <c r="O80" s="28" t="n">
        <f aca="false">$M80*IF(OR($B80="V",$B80="AC"),'LABOUR RATES'!$C$27,'LABOUR RATES'!$C$12)</f>
        <v>0</v>
      </c>
      <c r="P80" s="42" t="n">
        <f aca="false">$L80+$N80+$O80</f>
        <v>0</v>
      </c>
      <c r="Q80" s="43" t="str">
        <f aca="false">IF(OR($B80="",$C80=""),"",IFERROR(SUMIFS('KNOWIFY REVIEW'!$AF$4:$AF$400,'KNOWIFY REVIEW'!$AB$4:$AB$400,$B80,'KNOWIFY REVIEW'!$AC$4:$AC$400,$C80,'KNOWIFY REVIEW'!$AD$4:$AD$400,1)/SUMIFS('KNOWIFY REVIEW'!$AE$4:$AE$400,'KNOWIFY REVIEW'!$AB$4:$AB$400,$B80,'KNOWIFY REVIEW'!$AC$4:$AC$400,$C80,'KNOWIFY REVIEW'!$AD$4:$AD$400,1),""))</f>
        <v/>
      </c>
      <c r="R80" s="43" t="str">
        <f aca="false">IF(OR($B80="",$C80=""),"",IFERROR(SUMIFS('KNOWIFY REVIEW'!$AH$4:$AH$400,'KNOWIFY REVIEW'!$AB$4:$AB$400,$B80,'KNOWIFY REVIEW'!$AC$4:$AC$400,IF(OR($C80=INPUTS!$B$69,$C80=INPUTS!$B$70),INPUTS!$B$71,$C80),'KNOWIFY REVIEW'!$AD$4:$AD$400,1)/SUMIFS('KNOWIFY REVIEW'!$AG$4:$AG$400,'KNOWIFY REVIEW'!$AB$4:$AB$400,$B80,'KNOWIFY REVIEW'!$AC$4:$AC$400,IF(OR($C80=INPUTS!$B$69,$C80=INPUTS!$B$70),INPUTS!$B$71,$C80),'KNOWIFY REVIEW'!$AD$4:$AD$400,1),""))</f>
        <v/>
      </c>
      <c r="S80" s="24" t="str">
        <f aca="false">IF(MAX(N($Q80),N($R80))&gt;1.1,"Past job ran over budget","")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38"/>
      <c r="F81" s="10"/>
      <c r="G81" s="39"/>
      <c r="H81" s="40"/>
      <c r="I81" s="39"/>
      <c r="J81" s="38"/>
      <c r="K81" s="10" t="s">
        <v>237</v>
      </c>
      <c r="L81" s="28" t="n">
        <f aca="false">($E81*$G81+$I81)*(1+IF($K81="N",0,INPUTS!$C$23))</f>
        <v>0</v>
      </c>
      <c r="M81" s="41" t="n">
        <f aca="false">$E81*$H81+$J81</f>
        <v>0</v>
      </c>
      <c r="N81" s="28" t="n">
        <f aca="false">$M81*IF(OR($B81="V",$B81="AC"),'LABOUR RATES'!$E$26,'LABOUR RATES'!$E$11)</f>
        <v>0</v>
      </c>
      <c r="O81" s="28" t="n">
        <f aca="false">$M81*IF(OR($B81="V",$B81="AC"),'LABOUR RATES'!$C$27,'LABOUR RATES'!$C$12)</f>
        <v>0</v>
      </c>
      <c r="P81" s="42" t="n">
        <f aca="false">$L81+$N81+$O81</f>
        <v>0</v>
      </c>
      <c r="Q81" s="43" t="str">
        <f aca="false">IF(OR($B81="",$C81=""),"",IFERROR(SUMIFS('KNOWIFY REVIEW'!$AF$4:$AF$400,'KNOWIFY REVIEW'!$AB$4:$AB$400,$B81,'KNOWIFY REVIEW'!$AC$4:$AC$400,$C81,'KNOWIFY REVIEW'!$AD$4:$AD$400,1)/SUMIFS('KNOWIFY REVIEW'!$AE$4:$AE$400,'KNOWIFY REVIEW'!$AB$4:$AB$400,$B81,'KNOWIFY REVIEW'!$AC$4:$AC$400,$C81,'KNOWIFY REVIEW'!$AD$4:$AD$400,1),""))</f>
        <v/>
      </c>
      <c r="R81" s="43" t="str">
        <f aca="false">IF(OR($B81="",$C81=""),"",IFERROR(SUMIFS('KNOWIFY REVIEW'!$AH$4:$AH$400,'KNOWIFY REVIEW'!$AB$4:$AB$400,$B81,'KNOWIFY REVIEW'!$AC$4:$AC$400,IF(OR($C81=INPUTS!$B$69,$C81=INPUTS!$B$70),INPUTS!$B$71,$C81),'KNOWIFY REVIEW'!$AD$4:$AD$400,1)/SUMIFS('KNOWIFY REVIEW'!$AG$4:$AG$400,'KNOWIFY REVIEW'!$AB$4:$AB$400,$B81,'KNOWIFY REVIEW'!$AC$4:$AC$400,IF(OR($C81=INPUTS!$B$69,$C81=INPUTS!$B$70),INPUTS!$B$71,$C81),'KNOWIFY REVIEW'!$AD$4:$AD$400,1),""))</f>
        <v/>
      </c>
      <c r="S81" s="24" t="str">
        <f aca="false">IF(MAX(N($Q81),N($R81))&gt;1.1,"Past job ran over budget","")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38"/>
      <c r="F82" s="10"/>
      <c r="G82" s="39"/>
      <c r="H82" s="40"/>
      <c r="I82" s="39"/>
      <c r="J82" s="38"/>
      <c r="K82" s="10" t="s">
        <v>237</v>
      </c>
      <c r="L82" s="28" t="n">
        <f aca="false">($E82*$G82+$I82)*(1+IF($K82="N",0,INPUTS!$C$23))</f>
        <v>0</v>
      </c>
      <c r="M82" s="41" t="n">
        <f aca="false">$E82*$H82+$J82</f>
        <v>0</v>
      </c>
      <c r="N82" s="28" t="n">
        <f aca="false">$M82*IF(OR($B82="V",$B82="AC"),'LABOUR RATES'!$E$26,'LABOUR RATES'!$E$11)</f>
        <v>0</v>
      </c>
      <c r="O82" s="28" t="n">
        <f aca="false">$M82*IF(OR($B82="V",$B82="AC"),'LABOUR RATES'!$C$27,'LABOUR RATES'!$C$12)</f>
        <v>0</v>
      </c>
      <c r="P82" s="42" t="n">
        <f aca="false">$L82+$N82+$O82</f>
        <v>0</v>
      </c>
      <c r="Q82" s="43" t="str">
        <f aca="false">IF(OR($B82="",$C82=""),"",IFERROR(SUMIFS('KNOWIFY REVIEW'!$AF$4:$AF$400,'KNOWIFY REVIEW'!$AB$4:$AB$400,$B82,'KNOWIFY REVIEW'!$AC$4:$AC$400,$C82,'KNOWIFY REVIEW'!$AD$4:$AD$400,1)/SUMIFS('KNOWIFY REVIEW'!$AE$4:$AE$400,'KNOWIFY REVIEW'!$AB$4:$AB$400,$B82,'KNOWIFY REVIEW'!$AC$4:$AC$400,$C82,'KNOWIFY REVIEW'!$AD$4:$AD$400,1),""))</f>
        <v/>
      </c>
      <c r="R82" s="43" t="str">
        <f aca="false">IF(OR($B82="",$C82=""),"",IFERROR(SUMIFS('KNOWIFY REVIEW'!$AH$4:$AH$400,'KNOWIFY REVIEW'!$AB$4:$AB$400,$B82,'KNOWIFY REVIEW'!$AC$4:$AC$400,IF(OR($C82=INPUTS!$B$69,$C82=INPUTS!$B$70),INPUTS!$B$71,$C82),'KNOWIFY REVIEW'!$AD$4:$AD$400,1)/SUMIFS('KNOWIFY REVIEW'!$AG$4:$AG$400,'KNOWIFY REVIEW'!$AB$4:$AB$400,$B82,'KNOWIFY REVIEW'!$AC$4:$AC$400,IF(OR($C82=INPUTS!$B$69,$C82=INPUTS!$B$70),INPUTS!$B$71,$C82),'KNOWIFY REVIEW'!$AD$4:$AD$400,1),""))</f>
        <v/>
      </c>
      <c r="S82" s="24" t="str">
        <f aca="false">IF(MAX(N($Q82),N($R82))&gt;1.1,"Past job ran over budget","")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38"/>
      <c r="F83" s="10"/>
      <c r="G83" s="39"/>
      <c r="H83" s="40"/>
      <c r="I83" s="39"/>
      <c r="J83" s="38"/>
      <c r="K83" s="10" t="s">
        <v>237</v>
      </c>
      <c r="L83" s="28" t="n">
        <f aca="false">($E83*$G83+$I83)*(1+IF($K83="N",0,INPUTS!$C$23))</f>
        <v>0</v>
      </c>
      <c r="M83" s="41" t="n">
        <f aca="false">$E83*$H83+$J83</f>
        <v>0</v>
      </c>
      <c r="N83" s="28" t="n">
        <f aca="false">$M83*IF(OR($B83="V",$B83="AC"),'LABOUR RATES'!$E$26,'LABOUR RATES'!$E$11)</f>
        <v>0</v>
      </c>
      <c r="O83" s="28" t="n">
        <f aca="false">$M83*IF(OR($B83="V",$B83="AC"),'LABOUR RATES'!$C$27,'LABOUR RATES'!$C$12)</f>
        <v>0</v>
      </c>
      <c r="P83" s="42" t="n">
        <f aca="false">$L83+$N83+$O83</f>
        <v>0</v>
      </c>
      <c r="Q83" s="43" t="str">
        <f aca="false">IF(OR($B83="",$C83=""),"",IFERROR(SUMIFS('KNOWIFY REVIEW'!$AF$4:$AF$400,'KNOWIFY REVIEW'!$AB$4:$AB$400,$B83,'KNOWIFY REVIEW'!$AC$4:$AC$400,$C83,'KNOWIFY REVIEW'!$AD$4:$AD$400,1)/SUMIFS('KNOWIFY REVIEW'!$AE$4:$AE$400,'KNOWIFY REVIEW'!$AB$4:$AB$400,$B83,'KNOWIFY REVIEW'!$AC$4:$AC$400,$C83,'KNOWIFY REVIEW'!$AD$4:$AD$400,1),""))</f>
        <v/>
      </c>
      <c r="R83" s="43" t="str">
        <f aca="false">IF(OR($B83="",$C83=""),"",IFERROR(SUMIFS('KNOWIFY REVIEW'!$AH$4:$AH$400,'KNOWIFY REVIEW'!$AB$4:$AB$400,$B83,'KNOWIFY REVIEW'!$AC$4:$AC$400,IF(OR($C83=INPUTS!$B$69,$C83=INPUTS!$B$70),INPUTS!$B$71,$C83),'KNOWIFY REVIEW'!$AD$4:$AD$400,1)/SUMIFS('KNOWIFY REVIEW'!$AG$4:$AG$400,'KNOWIFY REVIEW'!$AB$4:$AB$400,$B83,'KNOWIFY REVIEW'!$AC$4:$AC$400,IF(OR($C83=INPUTS!$B$69,$C83=INPUTS!$B$70),INPUTS!$B$71,$C83),'KNOWIFY REVIEW'!$AD$4:$AD$400,1),""))</f>
        <v/>
      </c>
      <c r="S83" s="24" t="str">
        <f aca="false">IF(MAX(N($Q83),N($R83))&gt;1.1,"Past job ran over budget","")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38"/>
      <c r="F84" s="10"/>
      <c r="G84" s="39"/>
      <c r="H84" s="40"/>
      <c r="I84" s="39"/>
      <c r="J84" s="38"/>
      <c r="K84" s="10" t="s">
        <v>237</v>
      </c>
      <c r="L84" s="28" t="n">
        <f aca="false">($E84*$G84+$I84)*(1+IF($K84="N",0,INPUTS!$C$23))</f>
        <v>0</v>
      </c>
      <c r="M84" s="41" t="n">
        <f aca="false">$E84*$H84+$J84</f>
        <v>0</v>
      </c>
      <c r="N84" s="28" t="n">
        <f aca="false">$M84*IF(OR($B84="V",$B84="AC"),'LABOUR RATES'!$E$26,'LABOUR RATES'!$E$11)</f>
        <v>0</v>
      </c>
      <c r="O84" s="28" t="n">
        <f aca="false">$M84*IF(OR($B84="V",$B84="AC"),'LABOUR RATES'!$C$27,'LABOUR RATES'!$C$12)</f>
        <v>0</v>
      </c>
      <c r="P84" s="42" t="n">
        <f aca="false">$L84+$N84+$O84</f>
        <v>0</v>
      </c>
      <c r="Q84" s="43" t="str">
        <f aca="false">IF(OR($B84="",$C84=""),"",IFERROR(SUMIFS('KNOWIFY REVIEW'!$AF$4:$AF$400,'KNOWIFY REVIEW'!$AB$4:$AB$400,$B84,'KNOWIFY REVIEW'!$AC$4:$AC$400,$C84,'KNOWIFY REVIEW'!$AD$4:$AD$400,1)/SUMIFS('KNOWIFY REVIEW'!$AE$4:$AE$400,'KNOWIFY REVIEW'!$AB$4:$AB$400,$B84,'KNOWIFY REVIEW'!$AC$4:$AC$400,$C84,'KNOWIFY REVIEW'!$AD$4:$AD$400,1),""))</f>
        <v/>
      </c>
      <c r="R84" s="43" t="str">
        <f aca="false">IF(OR($B84="",$C84=""),"",IFERROR(SUMIFS('KNOWIFY REVIEW'!$AH$4:$AH$400,'KNOWIFY REVIEW'!$AB$4:$AB$400,$B84,'KNOWIFY REVIEW'!$AC$4:$AC$400,IF(OR($C84=INPUTS!$B$69,$C84=INPUTS!$B$70),INPUTS!$B$71,$C84),'KNOWIFY REVIEW'!$AD$4:$AD$400,1)/SUMIFS('KNOWIFY REVIEW'!$AG$4:$AG$400,'KNOWIFY REVIEW'!$AB$4:$AB$400,$B84,'KNOWIFY REVIEW'!$AC$4:$AC$400,IF(OR($C84=INPUTS!$B$69,$C84=INPUTS!$B$70),INPUTS!$B$71,$C84),'KNOWIFY REVIEW'!$AD$4:$AD$400,1),""))</f>
        <v/>
      </c>
      <c r="S84" s="24" t="str">
        <f aca="false">IF(MAX(N($Q84),N($R84))&gt;1.1,"Past job ran over budget","")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38"/>
      <c r="F85" s="10"/>
      <c r="G85" s="39"/>
      <c r="H85" s="40"/>
      <c r="I85" s="39"/>
      <c r="J85" s="38"/>
      <c r="K85" s="10" t="s">
        <v>237</v>
      </c>
      <c r="L85" s="28" t="n">
        <f aca="false">($E85*$G85+$I85)*(1+IF($K85="N",0,INPUTS!$C$23))</f>
        <v>0</v>
      </c>
      <c r="M85" s="41" t="n">
        <f aca="false">$E85*$H85+$J85</f>
        <v>0</v>
      </c>
      <c r="N85" s="28" t="n">
        <f aca="false">$M85*IF(OR($B85="V",$B85="AC"),'LABOUR RATES'!$E$26,'LABOUR RATES'!$E$11)</f>
        <v>0</v>
      </c>
      <c r="O85" s="28" t="n">
        <f aca="false">$M85*IF(OR($B85="V",$B85="AC"),'LABOUR RATES'!$C$27,'LABOUR RATES'!$C$12)</f>
        <v>0</v>
      </c>
      <c r="P85" s="42" t="n">
        <f aca="false">$L85+$N85+$O85</f>
        <v>0</v>
      </c>
      <c r="Q85" s="43" t="str">
        <f aca="false">IF(OR($B85="",$C85=""),"",IFERROR(SUMIFS('KNOWIFY REVIEW'!$AF$4:$AF$400,'KNOWIFY REVIEW'!$AB$4:$AB$400,$B85,'KNOWIFY REVIEW'!$AC$4:$AC$400,$C85,'KNOWIFY REVIEW'!$AD$4:$AD$400,1)/SUMIFS('KNOWIFY REVIEW'!$AE$4:$AE$400,'KNOWIFY REVIEW'!$AB$4:$AB$400,$B85,'KNOWIFY REVIEW'!$AC$4:$AC$400,$C85,'KNOWIFY REVIEW'!$AD$4:$AD$400,1),""))</f>
        <v/>
      </c>
      <c r="R85" s="43" t="str">
        <f aca="false">IF(OR($B85="",$C85=""),"",IFERROR(SUMIFS('KNOWIFY REVIEW'!$AH$4:$AH$400,'KNOWIFY REVIEW'!$AB$4:$AB$400,$B85,'KNOWIFY REVIEW'!$AC$4:$AC$400,IF(OR($C85=INPUTS!$B$69,$C85=INPUTS!$B$70),INPUTS!$B$71,$C85),'KNOWIFY REVIEW'!$AD$4:$AD$400,1)/SUMIFS('KNOWIFY REVIEW'!$AG$4:$AG$400,'KNOWIFY REVIEW'!$AB$4:$AB$400,$B85,'KNOWIFY REVIEW'!$AC$4:$AC$400,IF(OR($C85=INPUTS!$B$69,$C85=INPUTS!$B$70),INPUTS!$B$71,$C85),'KNOWIFY REVIEW'!$AD$4:$AD$400,1),""))</f>
        <v/>
      </c>
      <c r="S85" s="24" t="str">
        <f aca="false">IF(MAX(N($Q85),N($R85))&gt;1.1,"Past job ran over budget","")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38"/>
      <c r="F86" s="10"/>
      <c r="G86" s="39"/>
      <c r="H86" s="40"/>
      <c r="I86" s="39"/>
      <c r="J86" s="38"/>
      <c r="K86" s="10" t="s">
        <v>237</v>
      </c>
      <c r="L86" s="28" t="n">
        <f aca="false">($E86*$G86+$I86)*(1+IF($K86="N",0,INPUTS!$C$23))</f>
        <v>0</v>
      </c>
      <c r="M86" s="41" t="n">
        <f aca="false">$E86*$H86+$J86</f>
        <v>0</v>
      </c>
      <c r="N86" s="28" t="n">
        <f aca="false">$M86*IF(OR($B86="V",$B86="AC"),'LABOUR RATES'!$E$26,'LABOUR RATES'!$E$11)</f>
        <v>0</v>
      </c>
      <c r="O86" s="28" t="n">
        <f aca="false">$M86*IF(OR($B86="V",$B86="AC"),'LABOUR RATES'!$C$27,'LABOUR RATES'!$C$12)</f>
        <v>0</v>
      </c>
      <c r="P86" s="42" t="n">
        <f aca="false">$L86+$N86+$O86</f>
        <v>0</v>
      </c>
      <c r="Q86" s="43" t="str">
        <f aca="false">IF(OR($B86="",$C86=""),"",IFERROR(SUMIFS('KNOWIFY REVIEW'!$AF$4:$AF$400,'KNOWIFY REVIEW'!$AB$4:$AB$400,$B86,'KNOWIFY REVIEW'!$AC$4:$AC$400,$C86,'KNOWIFY REVIEW'!$AD$4:$AD$400,1)/SUMIFS('KNOWIFY REVIEW'!$AE$4:$AE$400,'KNOWIFY REVIEW'!$AB$4:$AB$400,$B86,'KNOWIFY REVIEW'!$AC$4:$AC$400,$C86,'KNOWIFY REVIEW'!$AD$4:$AD$400,1),""))</f>
        <v/>
      </c>
      <c r="R86" s="43" t="str">
        <f aca="false">IF(OR($B86="",$C86=""),"",IFERROR(SUMIFS('KNOWIFY REVIEW'!$AH$4:$AH$400,'KNOWIFY REVIEW'!$AB$4:$AB$400,$B86,'KNOWIFY REVIEW'!$AC$4:$AC$400,IF(OR($C86=INPUTS!$B$69,$C86=INPUTS!$B$70),INPUTS!$B$71,$C86),'KNOWIFY REVIEW'!$AD$4:$AD$400,1)/SUMIFS('KNOWIFY REVIEW'!$AG$4:$AG$400,'KNOWIFY REVIEW'!$AB$4:$AB$400,$B86,'KNOWIFY REVIEW'!$AC$4:$AC$400,IF(OR($C86=INPUTS!$B$69,$C86=INPUTS!$B$70),INPUTS!$B$71,$C86),'KNOWIFY REVIEW'!$AD$4:$AD$400,1),""))</f>
        <v/>
      </c>
      <c r="S86" s="24" t="str">
        <f aca="false">IF(MAX(N($Q86),N($R86))&gt;1.1,"Past job ran over budget","")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38"/>
      <c r="F87" s="10"/>
      <c r="G87" s="39"/>
      <c r="H87" s="40"/>
      <c r="I87" s="39"/>
      <c r="J87" s="38"/>
      <c r="K87" s="10" t="s">
        <v>237</v>
      </c>
      <c r="L87" s="28" t="n">
        <f aca="false">($E87*$G87+$I87)*(1+IF($K87="N",0,INPUTS!$C$23))</f>
        <v>0</v>
      </c>
      <c r="M87" s="41" t="n">
        <f aca="false">$E87*$H87+$J87</f>
        <v>0</v>
      </c>
      <c r="N87" s="28" t="n">
        <f aca="false">$M87*IF(OR($B87="V",$B87="AC"),'LABOUR RATES'!$E$26,'LABOUR RATES'!$E$11)</f>
        <v>0</v>
      </c>
      <c r="O87" s="28" t="n">
        <f aca="false">$M87*IF(OR($B87="V",$B87="AC"),'LABOUR RATES'!$C$27,'LABOUR RATES'!$C$12)</f>
        <v>0</v>
      </c>
      <c r="P87" s="42" t="n">
        <f aca="false">$L87+$N87+$O87</f>
        <v>0</v>
      </c>
      <c r="Q87" s="43" t="str">
        <f aca="false">IF(OR($B87="",$C87=""),"",IFERROR(SUMIFS('KNOWIFY REVIEW'!$AF$4:$AF$400,'KNOWIFY REVIEW'!$AB$4:$AB$400,$B87,'KNOWIFY REVIEW'!$AC$4:$AC$400,$C87,'KNOWIFY REVIEW'!$AD$4:$AD$400,1)/SUMIFS('KNOWIFY REVIEW'!$AE$4:$AE$400,'KNOWIFY REVIEW'!$AB$4:$AB$400,$B87,'KNOWIFY REVIEW'!$AC$4:$AC$400,$C87,'KNOWIFY REVIEW'!$AD$4:$AD$400,1),""))</f>
        <v/>
      </c>
      <c r="R87" s="43" t="str">
        <f aca="false">IF(OR($B87="",$C87=""),"",IFERROR(SUMIFS('KNOWIFY REVIEW'!$AH$4:$AH$400,'KNOWIFY REVIEW'!$AB$4:$AB$400,$B87,'KNOWIFY REVIEW'!$AC$4:$AC$400,IF(OR($C87=INPUTS!$B$69,$C87=INPUTS!$B$70),INPUTS!$B$71,$C87),'KNOWIFY REVIEW'!$AD$4:$AD$400,1)/SUMIFS('KNOWIFY REVIEW'!$AG$4:$AG$400,'KNOWIFY REVIEW'!$AB$4:$AB$400,$B87,'KNOWIFY REVIEW'!$AC$4:$AC$400,IF(OR($C87=INPUTS!$B$69,$C87=INPUTS!$B$70),INPUTS!$B$71,$C87),'KNOWIFY REVIEW'!$AD$4:$AD$400,1),""))</f>
        <v/>
      </c>
      <c r="S87" s="24" t="str">
        <f aca="false">IF(MAX(N($Q87),N($R87))&gt;1.1,"Past job ran over budget","")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38"/>
      <c r="F88" s="10"/>
      <c r="G88" s="39"/>
      <c r="H88" s="40"/>
      <c r="I88" s="39"/>
      <c r="J88" s="38"/>
      <c r="K88" s="10" t="s">
        <v>237</v>
      </c>
      <c r="L88" s="28" t="n">
        <f aca="false">($E88*$G88+$I88)*(1+IF($K88="N",0,INPUTS!$C$23))</f>
        <v>0</v>
      </c>
      <c r="M88" s="41" t="n">
        <f aca="false">$E88*$H88+$J88</f>
        <v>0</v>
      </c>
      <c r="N88" s="28" t="n">
        <f aca="false">$M88*IF(OR($B88="V",$B88="AC"),'LABOUR RATES'!$E$26,'LABOUR RATES'!$E$11)</f>
        <v>0</v>
      </c>
      <c r="O88" s="28" t="n">
        <f aca="false">$M88*IF(OR($B88="V",$B88="AC"),'LABOUR RATES'!$C$27,'LABOUR RATES'!$C$12)</f>
        <v>0</v>
      </c>
      <c r="P88" s="42" t="n">
        <f aca="false">$L88+$N88+$O88</f>
        <v>0</v>
      </c>
      <c r="Q88" s="43" t="str">
        <f aca="false">IF(OR($B88="",$C88=""),"",IFERROR(SUMIFS('KNOWIFY REVIEW'!$AF$4:$AF$400,'KNOWIFY REVIEW'!$AB$4:$AB$400,$B88,'KNOWIFY REVIEW'!$AC$4:$AC$400,$C88,'KNOWIFY REVIEW'!$AD$4:$AD$400,1)/SUMIFS('KNOWIFY REVIEW'!$AE$4:$AE$400,'KNOWIFY REVIEW'!$AB$4:$AB$400,$B88,'KNOWIFY REVIEW'!$AC$4:$AC$400,$C88,'KNOWIFY REVIEW'!$AD$4:$AD$400,1),""))</f>
        <v/>
      </c>
      <c r="R88" s="43" t="str">
        <f aca="false">IF(OR($B88="",$C88=""),"",IFERROR(SUMIFS('KNOWIFY REVIEW'!$AH$4:$AH$400,'KNOWIFY REVIEW'!$AB$4:$AB$400,$B88,'KNOWIFY REVIEW'!$AC$4:$AC$400,IF(OR($C88=INPUTS!$B$69,$C88=INPUTS!$B$70),INPUTS!$B$71,$C88),'KNOWIFY REVIEW'!$AD$4:$AD$400,1)/SUMIFS('KNOWIFY REVIEW'!$AG$4:$AG$400,'KNOWIFY REVIEW'!$AB$4:$AB$400,$B88,'KNOWIFY REVIEW'!$AC$4:$AC$400,IF(OR($C88=INPUTS!$B$69,$C88=INPUTS!$B$70),INPUTS!$B$71,$C88),'KNOWIFY REVIEW'!$AD$4:$AD$400,1),""))</f>
        <v/>
      </c>
      <c r="S88" s="24" t="str">
        <f aca="false">IF(MAX(N($Q88),N($R88))&gt;1.1,"Past job ran over budget","")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38"/>
      <c r="F89" s="10"/>
      <c r="G89" s="39"/>
      <c r="H89" s="40"/>
      <c r="I89" s="39"/>
      <c r="J89" s="38"/>
      <c r="K89" s="10" t="s">
        <v>237</v>
      </c>
      <c r="L89" s="28" t="n">
        <f aca="false">($E89*$G89+$I89)*(1+IF($K89="N",0,INPUTS!$C$23))</f>
        <v>0</v>
      </c>
      <c r="M89" s="41" t="n">
        <f aca="false">$E89*$H89+$J89</f>
        <v>0</v>
      </c>
      <c r="N89" s="28" t="n">
        <f aca="false">$M89*IF(OR($B89="V",$B89="AC"),'LABOUR RATES'!$E$26,'LABOUR RATES'!$E$11)</f>
        <v>0</v>
      </c>
      <c r="O89" s="28" t="n">
        <f aca="false">$M89*IF(OR($B89="V",$B89="AC"),'LABOUR RATES'!$C$27,'LABOUR RATES'!$C$12)</f>
        <v>0</v>
      </c>
      <c r="P89" s="42" t="n">
        <f aca="false">$L89+$N89+$O89</f>
        <v>0</v>
      </c>
      <c r="Q89" s="43" t="str">
        <f aca="false">IF(OR($B89="",$C89=""),"",IFERROR(SUMIFS('KNOWIFY REVIEW'!$AF$4:$AF$400,'KNOWIFY REVIEW'!$AB$4:$AB$400,$B89,'KNOWIFY REVIEW'!$AC$4:$AC$400,$C89,'KNOWIFY REVIEW'!$AD$4:$AD$400,1)/SUMIFS('KNOWIFY REVIEW'!$AE$4:$AE$400,'KNOWIFY REVIEW'!$AB$4:$AB$400,$B89,'KNOWIFY REVIEW'!$AC$4:$AC$400,$C89,'KNOWIFY REVIEW'!$AD$4:$AD$400,1),""))</f>
        <v/>
      </c>
      <c r="R89" s="43" t="str">
        <f aca="false">IF(OR($B89="",$C89=""),"",IFERROR(SUMIFS('KNOWIFY REVIEW'!$AH$4:$AH$400,'KNOWIFY REVIEW'!$AB$4:$AB$400,$B89,'KNOWIFY REVIEW'!$AC$4:$AC$400,IF(OR($C89=INPUTS!$B$69,$C89=INPUTS!$B$70),INPUTS!$B$71,$C89),'KNOWIFY REVIEW'!$AD$4:$AD$400,1)/SUMIFS('KNOWIFY REVIEW'!$AG$4:$AG$400,'KNOWIFY REVIEW'!$AB$4:$AB$400,$B89,'KNOWIFY REVIEW'!$AC$4:$AC$400,IF(OR($C89=INPUTS!$B$69,$C89=INPUTS!$B$70),INPUTS!$B$71,$C89),'KNOWIFY REVIEW'!$AD$4:$AD$400,1),""))</f>
        <v/>
      </c>
      <c r="S89" s="24" t="str">
        <f aca="false">IF(MAX(N($Q89),N($R89))&gt;1.1,"Past job ran over budget","")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38"/>
      <c r="F90" s="10"/>
      <c r="G90" s="39"/>
      <c r="H90" s="40"/>
      <c r="I90" s="39"/>
      <c r="J90" s="38"/>
      <c r="K90" s="10" t="s">
        <v>237</v>
      </c>
      <c r="L90" s="28" t="n">
        <f aca="false">($E90*$G90+$I90)*(1+IF($K90="N",0,INPUTS!$C$23))</f>
        <v>0</v>
      </c>
      <c r="M90" s="41" t="n">
        <f aca="false">$E90*$H90+$J90</f>
        <v>0</v>
      </c>
      <c r="N90" s="28" t="n">
        <f aca="false">$M90*IF(OR($B90="V",$B90="AC"),'LABOUR RATES'!$E$26,'LABOUR RATES'!$E$11)</f>
        <v>0</v>
      </c>
      <c r="O90" s="28" t="n">
        <f aca="false">$M90*IF(OR($B90="V",$B90="AC"),'LABOUR RATES'!$C$27,'LABOUR RATES'!$C$12)</f>
        <v>0</v>
      </c>
      <c r="P90" s="42" t="n">
        <f aca="false">$L90+$N90+$O90</f>
        <v>0</v>
      </c>
      <c r="Q90" s="43" t="str">
        <f aca="false">IF(OR($B90="",$C90=""),"",IFERROR(SUMIFS('KNOWIFY REVIEW'!$AF$4:$AF$400,'KNOWIFY REVIEW'!$AB$4:$AB$400,$B90,'KNOWIFY REVIEW'!$AC$4:$AC$400,$C90,'KNOWIFY REVIEW'!$AD$4:$AD$400,1)/SUMIFS('KNOWIFY REVIEW'!$AE$4:$AE$400,'KNOWIFY REVIEW'!$AB$4:$AB$400,$B90,'KNOWIFY REVIEW'!$AC$4:$AC$400,$C90,'KNOWIFY REVIEW'!$AD$4:$AD$400,1),""))</f>
        <v/>
      </c>
      <c r="R90" s="43" t="str">
        <f aca="false">IF(OR($B90="",$C90=""),"",IFERROR(SUMIFS('KNOWIFY REVIEW'!$AH$4:$AH$400,'KNOWIFY REVIEW'!$AB$4:$AB$400,$B90,'KNOWIFY REVIEW'!$AC$4:$AC$400,IF(OR($C90=INPUTS!$B$69,$C90=INPUTS!$B$70),INPUTS!$B$71,$C90),'KNOWIFY REVIEW'!$AD$4:$AD$400,1)/SUMIFS('KNOWIFY REVIEW'!$AG$4:$AG$400,'KNOWIFY REVIEW'!$AB$4:$AB$400,$B90,'KNOWIFY REVIEW'!$AC$4:$AC$400,IF(OR($C90=INPUTS!$B$69,$C90=INPUTS!$B$70),INPUTS!$B$71,$C90),'KNOWIFY REVIEW'!$AD$4:$AD$400,1),""))</f>
        <v/>
      </c>
      <c r="S90" s="24" t="str">
        <f aca="false">IF(MAX(N($Q90),N($R90))&gt;1.1,"Past job ran over budget","")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38"/>
      <c r="F91" s="10"/>
      <c r="G91" s="39"/>
      <c r="H91" s="40"/>
      <c r="I91" s="39"/>
      <c r="J91" s="38"/>
      <c r="K91" s="10" t="s">
        <v>237</v>
      </c>
      <c r="L91" s="28" t="n">
        <f aca="false">($E91*$G91+$I91)*(1+IF($K91="N",0,INPUTS!$C$23))</f>
        <v>0</v>
      </c>
      <c r="M91" s="41" t="n">
        <f aca="false">$E91*$H91+$J91</f>
        <v>0</v>
      </c>
      <c r="N91" s="28" t="n">
        <f aca="false">$M91*IF(OR($B91="V",$B91="AC"),'LABOUR RATES'!$E$26,'LABOUR RATES'!$E$11)</f>
        <v>0</v>
      </c>
      <c r="O91" s="28" t="n">
        <f aca="false">$M91*IF(OR($B91="V",$B91="AC"),'LABOUR RATES'!$C$27,'LABOUR RATES'!$C$12)</f>
        <v>0</v>
      </c>
      <c r="P91" s="42" t="n">
        <f aca="false">$L91+$N91+$O91</f>
        <v>0</v>
      </c>
      <c r="Q91" s="43" t="str">
        <f aca="false">IF(OR($B91="",$C91=""),"",IFERROR(SUMIFS('KNOWIFY REVIEW'!$AF$4:$AF$400,'KNOWIFY REVIEW'!$AB$4:$AB$400,$B91,'KNOWIFY REVIEW'!$AC$4:$AC$400,$C91,'KNOWIFY REVIEW'!$AD$4:$AD$400,1)/SUMIFS('KNOWIFY REVIEW'!$AE$4:$AE$400,'KNOWIFY REVIEW'!$AB$4:$AB$400,$B91,'KNOWIFY REVIEW'!$AC$4:$AC$400,$C91,'KNOWIFY REVIEW'!$AD$4:$AD$400,1),""))</f>
        <v/>
      </c>
      <c r="R91" s="43" t="str">
        <f aca="false">IF(OR($B91="",$C91=""),"",IFERROR(SUMIFS('KNOWIFY REVIEW'!$AH$4:$AH$400,'KNOWIFY REVIEW'!$AB$4:$AB$400,$B91,'KNOWIFY REVIEW'!$AC$4:$AC$400,IF(OR($C91=INPUTS!$B$69,$C91=INPUTS!$B$70),INPUTS!$B$71,$C91),'KNOWIFY REVIEW'!$AD$4:$AD$400,1)/SUMIFS('KNOWIFY REVIEW'!$AG$4:$AG$400,'KNOWIFY REVIEW'!$AB$4:$AB$400,$B91,'KNOWIFY REVIEW'!$AC$4:$AC$400,IF(OR($C91=INPUTS!$B$69,$C91=INPUTS!$B$70),INPUTS!$B$71,$C91),'KNOWIFY REVIEW'!$AD$4:$AD$400,1),""))</f>
        <v/>
      </c>
      <c r="S91" s="24" t="str">
        <f aca="false">IF(MAX(N($Q91),N($R91))&gt;1.1,"Past job ran over budget","")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38"/>
      <c r="F92" s="10"/>
      <c r="G92" s="39"/>
      <c r="H92" s="40"/>
      <c r="I92" s="39"/>
      <c r="J92" s="38"/>
      <c r="K92" s="10" t="s">
        <v>237</v>
      </c>
      <c r="L92" s="28" t="n">
        <f aca="false">($E92*$G92+$I92)*(1+IF($K92="N",0,INPUTS!$C$23))</f>
        <v>0</v>
      </c>
      <c r="M92" s="41" t="n">
        <f aca="false">$E92*$H92+$J92</f>
        <v>0</v>
      </c>
      <c r="N92" s="28" t="n">
        <f aca="false">$M92*IF(OR($B92="V",$B92="AC"),'LABOUR RATES'!$E$26,'LABOUR RATES'!$E$11)</f>
        <v>0</v>
      </c>
      <c r="O92" s="28" t="n">
        <f aca="false">$M92*IF(OR($B92="V",$B92="AC"),'LABOUR RATES'!$C$27,'LABOUR RATES'!$C$12)</f>
        <v>0</v>
      </c>
      <c r="P92" s="42" t="n">
        <f aca="false">$L92+$N92+$O92</f>
        <v>0</v>
      </c>
      <c r="Q92" s="43" t="str">
        <f aca="false">IF(OR($B92="",$C92=""),"",IFERROR(SUMIFS('KNOWIFY REVIEW'!$AF$4:$AF$400,'KNOWIFY REVIEW'!$AB$4:$AB$400,$B92,'KNOWIFY REVIEW'!$AC$4:$AC$400,$C92,'KNOWIFY REVIEW'!$AD$4:$AD$400,1)/SUMIFS('KNOWIFY REVIEW'!$AE$4:$AE$400,'KNOWIFY REVIEW'!$AB$4:$AB$400,$B92,'KNOWIFY REVIEW'!$AC$4:$AC$400,$C92,'KNOWIFY REVIEW'!$AD$4:$AD$400,1),""))</f>
        <v/>
      </c>
      <c r="R92" s="43" t="str">
        <f aca="false">IF(OR($B92="",$C92=""),"",IFERROR(SUMIFS('KNOWIFY REVIEW'!$AH$4:$AH$400,'KNOWIFY REVIEW'!$AB$4:$AB$400,$B92,'KNOWIFY REVIEW'!$AC$4:$AC$400,IF(OR($C92=INPUTS!$B$69,$C92=INPUTS!$B$70),INPUTS!$B$71,$C92),'KNOWIFY REVIEW'!$AD$4:$AD$400,1)/SUMIFS('KNOWIFY REVIEW'!$AG$4:$AG$400,'KNOWIFY REVIEW'!$AB$4:$AB$400,$B92,'KNOWIFY REVIEW'!$AC$4:$AC$400,IF(OR($C92=INPUTS!$B$69,$C92=INPUTS!$B$70),INPUTS!$B$71,$C92),'KNOWIFY REVIEW'!$AD$4:$AD$400,1),""))</f>
        <v/>
      </c>
      <c r="S92" s="24" t="str">
        <f aca="false">IF(MAX(N($Q92),N($R92))&gt;1.1,"Past job ran over budget","")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38"/>
      <c r="F93" s="10"/>
      <c r="G93" s="39"/>
      <c r="H93" s="40"/>
      <c r="I93" s="39"/>
      <c r="J93" s="38"/>
      <c r="K93" s="10" t="s">
        <v>237</v>
      </c>
      <c r="L93" s="28" t="n">
        <f aca="false">($E93*$G93+$I93)*(1+IF($K93="N",0,INPUTS!$C$23))</f>
        <v>0</v>
      </c>
      <c r="M93" s="41" t="n">
        <f aca="false">$E93*$H93+$J93</f>
        <v>0</v>
      </c>
      <c r="N93" s="28" t="n">
        <f aca="false">$M93*IF(OR($B93="V",$B93="AC"),'LABOUR RATES'!$E$26,'LABOUR RATES'!$E$11)</f>
        <v>0</v>
      </c>
      <c r="O93" s="28" t="n">
        <f aca="false">$M93*IF(OR($B93="V",$B93="AC"),'LABOUR RATES'!$C$27,'LABOUR RATES'!$C$12)</f>
        <v>0</v>
      </c>
      <c r="P93" s="42" t="n">
        <f aca="false">$L93+$N93+$O93</f>
        <v>0</v>
      </c>
      <c r="Q93" s="43" t="str">
        <f aca="false">IF(OR($B93="",$C93=""),"",IFERROR(SUMIFS('KNOWIFY REVIEW'!$AF$4:$AF$400,'KNOWIFY REVIEW'!$AB$4:$AB$400,$B93,'KNOWIFY REVIEW'!$AC$4:$AC$400,$C93,'KNOWIFY REVIEW'!$AD$4:$AD$400,1)/SUMIFS('KNOWIFY REVIEW'!$AE$4:$AE$400,'KNOWIFY REVIEW'!$AB$4:$AB$400,$B93,'KNOWIFY REVIEW'!$AC$4:$AC$400,$C93,'KNOWIFY REVIEW'!$AD$4:$AD$400,1),""))</f>
        <v/>
      </c>
      <c r="R93" s="43" t="str">
        <f aca="false">IF(OR($B93="",$C93=""),"",IFERROR(SUMIFS('KNOWIFY REVIEW'!$AH$4:$AH$400,'KNOWIFY REVIEW'!$AB$4:$AB$400,$B93,'KNOWIFY REVIEW'!$AC$4:$AC$400,IF(OR($C93=INPUTS!$B$69,$C93=INPUTS!$B$70),INPUTS!$B$71,$C93),'KNOWIFY REVIEW'!$AD$4:$AD$400,1)/SUMIFS('KNOWIFY REVIEW'!$AG$4:$AG$400,'KNOWIFY REVIEW'!$AB$4:$AB$400,$B93,'KNOWIFY REVIEW'!$AC$4:$AC$400,IF(OR($C93=INPUTS!$B$69,$C93=INPUTS!$B$70),INPUTS!$B$71,$C93),'KNOWIFY REVIEW'!$AD$4:$AD$400,1),""))</f>
        <v/>
      </c>
      <c r="S93" s="24" t="str">
        <f aca="false">IF(MAX(N($Q93),N($R93))&gt;1.1,"Past job ran over budget","")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38"/>
      <c r="F94" s="10"/>
      <c r="G94" s="39"/>
      <c r="H94" s="40"/>
      <c r="I94" s="39"/>
      <c r="J94" s="38"/>
      <c r="K94" s="10" t="s">
        <v>237</v>
      </c>
      <c r="L94" s="28" t="n">
        <f aca="false">($E94*$G94+$I94)*(1+IF($K94="N",0,INPUTS!$C$23))</f>
        <v>0</v>
      </c>
      <c r="M94" s="41" t="n">
        <f aca="false">$E94*$H94+$J94</f>
        <v>0</v>
      </c>
      <c r="N94" s="28" t="n">
        <f aca="false">$M94*IF(OR($B94="V",$B94="AC"),'LABOUR RATES'!$E$26,'LABOUR RATES'!$E$11)</f>
        <v>0</v>
      </c>
      <c r="O94" s="28" t="n">
        <f aca="false">$M94*IF(OR($B94="V",$B94="AC"),'LABOUR RATES'!$C$27,'LABOUR RATES'!$C$12)</f>
        <v>0</v>
      </c>
      <c r="P94" s="42" t="n">
        <f aca="false">$L94+$N94+$O94</f>
        <v>0</v>
      </c>
      <c r="Q94" s="43" t="str">
        <f aca="false">IF(OR($B94="",$C94=""),"",IFERROR(SUMIFS('KNOWIFY REVIEW'!$AF$4:$AF$400,'KNOWIFY REVIEW'!$AB$4:$AB$400,$B94,'KNOWIFY REVIEW'!$AC$4:$AC$400,$C94,'KNOWIFY REVIEW'!$AD$4:$AD$400,1)/SUMIFS('KNOWIFY REVIEW'!$AE$4:$AE$400,'KNOWIFY REVIEW'!$AB$4:$AB$400,$B94,'KNOWIFY REVIEW'!$AC$4:$AC$400,$C94,'KNOWIFY REVIEW'!$AD$4:$AD$400,1),""))</f>
        <v/>
      </c>
      <c r="R94" s="43" t="str">
        <f aca="false">IF(OR($B94="",$C94=""),"",IFERROR(SUMIFS('KNOWIFY REVIEW'!$AH$4:$AH$400,'KNOWIFY REVIEW'!$AB$4:$AB$400,$B94,'KNOWIFY REVIEW'!$AC$4:$AC$400,IF(OR($C94=INPUTS!$B$69,$C94=INPUTS!$B$70),INPUTS!$B$71,$C94),'KNOWIFY REVIEW'!$AD$4:$AD$400,1)/SUMIFS('KNOWIFY REVIEW'!$AG$4:$AG$400,'KNOWIFY REVIEW'!$AB$4:$AB$400,$B94,'KNOWIFY REVIEW'!$AC$4:$AC$400,IF(OR($C94=INPUTS!$B$69,$C94=INPUTS!$B$70),INPUTS!$B$71,$C94),'KNOWIFY REVIEW'!$AD$4:$AD$400,1),""))</f>
        <v/>
      </c>
      <c r="S94" s="24" t="str">
        <f aca="false">IF(MAX(N($Q94),N($R94))&gt;1.1,"Past job ran over budget","")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38"/>
      <c r="F95" s="10"/>
      <c r="G95" s="39"/>
      <c r="H95" s="40"/>
      <c r="I95" s="39"/>
      <c r="J95" s="38"/>
      <c r="K95" s="10" t="s">
        <v>237</v>
      </c>
      <c r="L95" s="28" t="n">
        <f aca="false">($E95*$G95+$I95)*(1+IF($K95="N",0,INPUTS!$C$23))</f>
        <v>0</v>
      </c>
      <c r="M95" s="41" t="n">
        <f aca="false">$E95*$H95+$J95</f>
        <v>0</v>
      </c>
      <c r="N95" s="28" t="n">
        <f aca="false">$M95*IF(OR($B95="V",$B95="AC"),'LABOUR RATES'!$E$26,'LABOUR RATES'!$E$11)</f>
        <v>0</v>
      </c>
      <c r="O95" s="28" t="n">
        <f aca="false">$M95*IF(OR($B95="V",$B95="AC"),'LABOUR RATES'!$C$27,'LABOUR RATES'!$C$12)</f>
        <v>0</v>
      </c>
      <c r="P95" s="42" t="n">
        <f aca="false">$L95+$N95+$O95</f>
        <v>0</v>
      </c>
      <c r="Q95" s="43" t="str">
        <f aca="false">IF(OR($B95="",$C95=""),"",IFERROR(SUMIFS('KNOWIFY REVIEW'!$AF$4:$AF$400,'KNOWIFY REVIEW'!$AB$4:$AB$400,$B95,'KNOWIFY REVIEW'!$AC$4:$AC$400,$C95,'KNOWIFY REVIEW'!$AD$4:$AD$400,1)/SUMIFS('KNOWIFY REVIEW'!$AE$4:$AE$400,'KNOWIFY REVIEW'!$AB$4:$AB$400,$B95,'KNOWIFY REVIEW'!$AC$4:$AC$400,$C95,'KNOWIFY REVIEW'!$AD$4:$AD$400,1),""))</f>
        <v/>
      </c>
      <c r="R95" s="43" t="str">
        <f aca="false">IF(OR($B95="",$C95=""),"",IFERROR(SUMIFS('KNOWIFY REVIEW'!$AH$4:$AH$400,'KNOWIFY REVIEW'!$AB$4:$AB$400,$B95,'KNOWIFY REVIEW'!$AC$4:$AC$400,IF(OR($C95=INPUTS!$B$69,$C95=INPUTS!$B$70),INPUTS!$B$71,$C95),'KNOWIFY REVIEW'!$AD$4:$AD$400,1)/SUMIFS('KNOWIFY REVIEW'!$AG$4:$AG$400,'KNOWIFY REVIEW'!$AB$4:$AB$400,$B95,'KNOWIFY REVIEW'!$AC$4:$AC$400,IF(OR($C95=INPUTS!$B$69,$C95=INPUTS!$B$70),INPUTS!$B$71,$C95),'KNOWIFY REVIEW'!$AD$4:$AD$400,1),""))</f>
        <v/>
      </c>
      <c r="S95" s="24" t="str">
        <f aca="false">IF(MAX(N($Q95),N($R95))&gt;1.1,"Past job ran over budget","")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38"/>
      <c r="F96" s="10"/>
      <c r="G96" s="39"/>
      <c r="H96" s="40"/>
      <c r="I96" s="39"/>
      <c r="J96" s="38"/>
      <c r="K96" s="10" t="s">
        <v>237</v>
      </c>
      <c r="L96" s="28" t="n">
        <f aca="false">($E96*$G96+$I96)*(1+IF($K96="N",0,INPUTS!$C$23))</f>
        <v>0</v>
      </c>
      <c r="M96" s="41" t="n">
        <f aca="false">$E96*$H96+$J96</f>
        <v>0</v>
      </c>
      <c r="N96" s="28" t="n">
        <f aca="false">$M96*IF(OR($B96="V",$B96="AC"),'LABOUR RATES'!$E$26,'LABOUR RATES'!$E$11)</f>
        <v>0</v>
      </c>
      <c r="O96" s="28" t="n">
        <f aca="false">$M96*IF(OR($B96="V",$B96="AC"),'LABOUR RATES'!$C$27,'LABOUR RATES'!$C$12)</f>
        <v>0</v>
      </c>
      <c r="P96" s="42" t="n">
        <f aca="false">$L96+$N96+$O96</f>
        <v>0</v>
      </c>
      <c r="Q96" s="43" t="str">
        <f aca="false">IF(OR($B96="",$C96=""),"",IFERROR(SUMIFS('KNOWIFY REVIEW'!$AF$4:$AF$400,'KNOWIFY REVIEW'!$AB$4:$AB$400,$B96,'KNOWIFY REVIEW'!$AC$4:$AC$400,$C96,'KNOWIFY REVIEW'!$AD$4:$AD$400,1)/SUMIFS('KNOWIFY REVIEW'!$AE$4:$AE$400,'KNOWIFY REVIEW'!$AB$4:$AB$400,$B96,'KNOWIFY REVIEW'!$AC$4:$AC$400,$C96,'KNOWIFY REVIEW'!$AD$4:$AD$400,1),""))</f>
        <v/>
      </c>
      <c r="R96" s="43" t="str">
        <f aca="false">IF(OR($B96="",$C96=""),"",IFERROR(SUMIFS('KNOWIFY REVIEW'!$AH$4:$AH$400,'KNOWIFY REVIEW'!$AB$4:$AB$400,$B96,'KNOWIFY REVIEW'!$AC$4:$AC$400,IF(OR($C96=INPUTS!$B$69,$C96=INPUTS!$B$70),INPUTS!$B$71,$C96),'KNOWIFY REVIEW'!$AD$4:$AD$400,1)/SUMIFS('KNOWIFY REVIEW'!$AG$4:$AG$400,'KNOWIFY REVIEW'!$AB$4:$AB$400,$B96,'KNOWIFY REVIEW'!$AC$4:$AC$400,IF(OR($C96=INPUTS!$B$69,$C96=INPUTS!$B$70),INPUTS!$B$71,$C96),'KNOWIFY REVIEW'!$AD$4:$AD$400,1),""))</f>
        <v/>
      </c>
      <c r="S96" s="24" t="str">
        <f aca="false">IF(MAX(N($Q96),N($R96))&gt;1.1,"Past job ran over budget","")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38"/>
      <c r="F97" s="10"/>
      <c r="G97" s="39"/>
      <c r="H97" s="40"/>
      <c r="I97" s="39"/>
      <c r="J97" s="38"/>
      <c r="K97" s="10" t="s">
        <v>237</v>
      </c>
      <c r="L97" s="28" t="n">
        <f aca="false">($E97*$G97+$I97)*(1+IF($K97="N",0,INPUTS!$C$23))</f>
        <v>0</v>
      </c>
      <c r="M97" s="41" t="n">
        <f aca="false">$E97*$H97+$J97</f>
        <v>0</v>
      </c>
      <c r="N97" s="28" t="n">
        <f aca="false">$M97*IF(OR($B97="V",$B97="AC"),'LABOUR RATES'!$E$26,'LABOUR RATES'!$E$11)</f>
        <v>0</v>
      </c>
      <c r="O97" s="28" t="n">
        <f aca="false">$M97*IF(OR($B97="V",$B97="AC"),'LABOUR RATES'!$C$27,'LABOUR RATES'!$C$12)</f>
        <v>0</v>
      </c>
      <c r="P97" s="42" t="n">
        <f aca="false">$L97+$N97+$O97</f>
        <v>0</v>
      </c>
      <c r="Q97" s="43" t="str">
        <f aca="false">IF(OR($B97="",$C97=""),"",IFERROR(SUMIFS('KNOWIFY REVIEW'!$AF$4:$AF$400,'KNOWIFY REVIEW'!$AB$4:$AB$400,$B97,'KNOWIFY REVIEW'!$AC$4:$AC$400,$C97,'KNOWIFY REVIEW'!$AD$4:$AD$400,1)/SUMIFS('KNOWIFY REVIEW'!$AE$4:$AE$400,'KNOWIFY REVIEW'!$AB$4:$AB$400,$B97,'KNOWIFY REVIEW'!$AC$4:$AC$400,$C97,'KNOWIFY REVIEW'!$AD$4:$AD$400,1),""))</f>
        <v/>
      </c>
      <c r="R97" s="43" t="str">
        <f aca="false">IF(OR($B97="",$C97=""),"",IFERROR(SUMIFS('KNOWIFY REVIEW'!$AH$4:$AH$400,'KNOWIFY REVIEW'!$AB$4:$AB$400,$B97,'KNOWIFY REVIEW'!$AC$4:$AC$400,IF(OR($C97=INPUTS!$B$69,$C97=INPUTS!$B$70),INPUTS!$B$71,$C97),'KNOWIFY REVIEW'!$AD$4:$AD$400,1)/SUMIFS('KNOWIFY REVIEW'!$AG$4:$AG$400,'KNOWIFY REVIEW'!$AB$4:$AB$400,$B97,'KNOWIFY REVIEW'!$AC$4:$AC$400,IF(OR($C97=INPUTS!$B$69,$C97=INPUTS!$B$70),INPUTS!$B$71,$C97),'KNOWIFY REVIEW'!$AD$4:$AD$400,1),""))</f>
        <v/>
      </c>
      <c r="S97" s="24" t="str">
        <f aca="false">IF(MAX(N($Q97),N($R97))&gt;1.1,"Past job ran over budget","")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38"/>
      <c r="F98" s="10"/>
      <c r="G98" s="39"/>
      <c r="H98" s="40"/>
      <c r="I98" s="39"/>
      <c r="J98" s="38"/>
      <c r="K98" s="10" t="s">
        <v>237</v>
      </c>
      <c r="L98" s="28" t="n">
        <f aca="false">($E98*$G98+$I98)*(1+IF($K98="N",0,INPUTS!$C$23))</f>
        <v>0</v>
      </c>
      <c r="M98" s="41" t="n">
        <f aca="false">$E98*$H98+$J98</f>
        <v>0</v>
      </c>
      <c r="N98" s="28" t="n">
        <f aca="false">$M98*IF(OR($B98="V",$B98="AC"),'LABOUR RATES'!$E$26,'LABOUR RATES'!$E$11)</f>
        <v>0</v>
      </c>
      <c r="O98" s="28" t="n">
        <f aca="false">$M98*IF(OR($B98="V",$B98="AC"),'LABOUR RATES'!$C$27,'LABOUR RATES'!$C$12)</f>
        <v>0</v>
      </c>
      <c r="P98" s="42" t="n">
        <f aca="false">$L98+$N98+$O98</f>
        <v>0</v>
      </c>
      <c r="Q98" s="43" t="str">
        <f aca="false">IF(OR($B98="",$C98=""),"",IFERROR(SUMIFS('KNOWIFY REVIEW'!$AF$4:$AF$400,'KNOWIFY REVIEW'!$AB$4:$AB$400,$B98,'KNOWIFY REVIEW'!$AC$4:$AC$400,$C98,'KNOWIFY REVIEW'!$AD$4:$AD$400,1)/SUMIFS('KNOWIFY REVIEW'!$AE$4:$AE$400,'KNOWIFY REVIEW'!$AB$4:$AB$400,$B98,'KNOWIFY REVIEW'!$AC$4:$AC$400,$C98,'KNOWIFY REVIEW'!$AD$4:$AD$400,1),""))</f>
        <v/>
      </c>
      <c r="R98" s="43" t="str">
        <f aca="false">IF(OR($B98="",$C98=""),"",IFERROR(SUMIFS('KNOWIFY REVIEW'!$AH$4:$AH$400,'KNOWIFY REVIEW'!$AB$4:$AB$400,$B98,'KNOWIFY REVIEW'!$AC$4:$AC$400,IF(OR($C98=INPUTS!$B$69,$C98=INPUTS!$B$70),INPUTS!$B$71,$C98),'KNOWIFY REVIEW'!$AD$4:$AD$400,1)/SUMIFS('KNOWIFY REVIEW'!$AG$4:$AG$400,'KNOWIFY REVIEW'!$AB$4:$AB$400,$B98,'KNOWIFY REVIEW'!$AC$4:$AC$400,IF(OR($C98=INPUTS!$B$69,$C98=INPUTS!$B$70),INPUTS!$B$71,$C98),'KNOWIFY REVIEW'!$AD$4:$AD$400,1),""))</f>
        <v/>
      </c>
      <c r="S98" s="24" t="str">
        <f aca="false">IF(MAX(N($Q98),N($R98))&gt;1.1,"Past job ran over budget","")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38"/>
      <c r="F99" s="10"/>
      <c r="G99" s="39"/>
      <c r="H99" s="40"/>
      <c r="I99" s="39"/>
      <c r="J99" s="38"/>
      <c r="K99" s="10" t="s">
        <v>237</v>
      </c>
      <c r="L99" s="28" t="n">
        <f aca="false">($E99*$G99+$I99)*(1+IF($K99="N",0,INPUTS!$C$23))</f>
        <v>0</v>
      </c>
      <c r="M99" s="41" t="n">
        <f aca="false">$E99*$H99+$J99</f>
        <v>0</v>
      </c>
      <c r="N99" s="28" t="n">
        <f aca="false">$M99*IF(OR($B99="V",$B99="AC"),'LABOUR RATES'!$E$26,'LABOUR RATES'!$E$11)</f>
        <v>0</v>
      </c>
      <c r="O99" s="28" t="n">
        <f aca="false">$M99*IF(OR($B99="V",$B99="AC"),'LABOUR RATES'!$C$27,'LABOUR RATES'!$C$12)</f>
        <v>0</v>
      </c>
      <c r="P99" s="42" t="n">
        <f aca="false">$L99+$N99+$O99</f>
        <v>0</v>
      </c>
      <c r="Q99" s="43" t="str">
        <f aca="false">IF(OR($B99="",$C99=""),"",IFERROR(SUMIFS('KNOWIFY REVIEW'!$AF$4:$AF$400,'KNOWIFY REVIEW'!$AB$4:$AB$400,$B99,'KNOWIFY REVIEW'!$AC$4:$AC$400,$C99,'KNOWIFY REVIEW'!$AD$4:$AD$400,1)/SUMIFS('KNOWIFY REVIEW'!$AE$4:$AE$400,'KNOWIFY REVIEW'!$AB$4:$AB$400,$B99,'KNOWIFY REVIEW'!$AC$4:$AC$400,$C99,'KNOWIFY REVIEW'!$AD$4:$AD$400,1),""))</f>
        <v/>
      </c>
      <c r="R99" s="43" t="str">
        <f aca="false">IF(OR($B99="",$C99=""),"",IFERROR(SUMIFS('KNOWIFY REVIEW'!$AH$4:$AH$400,'KNOWIFY REVIEW'!$AB$4:$AB$400,$B99,'KNOWIFY REVIEW'!$AC$4:$AC$400,IF(OR($C99=INPUTS!$B$69,$C99=INPUTS!$B$70),INPUTS!$B$71,$C99),'KNOWIFY REVIEW'!$AD$4:$AD$400,1)/SUMIFS('KNOWIFY REVIEW'!$AG$4:$AG$400,'KNOWIFY REVIEW'!$AB$4:$AB$400,$B99,'KNOWIFY REVIEW'!$AC$4:$AC$400,IF(OR($C99=INPUTS!$B$69,$C99=INPUTS!$B$70),INPUTS!$B$71,$C99),'KNOWIFY REVIEW'!$AD$4:$AD$400,1),""))</f>
        <v/>
      </c>
      <c r="S99" s="24" t="str">
        <f aca="false">IF(MAX(N($Q99),N($R99))&gt;1.1,"Past job ran over budget","")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38"/>
      <c r="F100" s="10"/>
      <c r="G100" s="39"/>
      <c r="H100" s="40"/>
      <c r="I100" s="39"/>
      <c r="J100" s="38"/>
      <c r="K100" s="10" t="s">
        <v>237</v>
      </c>
      <c r="L100" s="28" t="n">
        <f aca="false">($E100*$G100+$I100)*(1+IF($K100="N",0,INPUTS!$C$23))</f>
        <v>0</v>
      </c>
      <c r="M100" s="41" t="n">
        <f aca="false">$E100*$H100+$J100</f>
        <v>0</v>
      </c>
      <c r="N100" s="28" t="n">
        <f aca="false">$M100*IF(OR($B100="V",$B100="AC"),'LABOUR RATES'!$E$26,'LABOUR RATES'!$E$11)</f>
        <v>0</v>
      </c>
      <c r="O100" s="28" t="n">
        <f aca="false">$M100*IF(OR($B100="V",$B100="AC"),'LABOUR RATES'!$C$27,'LABOUR RATES'!$C$12)</f>
        <v>0</v>
      </c>
      <c r="P100" s="42" t="n">
        <f aca="false">$L100+$N100+$O100</f>
        <v>0</v>
      </c>
      <c r="Q100" s="43" t="str">
        <f aca="false">IF(OR($B100="",$C100=""),"",IFERROR(SUMIFS('KNOWIFY REVIEW'!$AF$4:$AF$400,'KNOWIFY REVIEW'!$AB$4:$AB$400,$B100,'KNOWIFY REVIEW'!$AC$4:$AC$400,$C100,'KNOWIFY REVIEW'!$AD$4:$AD$400,1)/SUMIFS('KNOWIFY REVIEW'!$AE$4:$AE$400,'KNOWIFY REVIEW'!$AB$4:$AB$400,$B100,'KNOWIFY REVIEW'!$AC$4:$AC$400,$C100,'KNOWIFY REVIEW'!$AD$4:$AD$400,1),""))</f>
        <v/>
      </c>
      <c r="R100" s="43" t="str">
        <f aca="false">IF(OR($B100="",$C100=""),"",IFERROR(SUMIFS('KNOWIFY REVIEW'!$AH$4:$AH$400,'KNOWIFY REVIEW'!$AB$4:$AB$400,$B100,'KNOWIFY REVIEW'!$AC$4:$AC$400,IF(OR($C100=INPUTS!$B$69,$C100=INPUTS!$B$70),INPUTS!$B$71,$C100),'KNOWIFY REVIEW'!$AD$4:$AD$400,1)/SUMIFS('KNOWIFY REVIEW'!$AG$4:$AG$400,'KNOWIFY REVIEW'!$AB$4:$AB$400,$B100,'KNOWIFY REVIEW'!$AC$4:$AC$400,IF(OR($C100=INPUTS!$B$69,$C100=INPUTS!$B$70),INPUTS!$B$71,$C100),'KNOWIFY REVIEW'!$AD$4:$AD$400,1),""))</f>
        <v/>
      </c>
      <c r="S100" s="24" t="str">
        <f aca="false">IF(MAX(N($Q100),N($R100))&gt;1.1,"Past job ran over budget","")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38"/>
      <c r="F101" s="10"/>
      <c r="G101" s="39"/>
      <c r="H101" s="40"/>
      <c r="I101" s="39"/>
      <c r="J101" s="38"/>
      <c r="K101" s="10" t="s">
        <v>237</v>
      </c>
      <c r="L101" s="28" t="n">
        <f aca="false">($E101*$G101+$I101)*(1+IF($K101="N",0,INPUTS!$C$23))</f>
        <v>0</v>
      </c>
      <c r="M101" s="41" t="n">
        <f aca="false">$E101*$H101+$J101</f>
        <v>0</v>
      </c>
      <c r="N101" s="28" t="n">
        <f aca="false">$M101*IF(OR($B101="V",$B101="AC"),'LABOUR RATES'!$E$26,'LABOUR RATES'!$E$11)</f>
        <v>0</v>
      </c>
      <c r="O101" s="28" t="n">
        <f aca="false">$M101*IF(OR($B101="V",$B101="AC"),'LABOUR RATES'!$C$27,'LABOUR RATES'!$C$12)</f>
        <v>0</v>
      </c>
      <c r="P101" s="42" t="n">
        <f aca="false">$L101+$N101+$O101</f>
        <v>0</v>
      </c>
      <c r="Q101" s="43" t="str">
        <f aca="false">IF(OR($B101="",$C101=""),"",IFERROR(SUMIFS('KNOWIFY REVIEW'!$AF$4:$AF$400,'KNOWIFY REVIEW'!$AB$4:$AB$400,$B101,'KNOWIFY REVIEW'!$AC$4:$AC$400,$C101,'KNOWIFY REVIEW'!$AD$4:$AD$400,1)/SUMIFS('KNOWIFY REVIEW'!$AE$4:$AE$400,'KNOWIFY REVIEW'!$AB$4:$AB$400,$B101,'KNOWIFY REVIEW'!$AC$4:$AC$400,$C101,'KNOWIFY REVIEW'!$AD$4:$AD$400,1),""))</f>
        <v/>
      </c>
      <c r="R101" s="43" t="str">
        <f aca="false">IF(OR($B101="",$C101=""),"",IFERROR(SUMIFS('KNOWIFY REVIEW'!$AH$4:$AH$400,'KNOWIFY REVIEW'!$AB$4:$AB$400,$B101,'KNOWIFY REVIEW'!$AC$4:$AC$400,IF(OR($C101=INPUTS!$B$69,$C101=INPUTS!$B$70),INPUTS!$B$71,$C101),'KNOWIFY REVIEW'!$AD$4:$AD$400,1)/SUMIFS('KNOWIFY REVIEW'!$AG$4:$AG$400,'KNOWIFY REVIEW'!$AB$4:$AB$400,$B101,'KNOWIFY REVIEW'!$AC$4:$AC$400,IF(OR($C101=INPUTS!$B$69,$C101=INPUTS!$B$70),INPUTS!$B$71,$C101),'KNOWIFY REVIEW'!$AD$4:$AD$400,1),""))</f>
        <v/>
      </c>
      <c r="S101" s="24" t="str">
        <f aca="false">IF(MAX(N($Q101),N($R101))&gt;1.1,"Past job ran over budget","")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38"/>
      <c r="F102" s="10"/>
      <c r="G102" s="39"/>
      <c r="H102" s="40"/>
      <c r="I102" s="39"/>
      <c r="J102" s="38"/>
      <c r="K102" s="10" t="s">
        <v>237</v>
      </c>
      <c r="L102" s="28" t="n">
        <f aca="false">($E102*$G102+$I102)*(1+IF($K102="N",0,INPUTS!$C$23))</f>
        <v>0</v>
      </c>
      <c r="M102" s="41" t="n">
        <f aca="false">$E102*$H102+$J102</f>
        <v>0</v>
      </c>
      <c r="N102" s="28" t="n">
        <f aca="false">$M102*IF(OR($B102="V",$B102="AC"),'LABOUR RATES'!$E$26,'LABOUR RATES'!$E$11)</f>
        <v>0</v>
      </c>
      <c r="O102" s="28" t="n">
        <f aca="false">$M102*IF(OR($B102="V",$B102="AC"),'LABOUR RATES'!$C$27,'LABOUR RATES'!$C$12)</f>
        <v>0</v>
      </c>
      <c r="P102" s="42" t="n">
        <f aca="false">$L102+$N102+$O102</f>
        <v>0</v>
      </c>
      <c r="Q102" s="43" t="str">
        <f aca="false">IF(OR($B102="",$C102=""),"",IFERROR(SUMIFS('KNOWIFY REVIEW'!$AF$4:$AF$400,'KNOWIFY REVIEW'!$AB$4:$AB$400,$B102,'KNOWIFY REVIEW'!$AC$4:$AC$400,$C102,'KNOWIFY REVIEW'!$AD$4:$AD$400,1)/SUMIFS('KNOWIFY REVIEW'!$AE$4:$AE$400,'KNOWIFY REVIEW'!$AB$4:$AB$400,$B102,'KNOWIFY REVIEW'!$AC$4:$AC$400,$C102,'KNOWIFY REVIEW'!$AD$4:$AD$400,1),""))</f>
        <v/>
      </c>
      <c r="R102" s="43" t="str">
        <f aca="false">IF(OR($B102="",$C102=""),"",IFERROR(SUMIFS('KNOWIFY REVIEW'!$AH$4:$AH$400,'KNOWIFY REVIEW'!$AB$4:$AB$400,$B102,'KNOWIFY REVIEW'!$AC$4:$AC$400,IF(OR($C102=INPUTS!$B$69,$C102=INPUTS!$B$70),INPUTS!$B$71,$C102),'KNOWIFY REVIEW'!$AD$4:$AD$400,1)/SUMIFS('KNOWIFY REVIEW'!$AG$4:$AG$400,'KNOWIFY REVIEW'!$AB$4:$AB$400,$B102,'KNOWIFY REVIEW'!$AC$4:$AC$400,IF(OR($C102=INPUTS!$B$69,$C102=INPUTS!$B$70),INPUTS!$B$71,$C102),'KNOWIFY REVIEW'!$AD$4:$AD$400,1),""))</f>
        <v/>
      </c>
      <c r="S102" s="24" t="str">
        <f aca="false">IF(MAX(N($Q102),N($R102))&gt;1.1,"Past job ran over budget","")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38"/>
      <c r="F103" s="10"/>
      <c r="G103" s="39"/>
      <c r="H103" s="40"/>
      <c r="I103" s="39"/>
      <c r="J103" s="38"/>
      <c r="K103" s="10" t="s">
        <v>237</v>
      </c>
      <c r="L103" s="28" t="n">
        <f aca="false">($E103*$G103+$I103)*(1+IF($K103="N",0,INPUTS!$C$23))</f>
        <v>0</v>
      </c>
      <c r="M103" s="41" t="n">
        <f aca="false">$E103*$H103+$J103</f>
        <v>0</v>
      </c>
      <c r="N103" s="28" t="n">
        <f aca="false">$M103*IF(OR($B103="V",$B103="AC"),'LABOUR RATES'!$E$26,'LABOUR RATES'!$E$11)</f>
        <v>0</v>
      </c>
      <c r="O103" s="28" t="n">
        <f aca="false">$M103*IF(OR($B103="V",$B103="AC"),'LABOUR RATES'!$C$27,'LABOUR RATES'!$C$12)</f>
        <v>0</v>
      </c>
      <c r="P103" s="42" t="n">
        <f aca="false">$L103+$N103+$O103</f>
        <v>0</v>
      </c>
      <c r="Q103" s="43" t="str">
        <f aca="false">IF(OR($B103="",$C103=""),"",IFERROR(SUMIFS('KNOWIFY REVIEW'!$AF$4:$AF$400,'KNOWIFY REVIEW'!$AB$4:$AB$400,$B103,'KNOWIFY REVIEW'!$AC$4:$AC$400,$C103,'KNOWIFY REVIEW'!$AD$4:$AD$400,1)/SUMIFS('KNOWIFY REVIEW'!$AE$4:$AE$400,'KNOWIFY REVIEW'!$AB$4:$AB$400,$B103,'KNOWIFY REVIEW'!$AC$4:$AC$400,$C103,'KNOWIFY REVIEW'!$AD$4:$AD$400,1),""))</f>
        <v/>
      </c>
      <c r="R103" s="43" t="str">
        <f aca="false">IF(OR($B103="",$C103=""),"",IFERROR(SUMIFS('KNOWIFY REVIEW'!$AH$4:$AH$400,'KNOWIFY REVIEW'!$AB$4:$AB$400,$B103,'KNOWIFY REVIEW'!$AC$4:$AC$400,IF(OR($C103=INPUTS!$B$69,$C103=INPUTS!$B$70),INPUTS!$B$71,$C103),'KNOWIFY REVIEW'!$AD$4:$AD$400,1)/SUMIFS('KNOWIFY REVIEW'!$AG$4:$AG$400,'KNOWIFY REVIEW'!$AB$4:$AB$400,$B103,'KNOWIFY REVIEW'!$AC$4:$AC$400,IF(OR($C103=INPUTS!$B$69,$C103=INPUTS!$B$70),INPUTS!$B$71,$C103),'KNOWIFY REVIEW'!$AD$4:$AD$400,1),""))</f>
        <v/>
      </c>
      <c r="S103" s="24" t="str">
        <f aca="false">IF(MAX(N($Q103),N($R103))&gt;1.1,"Past job ran over budget","")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38"/>
      <c r="F104" s="10"/>
      <c r="G104" s="39"/>
      <c r="H104" s="40"/>
      <c r="I104" s="39"/>
      <c r="J104" s="38"/>
      <c r="K104" s="10" t="s">
        <v>237</v>
      </c>
      <c r="L104" s="28" t="n">
        <f aca="false">($E104*$G104+$I104)*(1+IF($K104="N",0,INPUTS!$C$23))</f>
        <v>0</v>
      </c>
      <c r="M104" s="41" t="n">
        <f aca="false">$E104*$H104+$J104</f>
        <v>0</v>
      </c>
      <c r="N104" s="28" t="n">
        <f aca="false">$M104*IF(OR($B104="V",$B104="AC"),'LABOUR RATES'!$E$26,'LABOUR RATES'!$E$11)</f>
        <v>0</v>
      </c>
      <c r="O104" s="28" t="n">
        <f aca="false">$M104*IF(OR($B104="V",$B104="AC"),'LABOUR RATES'!$C$27,'LABOUR RATES'!$C$12)</f>
        <v>0</v>
      </c>
      <c r="P104" s="42" t="n">
        <f aca="false">$L104+$N104+$O104</f>
        <v>0</v>
      </c>
      <c r="Q104" s="43" t="str">
        <f aca="false">IF(OR($B104="",$C104=""),"",IFERROR(SUMIFS('KNOWIFY REVIEW'!$AF$4:$AF$400,'KNOWIFY REVIEW'!$AB$4:$AB$400,$B104,'KNOWIFY REVIEW'!$AC$4:$AC$400,$C104,'KNOWIFY REVIEW'!$AD$4:$AD$400,1)/SUMIFS('KNOWIFY REVIEW'!$AE$4:$AE$400,'KNOWIFY REVIEW'!$AB$4:$AB$400,$B104,'KNOWIFY REVIEW'!$AC$4:$AC$400,$C104,'KNOWIFY REVIEW'!$AD$4:$AD$400,1),""))</f>
        <v/>
      </c>
      <c r="R104" s="43" t="str">
        <f aca="false">IF(OR($B104="",$C104=""),"",IFERROR(SUMIFS('KNOWIFY REVIEW'!$AH$4:$AH$400,'KNOWIFY REVIEW'!$AB$4:$AB$400,$B104,'KNOWIFY REVIEW'!$AC$4:$AC$400,IF(OR($C104=INPUTS!$B$69,$C104=INPUTS!$B$70),INPUTS!$B$71,$C104),'KNOWIFY REVIEW'!$AD$4:$AD$400,1)/SUMIFS('KNOWIFY REVIEW'!$AG$4:$AG$400,'KNOWIFY REVIEW'!$AB$4:$AB$400,$B104,'KNOWIFY REVIEW'!$AC$4:$AC$400,IF(OR($C104=INPUTS!$B$69,$C104=INPUTS!$B$70),INPUTS!$B$71,$C104),'KNOWIFY REVIEW'!$AD$4:$AD$400,1),""))</f>
        <v/>
      </c>
      <c r="S104" s="24" t="str">
        <f aca="false">IF(MAX(N($Q104),N($R104))&gt;1.1,"Past job ran over budget","")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38"/>
      <c r="F105" s="10"/>
      <c r="G105" s="39"/>
      <c r="H105" s="40"/>
      <c r="I105" s="39"/>
      <c r="J105" s="38"/>
      <c r="K105" s="10" t="s">
        <v>237</v>
      </c>
      <c r="L105" s="28" t="n">
        <f aca="false">($E105*$G105+$I105)*(1+IF($K105="N",0,INPUTS!$C$23))</f>
        <v>0</v>
      </c>
      <c r="M105" s="41" t="n">
        <f aca="false">$E105*$H105+$J105</f>
        <v>0</v>
      </c>
      <c r="N105" s="28" t="n">
        <f aca="false">$M105*IF(OR($B105="V",$B105="AC"),'LABOUR RATES'!$E$26,'LABOUR RATES'!$E$11)</f>
        <v>0</v>
      </c>
      <c r="O105" s="28" t="n">
        <f aca="false">$M105*IF(OR($B105="V",$B105="AC"),'LABOUR RATES'!$C$27,'LABOUR RATES'!$C$12)</f>
        <v>0</v>
      </c>
      <c r="P105" s="42" t="n">
        <f aca="false">$L105+$N105+$O105</f>
        <v>0</v>
      </c>
      <c r="Q105" s="43" t="str">
        <f aca="false">IF(OR($B105="",$C105=""),"",IFERROR(SUMIFS('KNOWIFY REVIEW'!$AF$4:$AF$400,'KNOWIFY REVIEW'!$AB$4:$AB$400,$B105,'KNOWIFY REVIEW'!$AC$4:$AC$400,$C105,'KNOWIFY REVIEW'!$AD$4:$AD$400,1)/SUMIFS('KNOWIFY REVIEW'!$AE$4:$AE$400,'KNOWIFY REVIEW'!$AB$4:$AB$400,$B105,'KNOWIFY REVIEW'!$AC$4:$AC$400,$C105,'KNOWIFY REVIEW'!$AD$4:$AD$400,1),""))</f>
        <v/>
      </c>
      <c r="R105" s="43" t="str">
        <f aca="false">IF(OR($B105="",$C105=""),"",IFERROR(SUMIFS('KNOWIFY REVIEW'!$AH$4:$AH$400,'KNOWIFY REVIEW'!$AB$4:$AB$400,$B105,'KNOWIFY REVIEW'!$AC$4:$AC$400,IF(OR($C105=INPUTS!$B$69,$C105=INPUTS!$B$70),INPUTS!$B$71,$C105),'KNOWIFY REVIEW'!$AD$4:$AD$400,1)/SUMIFS('KNOWIFY REVIEW'!$AG$4:$AG$400,'KNOWIFY REVIEW'!$AB$4:$AB$400,$B105,'KNOWIFY REVIEW'!$AC$4:$AC$400,IF(OR($C105=INPUTS!$B$69,$C105=INPUTS!$B$70),INPUTS!$B$71,$C105),'KNOWIFY REVIEW'!$AD$4:$AD$400,1),""))</f>
        <v/>
      </c>
      <c r="S105" s="24" t="str">
        <f aca="false">IF(MAX(N($Q105),N($R105))&gt;1.1,"Past job ran over budget","")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38"/>
      <c r="F106" s="10"/>
      <c r="G106" s="39"/>
      <c r="H106" s="40"/>
      <c r="I106" s="39"/>
      <c r="J106" s="38"/>
      <c r="K106" s="10" t="s">
        <v>237</v>
      </c>
      <c r="L106" s="28" t="n">
        <f aca="false">($E106*$G106+$I106)*(1+IF($K106="N",0,INPUTS!$C$23))</f>
        <v>0</v>
      </c>
      <c r="M106" s="41" t="n">
        <f aca="false">$E106*$H106+$J106</f>
        <v>0</v>
      </c>
      <c r="N106" s="28" t="n">
        <f aca="false">$M106*IF(OR($B106="V",$B106="AC"),'LABOUR RATES'!$E$26,'LABOUR RATES'!$E$11)</f>
        <v>0</v>
      </c>
      <c r="O106" s="28" t="n">
        <f aca="false">$M106*IF(OR($B106="V",$B106="AC"),'LABOUR RATES'!$C$27,'LABOUR RATES'!$C$12)</f>
        <v>0</v>
      </c>
      <c r="P106" s="42" t="n">
        <f aca="false">$L106+$N106+$O106</f>
        <v>0</v>
      </c>
      <c r="Q106" s="43" t="str">
        <f aca="false">IF(OR($B106="",$C106=""),"",IFERROR(SUMIFS('KNOWIFY REVIEW'!$AF$4:$AF$400,'KNOWIFY REVIEW'!$AB$4:$AB$400,$B106,'KNOWIFY REVIEW'!$AC$4:$AC$400,$C106,'KNOWIFY REVIEW'!$AD$4:$AD$400,1)/SUMIFS('KNOWIFY REVIEW'!$AE$4:$AE$400,'KNOWIFY REVIEW'!$AB$4:$AB$400,$B106,'KNOWIFY REVIEW'!$AC$4:$AC$400,$C106,'KNOWIFY REVIEW'!$AD$4:$AD$400,1),""))</f>
        <v/>
      </c>
      <c r="R106" s="43" t="str">
        <f aca="false">IF(OR($B106="",$C106=""),"",IFERROR(SUMIFS('KNOWIFY REVIEW'!$AH$4:$AH$400,'KNOWIFY REVIEW'!$AB$4:$AB$400,$B106,'KNOWIFY REVIEW'!$AC$4:$AC$400,IF(OR($C106=INPUTS!$B$69,$C106=INPUTS!$B$70),INPUTS!$B$71,$C106),'KNOWIFY REVIEW'!$AD$4:$AD$400,1)/SUMIFS('KNOWIFY REVIEW'!$AG$4:$AG$400,'KNOWIFY REVIEW'!$AB$4:$AB$400,$B106,'KNOWIFY REVIEW'!$AC$4:$AC$400,IF(OR($C106=INPUTS!$B$69,$C106=INPUTS!$B$70),INPUTS!$B$71,$C106),'KNOWIFY REVIEW'!$AD$4:$AD$400,1),""))</f>
        <v/>
      </c>
      <c r="S106" s="24" t="str">
        <f aca="false">IF(MAX(N($Q106),N($R106))&gt;1.1,"Past job ran over budget","")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38"/>
      <c r="F107" s="10"/>
      <c r="G107" s="39"/>
      <c r="H107" s="40"/>
      <c r="I107" s="39"/>
      <c r="J107" s="38"/>
      <c r="K107" s="10" t="s">
        <v>237</v>
      </c>
      <c r="L107" s="28" t="n">
        <f aca="false">($E107*$G107+$I107)*(1+IF($K107="N",0,INPUTS!$C$23))</f>
        <v>0</v>
      </c>
      <c r="M107" s="41" t="n">
        <f aca="false">$E107*$H107+$J107</f>
        <v>0</v>
      </c>
      <c r="N107" s="28" t="n">
        <f aca="false">$M107*IF(OR($B107="V",$B107="AC"),'LABOUR RATES'!$E$26,'LABOUR RATES'!$E$11)</f>
        <v>0</v>
      </c>
      <c r="O107" s="28" t="n">
        <f aca="false">$M107*IF(OR($B107="V",$B107="AC"),'LABOUR RATES'!$C$27,'LABOUR RATES'!$C$12)</f>
        <v>0</v>
      </c>
      <c r="P107" s="42" t="n">
        <f aca="false">$L107+$N107+$O107</f>
        <v>0</v>
      </c>
      <c r="Q107" s="43" t="str">
        <f aca="false">IF(OR($B107="",$C107=""),"",IFERROR(SUMIFS('KNOWIFY REVIEW'!$AF$4:$AF$400,'KNOWIFY REVIEW'!$AB$4:$AB$400,$B107,'KNOWIFY REVIEW'!$AC$4:$AC$400,$C107,'KNOWIFY REVIEW'!$AD$4:$AD$400,1)/SUMIFS('KNOWIFY REVIEW'!$AE$4:$AE$400,'KNOWIFY REVIEW'!$AB$4:$AB$400,$B107,'KNOWIFY REVIEW'!$AC$4:$AC$400,$C107,'KNOWIFY REVIEW'!$AD$4:$AD$400,1),""))</f>
        <v/>
      </c>
      <c r="R107" s="43" t="str">
        <f aca="false">IF(OR($B107="",$C107=""),"",IFERROR(SUMIFS('KNOWIFY REVIEW'!$AH$4:$AH$400,'KNOWIFY REVIEW'!$AB$4:$AB$400,$B107,'KNOWIFY REVIEW'!$AC$4:$AC$400,IF(OR($C107=INPUTS!$B$69,$C107=INPUTS!$B$70),INPUTS!$B$71,$C107),'KNOWIFY REVIEW'!$AD$4:$AD$400,1)/SUMIFS('KNOWIFY REVIEW'!$AG$4:$AG$400,'KNOWIFY REVIEW'!$AB$4:$AB$400,$B107,'KNOWIFY REVIEW'!$AC$4:$AC$400,IF(OR($C107=INPUTS!$B$69,$C107=INPUTS!$B$70),INPUTS!$B$71,$C107),'KNOWIFY REVIEW'!$AD$4:$AD$400,1),""))</f>
        <v/>
      </c>
      <c r="S107" s="24" t="str">
        <f aca="false">IF(MAX(N($Q107),N($R107))&gt;1.1,"Past job ran over budget","")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38"/>
      <c r="F108" s="10"/>
      <c r="G108" s="39"/>
      <c r="H108" s="40"/>
      <c r="I108" s="39"/>
      <c r="J108" s="38"/>
      <c r="K108" s="10" t="s">
        <v>237</v>
      </c>
      <c r="L108" s="28" t="n">
        <f aca="false">($E108*$G108+$I108)*(1+IF($K108="N",0,INPUTS!$C$23))</f>
        <v>0</v>
      </c>
      <c r="M108" s="41" t="n">
        <f aca="false">$E108*$H108+$J108</f>
        <v>0</v>
      </c>
      <c r="N108" s="28" t="n">
        <f aca="false">$M108*IF(OR($B108="V",$B108="AC"),'LABOUR RATES'!$E$26,'LABOUR RATES'!$E$11)</f>
        <v>0</v>
      </c>
      <c r="O108" s="28" t="n">
        <f aca="false">$M108*IF(OR($B108="V",$B108="AC"),'LABOUR RATES'!$C$27,'LABOUR RATES'!$C$12)</f>
        <v>0</v>
      </c>
      <c r="P108" s="42" t="n">
        <f aca="false">$L108+$N108+$O108</f>
        <v>0</v>
      </c>
      <c r="Q108" s="43" t="str">
        <f aca="false">IF(OR($B108="",$C108=""),"",IFERROR(SUMIFS('KNOWIFY REVIEW'!$AF$4:$AF$400,'KNOWIFY REVIEW'!$AB$4:$AB$400,$B108,'KNOWIFY REVIEW'!$AC$4:$AC$400,$C108,'KNOWIFY REVIEW'!$AD$4:$AD$400,1)/SUMIFS('KNOWIFY REVIEW'!$AE$4:$AE$400,'KNOWIFY REVIEW'!$AB$4:$AB$400,$B108,'KNOWIFY REVIEW'!$AC$4:$AC$400,$C108,'KNOWIFY REVIEW'!$AD$4:$AD$400,1),""))</f>
        <v/>
      </c>
      <c r="R108" s="43" t="str">
        <f aca="false">IF(OR($B108="",$C108=""),"",IFERROR(SUMIFS('KNOWIFY REVIEW'!$AH$4:$AH$400,'KNOWIFY REVIEW'!$AB$4:$AB$400,$B108,'KNOWIFY REVIEW'!$AC$4:$AC$400,IF(OR($C108=INPUTS!$B$69,$C108=INPUTS!$B$70),INPUTS!$B$71,$C108),'KNOWIFY REVIEW'!$AD$4:$AD$400,1)/SUMIFS('KNOWIFY REVIEW'!$AG$4:$AG$400,'KNOWIFY REVIEW'!$AB$4:$AB$400,$B108,'KNOWIFY REVIEW'!$AC$4:$AC$400,IF(OR($C108=INPUTS!$B$69,$C108=INPUTS!$B$70),INPUTS!$B$71,$C108),'KNOWIFY REVIEW'!$AD$4:$AD$400,1),""))</f>
        <v/>
      </c>
      <c r="S108" s="24" t="str">
        <f aca="false">IF(MAX(N($Q108),N($R108))&gt;1.1,"Past job ran over budget","")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38"/>
      <c r="F109" s="10"/>
      <c r="G109" s="39"/>
      <c r="H109" s="40"/>
      <c r="I109" s="39"/>
      <c r="J109" s="38"/>
      <c r="K109" s="10" t="s">
        <v>237</v>
      </c>
      <c r="L109" s="28" t="n">
        <f aca="false">($E109*$G109+$I109)*(1+IF($K109="N",0,INPUTS!$C$23))</f>
        <v>0</v>
      </c>
      <c r="M109" s="41" t="n">
        <f aca="false">$E109*$H109+$J109</f>
        <v>0</v>
      </c>
      <c r="N109" s="28" t="n">
        <f aca="false">$M109*IF(OR($B109="V",$B109="AC"),'LABOUR RATES'!$E$26,'LABOUR RATES'!$E$11)</f>
        <v>0</v>
      </c>
      <c r="O109" s="28" t="n">
        <f aca="false">$M109*IF(OR($B109="V",$B109="AC"),'LABOUR RATES'!$C$27,'LABOUR RATES'!$C$12)</f>
        <v>0</v>
      </c>
      <c r="P109" s="42" t="n">
        <f aca="false">$L109+$N109+$O109</f>
        <v>0</v>
      </c>
      <c r="Q109" s="43" t="str">
        <f aca="false">IF(OR($B109="",$C109=""),"",IFERROR(SUMIFS('KNOWIFY REVIEW'!$AF$4:$AF$400,'KNOWIFY REVIEW'!$AB$4:$AB$400,$B109,'KNOWIFY REVIEW'!$AC$4:$AC$400,$C109,'KNOWIFY REVIEW'!$AD$4:$AD$400,1)/SUMIFS('KNOWIFY REVIEW'!$AE$4:$AE$400,'KNOWIFY REVIEW'!$AB$4:$AB$400,$B109,'KNOWIFY REVIEW'!$AC$4:$AC$400,$C109,'KNOWIFY REVIEW'!$AD$4:$AD$400,1),""))</f>
        <v/>
      </c>
      <c r="R109" s="43" t="str">
        <f aca="false">IF(OR($B109="",$C109=""),"",IFERROR(SUMIFS('KNOWIFY REVIEW'!$AH$4:$AH$400,'KNOWIFY REVIEW'!$AB$4:$AB$400,$B109,'KNOWIFY REVIEW'!$AC$4:$AC$400,IF(OR($C109=INPUTS!$B$69,$C109=INPUTS!$B$70),INPUTS!$B$71,$C109),'KNOWIFY REVIEW'!$AD$4:$AD$400,1)/SUMIFS('KNOWIFY REVIEW'!$AG$4:$AG$400,'KNOWIFY REVIEW'!$AB$4:$AB$400,$B109,'KNOWIFY REVIEW'!$AC$4:$AC$400,IF(OR($C109=INPUTS!$B$69,$C109=INPUTS!$B$70),INPUTS!$B$71,$C109),'KNOWIFY REVIEW'!$AD$4:$AD$400,1),""))</f>
        <v/>
      </c>
      <c r="S109" s="24" t="str">
        <f aca="false">IF(MAX(N($Q109),N($R109))&gt;1.1,"Past job ran over budget","")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38"/>
      <c r="F110" s="10"/>
      <c r="G110" s="39"/>
      <c r="H110" s="40"/>
      <c r="I110" s="39"/>
      <c r="J110" s="38"/>
      <c r="K110" s="10" t="s">
        <v>237</v>
      </c>
      <c r="L110" s="28" t="n">
        <f aca="false">($E110*$G110+$I110)*(1+IF($K110="N",0,INPUTS!$C$23))</f>
        <v>0</v>
      </c>
      <c r="M110" s="41" t="n">
        <f aca="false">$E110*$H110+$J110</f>
        <v>0</v>
      </c>
      <c r="N110" s="28" t="n">
        <f aca="false">$M110*IF(OR($B110="V",$B110="AC"),'LABOUR RATES'!$E$26,'LABOUR RATES'!$E$11)</f>
        <v>0</v>
      </c>
      <c r="O110" s="28" t="n">
        <f aca="false">$M110*IF(OR($B110="V",$B110="AC"),'LABOUR RATES'!$C$27,'LABOUR RATES'!$C$12)</f>
        <v>0</v>
      </c>
      <c r="P110" s="42" t="n">
        <f aca="false">$L110+$N110+$O110</f>
        <v>0</v>
      </c>
      <c r="Q110" s="43" t="str">
        <f aca="false">IF(OR($B110="",$C110=""),"",IFERROR(SUMIFS('KNOWIFY REVIEW'!$AF$4:$AF$400,'KNOWIFY REVIEW'!$AB$4:$AB$400,$B110,'KNOWIFY REVIEW'!$AC$4:$AC$400,$C110,'KNOWIFY REVIEW'!$AD$4:$AD$400,1)/SUMIFS('KNOWIFY REVIEW'!$AE$4:$AE$400,'KNOWIFY REVIEW'!$AB$4:$AB$400,$B110,'KNOWIFY REVIEW'!$AC$4:$AC$400,$C110,'KNOWIFY REVIEW'!$AD$4:$AD$400,1),""))</f>
        <v/>
      </c>
      <c r="R110" s="43" t="str">
        <f aca="false">IF(OR($B110="",$C110=""),"",IFERROR(SUMIFS('KNOWIFY REVIEW'!$AH$4:$AH$400,'KNOWIFY REVIEW'!$AB$4:$AB$400,$B110,'KNOWIFY REVIEW'!$AC$4:$AC$400,IF(OR($C110=INPUTS!$B$69,$C110=INPUTS!$B$70),INPUTS!$B$71,$C110),'KNOWIFY REVIEW'!$AD$4:$AD$400,1)/SUMIFS('KNOWIFY REVIEW'!$AG$4:$AG$400,'KNOWIFY REVIEW'!$AB$4:$AB$400,$B110,'KNOWIFY REVIEW'!$AC$4:$AC$400,IF(OR($C110=INPUTS!$B$69,$C110=INPUTS!$B$70),INPUTS!$B$71,$C110),'KNOWIFY REVIEW'!$AD$4:$AD$400,1),""))</f>
        <v/>
      </c>
      <c r="S110" s="24" t="str">
        <f aca="false">IF(MAX(N($Q110),N($R110))&gt;1.1,"Past job ran over budget","")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38"/>
      <c r="F111" s="10"/>
      <c r="G111" s="39"/>
      <c r="H111" s="40"/>
      <c r="I111" s="39"/>
      <c r="J111" s="38"/>
      <c r="K111" s="10" t="s">
        <v>237</v>
      </c>
      <c r="L111" s="28" t="n">
        <f aca="false">($E111*$G111+$I111)*(1+IF($K111="N",0,INPUTS!$C$23))</f>
        <v>0</v>
      </c>
      <c r="M111" s="41" t="n">
        <f aca="false">$E111*$H111+$J111</f>
        <v>0</v>
      </c>
      <c r="N111" s="28" t="n">
        <f aca="false">$M111*IF(OR($B111="V",$B111="AC"),'LABOUR RATES'!$E$26,'LABOUR RATES'!$E$11)</f>
        <v>0</v>
      </c>
      <c r="O111" s="28" t="n">
        <f aca="false">$M111*IF(OR($B111="V",$B111="AC"),'LABOUR RATES'!$C$27,'LABOUR RATES'!$C$12)</f>
        <v>0</v>
      </c>
      <c r="P111" s="42" t="n">
        <f aca="false">$L111+$N111+$O111</f>
        <v>0</v>
      </c>
      <c r="Q111" s="43" t="str">
        <f aca="false">IF(OR($B111="",$C111=""),"",IFERROR(SUMIFS('KNOWIFY REVIEW'!$AF$4:$AF$400,'KNOWIFY REVIEW'!$AB$4:$AB$400,$B111,'KNOWIFY REVIEW'!$AC$4:$AC$400,$C111,'KNOWIFY REVIEW'!$AD$4:$AD$400,1)/SUMIFS('KNOWIFY REVIEW'!$AE$4:$AE$400,'KNOWIFY REVIEW'!$AB$4:$AB$400,$B111,'KNOWIFY REVIEW'!$AC$4:$AC$400,$C111,'KNOWIFY REVIEW'!$AD$4:$AD$400,1),""))</f>
        <v/>
      </c>
      <c r="R111" s="43" t="str">
        <f aca="false">IF(OR($B111="",$C111=""),"",IFERROR(SUMIFS('KNOWIFY REVIEW'!$AH$4:$AH$400,'KNOWIFY REVIEW'!$AB$4:$AB$400,$B111,'KNOWIFY REVIEW'!$AC$4:$AC$400,IF(OR($C111=INPUTS!$B$69,$C111=INPUTS!$B$70),INPUTS!$B$71,$C111),'KNOWIFY REVIEW'!$AD$4:$AD$400,1)/SUMIFS('KNOWIFY REVIEW'!$AG$4:$AG$400,'KNOWIFY REVIEW'!$AB$4:$AB$400,$B111,'KNOWIFY REVIEW'!$AC$4:$AC$400,IF(OR($C111=INPUTS!$B$69,$C111=INPUTS!$B$70),INPUTS!$B$71,$C111),'KNOWIFY REVIEW'!$AD$4:$AD$400,1),""))</f>
        <v/>
      </c>
      <c r="S111" s="24" t="str">
        <f aca="false">IF(MAX(N($Q111),N($R111))&gt;1.1,"Past job ran over budget","")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38"/>
      <c r="F112" s="10"/>
      <c r="G112" s="39"/>
      <c r="H112" s="40"/>
      <c r="I112" s="39"/>
      <c r="J112" s="38"/>
      <c r="K112" s="10" t="s">
        <v>237</v>
      </c>
      <c r="L112" s="28" t="n">
        <f aca="false">($E112*$G112+$I112)*(1+IF($K112="N",0,INPUTS!$C$23))</f>
        <v>0</v>
      </c>
      <c r="M112" s="41" t="n">
        <f aca="false">$E112*$H112+$J112</f>
        <v>0</v>
      </c>
      <c r="N112" s="28" t="n">
        <f aca="false">$M112*IF(OR($B112="V",$B112="AC"),'LABOUR RATES'!$E$26,'LABOUR RATES'!$E$11)</f>
        <v>0</v>
      </c>
      <c r="O112" s="28" t="n">
        <f aca="false">$M112*IF(OR($B112="V",$B112="AC"),'LABOUR RATES'!$C$27,'LABOUR RATES'!$C$12)</f>
        <v>0</v>
      </c>
      <c r="P112" s="42" t="n">
        <f aca="false">$L112+$N112+$O112</f>
        <v>0</v>
      </c>
      <c r="Q112" s="43" t="str">
        <f aca="false">IF(OR($B112="",$C112=""),"",IFERROR(SUMIFS('KNOWIFY REVIEW'!$AF$4:$AF$400,'KNOWIFY REVIEW'!$AB$4:$AB$400,$B112,'KNOWIFY REVIEW'!$AC$4:$AC$400,$C112,'KNOWIFY REVIEW'!$AD$4:$AD$400,1)/SUMIFS('KNOWIFY REVIEW'!$AE$4:$AE$400,'KNOWIFY REVIEW'!$AB$4:$AB$400,$B112,'KNOWIFY REVIEW'!$AC$4:$AC$400,$C112,'KNOWIFY REVIEW'!$AD$4:$AD$400,1),""))</f>
        <v/>
      </c>
      <c r="R112" s="43" t="str">
        <f aca="false">IF(OR($B112="",$C112=""),"",IFERROR(SUMIFS('KNOWIFY REVIEW'!$AH$4:$AH$400,'KNOWIFY REVIEW'!$AB$4:$AB$400,$B112,'KNOWIFY REVIEW'!$AC$4:$AC$400,IF(OR($C112=INPUTS!$B$69,$C112=INPUTS!$B$70),INPUTS!$B$71,$C112),'KNOWIFY REVIEW'!$AD$4:$AD$400,1)/SUMIFS('KNOWIFY REVIEW'!$AG$4:$AG$400,'KNOWIFY REVIEW'!$AB$4:$AB$400,$B112,'KNOWIFY REVIEW'!$AC$4:$AC$400,IF(OR($C112=INPUTS!$B$69,$C112=INPUTS!$B$70),INPUTS!$B$71,$C112),'KNOWIFY REVIEW'!$AD$4:$AD$400,1),""))</f>
        <v/>
      </c>
      <c r="S112" s="24" t="str">
        <f aca="false">IF(MAX(N($Q112),N($R112))&gt;1.1,"Past job ran over budget","")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38"/>
      <c r="F113" s="10"/>
      <c r="G113" s="39"/>
      <c r="H113" s="40"/>
      <c r="I113" s="39"/>
      <c r="J113" s="38"/>
      <c r="K113" s="10" t="s">
        <v>237</v>
      </c>
      <c r="L113" s="28" t="n">
        <f aca="false">($E113*$G113+$I113)*(1+IF($K113="N",0,INPUTS!$C$23))</f>
        <v>0</v>
      </c>
      <c r="M113" s="41" t="n">
        <f aca="false">$E113*$H113+$J113</f>
        <v>0</v>
      </c>
      <c r="N113" s="28" t="n">
        <f aca="false">$M113*IF(OR($B113="V",$B113="AC"),'LABOUR RATES'!$E$26,'LABOUR RATES'!$E$11)</f>
        <v>0</v>
      </c>
      <c r="O113" s="28" t="n">
        <f aca="false">$M113*IF(OR($B113="V",$B113="AC"),'LABOUR RATES'!$C$27,'LABOUR RATES'!$C$12)</f>
        <v>0</v>
      </c>
      <c r="P113" s="42" t="n">
        <f aca="false">$L113+$N113+$O113</f>
        <v>0</v>
      </c>
      <c r="Q113" s="43" t="str">
        <f aca="false">IF(OR($B113="",$C113=""),"",IFERROR(SUMIFS('KNOWIFY REVIEW'!$AF$4:$AF$400,'KNOWIFY REVIEW'!$AB$4:$AB$400,$B113,'KNOWIFY REVIEW'!$AC$4:$AC$400,$C113,'KNOWIFY REVIEW'!$AD$4:$AD$400,1)/SUMIFS('KNOWIFY REVIEW'!$AE$4:$AE$400,'KNOWIFY REVIEW'!$AB$4:$AB$400,$B113,'KNOWIFY REVIEW'!$AC$4:$AC$400,$C113,'KNOWIFY REVIEW'!$AD$4:$AD$400,1),""))</f>
        <v/>
      </c>
      <c r="R113" s="43" t="str">
        <f aca="false">IF(OR($B113="",$C113=""),"",IFERROR(SUMIFS('KNOWIFY REVIEW'!$AH$4:$AH$400,'KNOWIFY REVIEW'!$AB$4:$AB$400,$B113,'KNOWIFY REVIEW'!$AC$4:$AC$400,IF(OR($C113=INPUTS!$B$69,$C113=INPUTS!$B$70),INPUTS!$B$71,$C113),'KNOWIFY REVIEW'!$AD$4:$AD$400,1)/SUMIFS('KNOWIFY REVIEW'!$AG$4:$AG$400,'KNOWIFY REVIEW'!$AB$4:$AB$400,$B113,'KNOWIFY REVIEW'!$AC$4:$AC$400,IF(OR($C113=INPUTS!$B$69,$C113=INPUTS!$B$70),INPUTS!$B$71,$C113),'KNOWIFY REVIEW'!$AD$4:$AD$400,1),""))</f>
        <v/>
      </c>
      <c r="S113" s="24" t="str">
        <f aca="false">IF(MAX(N($Q113),N($R113))&gt;1.1,"Past job ran over budget","")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38"/>
      <c r="F114" s="10"/>
      <c r="G114" s="39"/>
      <c r="H114" s="40"/>
      <c r="I114" s="39"/>
      <c r="J114" s="38"/>
      <c r="K114" s="10" t="s">
        <v>237</v>
      </c>
      <c r="L114" s="28" t="n">
        <f aca="false">($E114*$G114+$I114)*(1+IF($K114="N",0,INPUTS!$C$23))</f>
        <v>0</v>
      </c>
      <c r="M114" s="41" t="n">
        <f aca="false">$E114*$H114+$J114</f>
        <v>0</v>
      </c>
      <c r="N114" s="28" t="n">
        <f aca="false">$M114*IF(OR($B114="V",$B114="AC"),'LABOUR RATES'!$E$26,'LABOUR RATES'!$E$11)</f>
        <v>0</v>
      </c>
      <c r="O114" s="28" t="n">
        <f aca="false">$M114*IF(OR($B114="V",$B114="AC"),'LABOUR RATES'!$C$27,'LABOUR RATES'!$C$12)</f>
        <v>0</v>
      </c>
      <c r="P114" s="42" t="n">
        <f aca="false">$L114+$N114+$O114</f>
        <v>0</v>
      </c>
      <c r="Q114" s="43" t="str">
        <f aca="false">IF(OR($B114="",$C114=""),"",IFERROR(SUMIFS('KNOWIFY REVIEW'!$AF$4:$AF$400,'KNOWIFY REVIEW'!$AB$4:$AB$400,$B114,'KNOWIFY REVIEW'!$AC$4:$AC$400,$C114,'KNOWIFY REVIEW'!$AD$4:$AD$400,1)/SUMIFS('KNOWIFY REVIEW'!$AE$4:$AE$400,'KNOWIFY REVIEW'!$AB$4:$AB$400,$B114,'KNOWIFY REVIEW'!$AC$4:$AC$400,$C114,'KNOWIFY REVIEW'!$AD$4:$AD$400,1),""))</f>
        <v/>
      </c>
      <c r="R114" s="43" t="str">
        <f aca="false">IF(OR($B114="",$C114=""),"",IFERROR(SUMIFS('KNOWIFY REVIEW'!$AH$4:$AH$400,'KNOWIFY REVIEW'!$AB$4:$AB$400,$B114,'KNOWIFY REVIEW'!$AC$4:$AC$400,IF(OR($C114=INPUTS!$B$69,$C114=INPUTS!$B$70),INPUTS!$B$71,$C114),'KNOWIFY REVIEW'!$AD$4:$AD$400,1)/SUMIFS('KNOWIFY REVIEW'!$AG$4:$AG$400,'KNOWIFY REVIEW'!$AB$4:$AB$400,$B114,'KNOWIFY REVIEW'!$AC$4:$AC$400,IF(OR($C114=INPUTS!$B$69,$C114=INPUTS!$B$70),INPUTS!$B$71,$C114),'KNOWIFY REVIEW'!$AD$4:$AD$400,1),""))</f>
        <v/>
      </c>
      <c r="S114" s="24" t="str">
        <f aca="false">IF(MAX(N($Q114),N($R114))&gt;1.1,"Past job ran over budget","")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38"/>
      <c r="F115" s="10"/>
      <c r="G115" s="39"/>
      <c r="H115" s="40"/>
      <c r="I115" s="39"/>
      <c r="J115" s="38"/>
      <c r="K115" s="10" t="s">
        <v>237</v>
      </c>
      <c r="L115" s="28" t="n">
        <f aca="false">($E115*$G115+$I115)*(1+IF($K115="N",0,INPUTS!$C$23))</f>
        <v>0</v>
      </c>
      <c r="M115" s="41" t="n">
        <f aca="false">$E115*$H115+$J115</f>
        <v>0</v>
      </c>
      <c r="N115" s="28" t="n">
        <f aca="false">$M115*IF(OR($B115="V",$B115="AC"),'LABOUR RATES'!$E$26,'LABOUR RATES'!$E$11)</f>
        <v>0</v>
      </c>
      <c r="O115" s="28" t="n">
        <f aca="false">$M115*IF(OR($B115="V",$B115="AC"),'LABOUR RATES'!$C$27,'LABOUR RATES'!$C$12)</f>
        <v>0</v>
      </c>
      <c r="P115" s="42" t="n">
        <f aca="false">$L115+$N115+$O115</f>
        <v>0</v>
      </c>
      <c r="Q115" s="43" t="str">
        <f aca="false">IF(OR($B115="",$C115=""),"",IFERROR(SUMIFS('KNOWIFY REVIEW'!$AF$4:$AF$400,'KNOWIFY REVIEW'!$AB$4:$AB$400,$B115,'KNOWIFY REVIEW'!$AC$4:$AC$400,$C115,'KNOWIFY REVIEW'!$AD$4:$AD$400,1)/SUMIFS('KNOWIFY REVIEW'!$AE$4:$AE$400,'KNOWIFY REVIEW'!$AB$4:$AB$400,$B115,'KNOWIFY REVIEW'!$AC$4:$AC$400,$C115,'KNOWIFY REVIEW'!$AD$4:$AD$400,1),""))</f>
        <v/>
      </c>
      <c r="R115" s="43" t="str">
        <f aca="false">IF(OR($B115="",$C115=""),"",IFERROR(SUMIFS('KNOWIFY REVIEW'!$AH$4:$AH$400,'KNOWIFY REVIEW'!$AB$4:$AB$400,$B115,'KNOWIFY REVIEW'!$AC$4:$AC$400,IF(OR($C115=INPUTS!$B$69,$C115=INPUTS!$B$70),INPUTS!$B$71,$C115),'KNOWIFY REVIEW'!$AD$4:$AD$400,1)/SUMIFS('KNOWIFY REVIEW'!$AG$4:$AG$400,'KNOWIFY REVIEW'!$AB$4:$AB$400,$B115,'KNOWIFY REVIEW'!$AC$4:$AC$400,IF(OR($C115=INPUTS!$B$69,$C115=INPUTS!$B$70),INPUTS!$B$71,$C115),'KNOWIFY REVIEW'!$AD$4:$AD$400,1),""))</f>
        <v/>
      </c>
      <c r="S115" s="24" t="str">
        <f aca="false">IF(MAX(N($Q115),N($R115))&gt;1.1,"Past job ran over budget","")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38"/>
      <c r="F116" s="10"/>
      <c r="G116" s="39"/>
      <c r="H116" s="40"/>
      <c r="I116" s="39"/>
      <c r="J116" s="38"/>
      <c r="K116" s="10" t="s">
        <v>237</v>
      </c>
      <c r="L116" s="28" t="n">
        <f aca="false">($E116*$G116+$I116)*(1+IF($K116="N",0,INPUTS!$C$23))</f>
        <v>0</v>
      </c>
      <c r="M116" s="41" t="n">
        <f aca="false">$E116*$H116+$J116</f>
        <v>0</v>
      </c>
      <c r="N116" s="28" t="n">
        <f aca="false">$M116*IF(OR($B116="V",$B116="AC"),'LABOUR RATES'!$E$26,'LABOUR RATES'!$E$11)</f>
        <v>0</v>
      </c>
      <c r="O116" s="28" t="n">
        <f aca="false">$M116*IF(OR($B116="V",$B116="AC"),'LABOUR RATES'!$C$27,'LABOUR RATES'!$C$12)</f>
        <v>0</v>
      </c>
      <c r="P116" s="42" t="n">
        <f aca="false">$L116+$N116+$O116</f>
        <v>0</v>
      </c>
      <c r="Q116" s="43" t="str">
        <f aca="false">IF(OR($B116="",$C116=""),"",IFERROR(SUMIFS('KNOWIFY REVIEW'!$AF$4:$AF$400,'KNOWIFY REVIEW'!$AB$4:$AB$400,$B116,'KNOWIFY REVIEW'!$AC$4:$AC$400,$C116,'KNOWIFY REVIEW'!$AD$4:$AD$400,1)/SUMIFS('KNOWIFY REVIEW'!$AE$4:$AE$400,'KNOWIFY REVIEW'!$AB$4:$AB$400,$B116,'KNOWIFY REVIEW'!$AC$4:$AC$400,$C116,'KNOWIFY REVIEW'!$AD$4:$AD$400,1),""))</f>
        <v/>
      </c>
      <c r="R116" s="43" t="str">
        <f aca="false">IF(OR($B116="",$C116=""),"",IFERROR(SUMIFS('KNOWIFY REVIEW'!$AH$4:$AH$400,'KNOWIFY REVIEW'!$AB$4:$AB$400,$B116,'KNOWIFY REVIEW'!$AC$4:$AC$400,IF(OR($C116=INPUTS!$B$69,$C116=INPUTS!$B$70),INPUTS!$B$71,$C116),'KNOWIFY REVIEW'!$AD$4:$AD$400,1)/SUMIFS('KNOWIFY REVIEW'!$AG$4:$AG$400,'KNOWIFY REVIEW'!$AB$4:$AB$400,$B116,'KNOWIFY REVIEW'!$AC$4:$AC$400,IF(OR($C116=INPUTS!$B$69,$C116=INPUTS!$B$70),INPUTS!$B$71,$C116),'KNOWIFY REVIEW'!$AD$4:$AD$400,1),""))</f>
        <v/>
      </c>
      <c r="S116" s="24" t="str">
        <f aca="false">IF(MAX(N($Q116),N($R116))&gt;1.1,"Past job ran over budget","")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38"/>
      <c r="F117" s="10"/>
      <c r="G117" s="39"/>
      <c r="H117" s="40"/>
      <c r="I117" s="39"/>
      <c r="J117" s="38"/>
      <c r="K117" s="10" t="s">
        <v>237</v>
      </c>
      <c r="L117" s="28" t="n">
        <f aca="false">($E117*$G117+$I117)*(1+IF($K117="N",0,INPUTS!$C$23))</f>
        <v>0</v>
      </c>
      <c r="M117" s="41" t="n">
        <f aca="false">$E117*$H117+$J117</f>
        <v>0</v>
      </c>
      <c r="N117" s="28" t="n">
        <f aca="false">$M117*IF(OR($B117="V",$B117="AC"),'LABOUR RATES'!$E$26,'LABOUR RATES'!$E$11)</f>
        <v>0</v>
      </c>
      <c r="O117" s="28" t="n">
        <f aca="false">$M117*IF(OR($B117="V",$B117="AC"),'LABOUR RATES'!$C$27,'LABOUR RATES'!$C$12)</f>
        <v>0</v>
      </c>
      <c r="P117" s="42" t="n">
        <f aca="false">$L117+$N117+$O117</f>
        <v>0</v>
      </c>
      <c r="Q117" s="43" t="str">
        <f aca="false">IF(OR($B117="",$C117=""),"",IFERROR(SUMIFS('KNOWIFY REVIEW'!$AF$4:$AF$400,'KNOWIFY REVIEW'!$AB$4:$AB$400,$B117,'KNOWIFY REVIEW'!$AC$4:$AC$400,$C117,'KNOWIFY REVIEW'!$AD$4:$AD$400,1)/SUMIFS('KNOWIFY REVIEW'!$AE$4:$AE$400,'KNOWIFY REVIEW'!$AB$4:$AB$400,$B117,'KNOWIFY REVIEW'!$AC$4:$AC$400,$C117,'KNOWIFY REVIEW'!$AD$4:$AD$400,1),""))</f>
        <v/>
      </c>
      <c r="R117" s="43" t="str">
        <f aca="false">IF(OR($B117="",$C117=""),"",IFERROR(SUMIFS('KNOWIFY REVIEW'!$AH$4:$AH$400,'KNOWIFY REVIEW'!$AB$4:$AB$400,$B117,'KNOWIFY REVIEW'!$AC$4:$AC$400,IF(OR($C117=INPUTS!$B$69,$C117=INPUTS!$B$70),INPUTS!$B$71,$C117),'KNOWIFY REVIEW'!$AD$4:$AD$400,1)/SUMIFS('KNOWIFY REVIEW'!$AG$4:$AG$400,'KNOWIFY REVIEW'!$AB$4:$AB$400,$B117,'KNOWIFY REVIEW'!$AC$4:$AC$400,IF(OR($C117=INPUTS!$B$69,$C117=INPUTS!$B$70),INPUTS!$B$71,$C117),'KNOWIFY REVIEW'!$AD$4:$AD$400,1),""))</f>
        <v/>
      </c>
      <c r="S117" s="24" t="str">
        <f aca="false">IF(MAX(N($Q117),N($R117))&gt;1.1,"Past job ran over budget","")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38"/>
      <c r="F118" s="10"/>
      <c r="G118" s="39"/>
      <c r="H118" s="40"/>
      <c r="I118" s="39"/>
      <c r="J118" s="38"/>
      <c r="K118" s="10" t="s">
        <v>237</v>
      </c>
      <c r="L118" s="28" t="n">
        <f aca="false">($E118*$G118+$I118)*(1+IF($K118="N",0,INPUTS!$C$23))</f>
        <v>0</v>
      </c>
      <c r="M118" s="41" t="n">
        <f aca="false">$E118*$H118+$J118</f>
        <v>0</v>
      </c>
      <c r="N118" s="28" t="n">
        <f aca="false">$M118*IF(OR($B118="V",$B118="AC"),'LABOUR RATES'!$E$26,'LABOUR RATES'!$E$11)</f>
        <v>0</v>
      </c>
      <c r="O118" s="28" t="n">
        <f aca="false">$M118*IF(OR($B118="V",$B118="AC"),'LABOUR RATES'!$C$27,'LABOUR RATES'!$C$12)</f>
        <v>0</v>
      </c>
      <c r="P118" s="42" t="n">
        <f aca="false">$L118+$N118+$O118</f>
        <v>0</v>
      </c>
      <c r="Q118" s="43" t="str">
        <f aca="false">IF(OR($B118="",$C118=""),"",IFERROR(SUMIFS('KNOWIFY REVIEW'!$AF$4:$AF$400,'KNOWIFY REVIEW'!$AB$4:$AB$400,$B118,'KNOWIFY REVIEW'!$AC$4:$AC$400,$C118,'KNOWIFY REVIEW'!$AD$4:$AD$400,1)/SUMIFS('KNOWIFY REVIEW'!$AE$4:$AE$400,'KNOWIFY REVIEW'!$AB$4:$AB$400,$B118,'KNOWIFY REVIEW'!$AC$4:$AC$400,$C118,'KNOWIFY REVIEW'!$AD$4:$AD$400,1),""))</f>
        <v/>
      </c>
      <c r="R118" s="43" t="str">
        <f aca="false">IF(OR($B118="",$C118=""),"",IFERROR(SUMIFS('KNOWIFY REVIEW'!$AH$4:$AH$400,'KNOWIFY REVIEW'!$AB$4:$AB$400,$B118,'KNOWIFY REVIEW'!$AC$4:$AC$400,IF(OR($C118=INPUTS!$B$69,$C118=INPUTS!$B$70),INPUTS!$B$71,$C118),'KNOWIFY REVIEW'!$AD$4:$AD$400,1)/SUMIFS('KNOWIFY REVIEW'!$AG$4:$AG$400,'KNOWIFY REVIEW'!$AB$4:$AB$400,$B118,'KNOWIFY REVIEW'!$AC$4:$AC$400,IF(OR($C118=INPUTS!$B$69,$C118=INPUTS!$B$70),INPUTS!$B$71,$C118),'KNOWIFY REVIEW'!$AD$4:$AD$400,1),""))</f>
        <v/>
      </c>
      <c r="S118" s="24" t="str">
        <f aca="false">IF(MAX(N($Q118),N($R118))&gt;1.1,"Past job ran over budget","")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38"/>
      <c r="F119" s="10"/>
      <c r="G119" s="39"/>
      <c r="H119" s="40"/>
      <c r="I119" s="39"/>
      <c r="J119" s="38"/>
      <c r="K119" s="10" t="s">
        <v>237</v>
      </c>
      <c r="L119" s="28" t="n">
        <f aca="false">($E119*$G119+$I119)*(1+IF($K119="N",0,INPUTS!$C$23))</f>
        <v>0</v>
      </c>
      <c r="M119" s="41" t="n">
        <f aca="false">$E119*$H119+$J119</f>
        <v>0</v>
      </c>
      <c r="N119" s="28" t="n">
        <f aca="false">$M119*IF(OR($B119="V",$B119="AC"),'LABOUR RATES'!$E$26,'LABOUR RATES'!$E$11)</f>
        <v>0</v>
      </c>
      <c r="O119" s="28" t="n">
        <f aca="false">$M119*IF(OR($B119="V",$B119="AC"),'LABOUR RATES'!$C$27,'LABOUR RATES'!$C$12)</f>
        <v>0</v>
      </c>
      <c r="P119" s="42" t="n">
        <f aca="false">$L119+$N119+$O119</f>
        <v>0</v>
      </c>
      <c r="Q119" s="43" t="str">
        <f aca="false">IF(OR($B119="",$C119=""),"",IFERROR(SUMIFS('KNOWIFY REVIEW'!$AF$4:$AF$400,'KNOWIFY REVIEW'!$AB$4:$AB$400,$B119,'KNOWIFY REVIEW'!$AC$4:$AC$400,$C119,'KNOWIFY REVIEW'!$AD$4:$AD$400,1)/SUMIFS('KNOWIFY REVIEW'!$AE$4:$AE$400,'KNOWIFY REVIEW'!$AB$4:$AB$400,$B119,'KNOWIFY REVIEW'!$AC$4:$AC$400,$C119,'KNOWIFY REVIEW'!$AD$4:$AD$400,1),""))</f>
        <v/>
      </c>
      <c r="R119" s="43" t="str">
        <f aca="false">IF(OR($B119="",$C119=""),"",IFERROR(SUMIFS('KNOWIFY REVIEW'!$AH$4:$AH$400,'KNOWIFY REVIEW'!$AB$4:$AB$400,$B119,'KNOWIFY REVIEW'!$AC$4:$AC$400,IF(OR($C119=INPUTS!$B$69,$C119=INPUTS!$B$70),INPUTS!$B$71,$C119),'KNOWIFY REVIEW'!$AD$4:$AD$400,1)/SUMIFS('KNOWIFY REVIEW'!$AG$4:$AG$400,'KNOWIFY REVIEW'!$AB$4:$AB$400,$B119,'KNOWIFY REVIEW'!$AC$4:$AC$400,IF(OR($C119=INPUTS!$B$69,$C119=INPUTS!$B$70),INPUTS!$B$71,$C119),'KNOWIFY REVIEW'!$AD$4:$AD$400,1),""))</f>
        <v/>
      </c>
      <c r="S119" s="24" t="str">
        <f aca="false">IF(MAX(N($Q119),N($R119))&gt;1.1,"Past job ran over budget","")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38"/>
      <c r="F120" s="10"/>
      <c r="G120" s="39"/>
      <c r="H120" s="40"/>
      <c r="I120" s="39"/>
      <c r="J120" s="38"/>
      <c r="K120" s="10" t="s">
        <v>237</v>
      </c>
      <c r="L120" s="28" t="n">
        <f aca="false">($E120*$G120+$I120)*(1+IF($K120="N",0,INPUTS!$C$23))</f>
        <v>0</v>
      </c>
      <c r="M120" s="41" t="n">
        <f aca="false">$E120*$H120+$J120</f>
        <v>0</v>
      </c>
      <c r="N120" s="28" t="n">
        <f aca="false">$M120*IF(OR($B120="V",$B120="AC"),'LABOUR RATES'!$E$26,'LABOUR RATES'!$E$11)</f>
        <v>0</v>
      </c>
      <c r="O120" s="28" t="n">
        <f aca="false">$M120*IF(OR($B120="V",$B120="AC"),'LABOUR RATES'!$C$27,'LABOUR RATES'!$C$12)</f>
        <v>0</v>
      </c>
      <c r="P120" s="42" t="n">
        <f aca="false">$L120+$N120+$O120</f>
        <v>0</v>
      </c>
      <c r="Q120" s="43" t="str">
        <f aca="false">IF(OR($B120="",$C120=""),"",IFERROR(SUMIFS('KNOWIFY REVIEW'!$AF$4:$AF$400,'KNOWIFY REVIEW'!$AB$4:$AB$400,$B120,'KNOWIFY REVIEW'!$AC$4:$AC$400,$C120,'KNOWIFY REVIEW'!$AD$4:$AD$400,1)/SUMIFS('KNOWIFY REVIEW'!$AE$4:$AE$400,'KNOWIFY REVIEW'!$AB$4:$AB$400,$B120,'KNOWIFY REVIEW'!$AC$4:$AC$400,$C120,'KNOWIFY REVIEW'!$AD$4:$AD$400,1),""))</f>
        <v/>
      </c>
      <c r="R120" s="43" t="str">
        <f aca="false">IF(OR($B120="",$C120=""),"",IFERROR(SUMIFS('KNOWIFY REVIEW'!$AH$4:$AH$400,'KNOWIFY REVIEW'!$AB$4:$AB$400,$B120,'KNOWIFY REVIEW'!$AC$4:$AC$400,IF(OR($C120=INPUTS!$B$69,$C120=INPUTS!$B$70),INPUTS!$B$71,$C120),'KNOWIFY REVIEW'!$AD$4:$AD$400,1)/SUMIFS('KNOWIFY REVIEW'!$AG$4:$AG$400,'KNOWIFY REVIEW'!$AB$4:$AB$400,$B120,'KNOWIFY REVIEW'!$AC$4:$AC$400,IF(OR($C120=INPUTS!$B$69,$C120=INPUTS!$B$70),INPUTS!$B$71,$C120),'KNOWIFY REVIEW'!$AD$4:$AD$400,1),""))</f>
        <v/>
      </c>
      <c r="S120" s="24" t="str">
        <f aca="false">IF(MAX(N($Q120),N($R120))&gt;1.1,"Past job ran over budget","")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38"/>
      <c r="F121" s="10"/>
      <c r="G121" s="39"/>
      <c r="H121" s="40"/>
      <c r="I121" s="39"/>
      <c r="J121" s="38"/>
      <c r="K121" s="10" t="s">
        <v>237</v>
      </c>
      <c r="L121" s="28" t="n">
        <f aca="false">($E121*$G121+$I121)*(1+IF($K121="N",0,INPUTS!$C$23))</f>
        <v>0</v>
      </c>
      <c r="M121" s="41" t="n">
        <f aca="false">$E121*$H121+$J121</f>
        <v>0</v>
      </c>
      <c r="N121" s="28" t="n">
        <f aca="false">$M121*IF(OR($B121="V",$B121="AC"),'LABOUR RATES'!$E$26,'LABOUR RATES'!$E$11)</f>
        <v>0</v>
      </c>
      <c r="O121" s="28" t="n">
        <f aca="false">$M121*IF(OR($B121="V",$B121="AC"),'LABOUR RATES'!$C$27,'LABOUR RATES'!$C$12)</f>
        <v>0</v>
      </c>
      <c r="P121" s="42" t="n">
        <f aca="false">$L121+$N121+$O121</f>
        <v>0</v>
      </c>
      <c r="Q121" s="43" t="str">
        <f aca="false">IF(OR($B121="",$C121=""),"",IFERROR(SUMIFS('KNOWIFY REVIEW'!$AF$4:$AF$400,'KNOWIFY REVIEW'!$AB$4:$AB$400,$B121,'KNOWIFY REVIEW'!$AC$4:$AC$400,$C121,'KNOWIFY REVIEW'!$AD$4:$AD$400,1)/SUMIFS('KNOWIFY REVIEW'!$AE$4:$AE$400,'KNOWIFY REVIEW'!$AB$4:$AB$400,$B121,'KNOWIFY REVIEW'!$AC$4:$AC$400,$C121,'KNOWIFY REVIEW'!$AD$4:$AD$400,1),""))</f>
        <v/>
      </c>
      <c r="R121" s="43" t="str">
        <f aca="false">IF(OR($B121="",$C121=""),"",IFERROR(SUMIFS('KNOWIFY REVIEW'!$AH$4:$AH$400,'KNOWIFY REVIEW'!$AB$4:$AB$400,$B121,'KNOWIFY REVIEW'!$AC$4:$AC$400,IF(OR($C121=INPUTS!$B$69,$C121=INPUTS!$B$70),INPUTS!$B$71,$C121),'KNOWIFY REVIEW'!$AD$4:$AD$400,1)/SUMIFS('KNOWIFY REVIEW'!$AG$4:$AG$400,'KNOWIFY REVIEW'!$AB$4:$AB$400,$B121,'KNOWIFY REVIEW'!$AC$4:$AC$400,IF(OR($C121=INPUTS!$B$69,$C121=INPUTS!$B$70),INPUTS!$B$71,$C121),'KNOWIFY REVIEW'!$AD$4:$AD$400,1),""))</f>
        <v/>
      </c>
      <c r="S121" s="24" t="str">
        <f aca="false">IF(MAX(N($Q121),N($R121))&gt;1.1,"Past job ran over budget","")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38"/>
      <c r="F122" s="10"/>
      <c r="G122" s="39"/>
      <c r="H122" s="40"/>
      <c r="I122" s="39"/>
      <c r="J122" s="38"/>
      <c r="K122" s="10" t="s">
        <v>237</v>
      </c>
      <c r="L122" s="28" t="n">
        <f aca="false">($E122*$G122+$I122)*(1+IF($K122="N",0,INPUTS!$C$23))</f>
        <v>0</v>
      </c>
      <c r="M122" s="41" t="n">
        <f aca="false">$E122*$H122+$J122</f>
        <v>0</v>
      </c>
      <c r="N122" s="28" t="n">
        <f aca="false">$M122*IF(OR($B122="V",$B122="AC"),'LABOUR RATES'!$E$26,'LABOUR RATES'!$E$11)</f>
        <v>0</v>
      </c>
      <c r="O122" s="28" t="n">
        <f aca="false">$M122*IF(OR($B122="V",$B122="AC"),'LABOUR RATES'!$C$27,'LABOUR RATES'!$C$12)</f>
        <v>0</v>
      </c>
      <c r="P122" s="42" t="n">
        <f aca="false">$L122+$N122+$O122</f>
        <v>0</v>
      </c>
      <c r="Q122" s="43" t="str">
        <f aca="false">IF(OR($B122="",$C122=""),"",IFERROR(SUMIFS('KNOWIFY REVIEW'!$AF$4:$AF$400,'KNOWIFY REVIEW'!$AB$4:$AB$400,$B122,'KNOWIFY REVIEW'!$AC$4:$AC$400,$C122,'KNOWIFY REVIEW'!$AD$4:$AD$400,1)/SUMIFS('KNOWIFY REVIEW'!$AE$4:$AE$400,'KNOWIFY REVIEW'!$AB$4:$AB$400,$B122,'KNOWIFY REVIEW'!$AC$4:$AC$400,$C122,'KNOWIFY REVIEW'!$AD$4:$AD$400,1),""))</f>
        <v/>
      </c>
      <c r="R122" s="43" t="str">
        <f aca="false">IF(OR($B122="",$C122=""),"",IFERROR(SUMIFS('KNOWIFY REVIEW'!$AH$4:$AH$400,'KNOWIFY REVIEW'!$AB$4:$AB$400,$B122,'KNOWIFY REVIEW'!$AC$4:$AC$400,IF(OR($C122=INPUTS!$B$69,$C122=INPUTS!$B$70),INPUTS!$B$71,$C122),'KNOWIFY REVIEW'!$AD$4:$AD$400,1)/SUMIFS('KNOWIFY REVIEW'!$AG$4:$AG$400,'KNOWIFY REVIEW'!$AB$4:$AB$400,$B122,'KNOWIFY REVIEW'!$AC$4:$AC$400,IF(OR($C122=INPUTS!$B$69,$C122=INPUTS!$B$70),INPUTS!$B$71,$C122),'KNOWIFY REVIEW'!$AD$4:$AD$400,1),""))</f>
        <v/>
      </c>
      <c r="S122" s="24" t="str">
        <f aca="false">IF(MAX(N($Q122),N($R122))&gt;1.1,"Past job ran over budget","")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38"/>
      <c r="F123" s="10"/>
      <c r="G123" s="39"/>
      <c r="H123" s="40"/>
      <c r="I123" s="39"/>
      <c r="J123" s="38"/>
      <c r="K123" s="10" t="s">
        <v>237</v>
      </c>
      <c r="L123" s="28" t="n">
        <f aca="false">($E123*$G123+$I123)*(1+IF($K123="N",0,INPUTS!$C$23))</f>
        <v>0</v>
      </c>
      <c r="M123" s="41" t="n">
        <f aca="false">$E123*$H123+$J123</f>
        <v>0</v>
      </c>
      <c r="N123" s="28" t="n">
        <f aca="false">$M123*IF(OR($B123="V",$B123="AC"),'LABOUR RATES'!$E$26,'LABOUR RATES'!$E$11)</f>
        <v>0</v>
      </c>
      <c r="O123" s="28" t="n">
        <f aca="false">$M123*IF(OR($B123="V",$B123="AC"),'LABOUR RATES'!$C$27,'LABOUR RATES'!$C$12)</f>
        <v>0</v>
      </c>
      <c r="P123" s="42" t="n">
        <f aca="false">$L123+$N123+$O123</f>
        <v>0</v>
      </c>
      <c r="Q123" s="43" t="str">
        <f aca="false">IF(OR($B123="",$C123=""),"",IFERROR(SUMIFS('KNOWIFY REVIEW'!$AF$4:$AF$400,'KNOWIFY REVIEW'!$AB$4:$AB$400,$B123,'KNOWIFY REVIEW'!$AC$4:$AC$400,$C123,'KNOWIFY REVIEW'!$AD$4:$AD$400,1)/SUMIFS('KNOWIFY REVIEW'!$AE$4:$AE$400,'KNOWIFY REVIEW'!$AB$4:$AB$400,$B123,'KNOWIFY REVIEW'!$AC$4:$AC$400,$C123,'KNOWIFY REVIEW'!$AD$4:$AD$400,1),""))</f>
        <v/>
      </c>
      <c r="R123" s="43" t="str">
        <f aca="false">IF(OR($B123="",$C123=""),"",IFERROR(SUMIFS('KNOWIFY REVIEW'!$AH$4:$AH$400,'KNOWIFY REVIEW'!$AB$4:$AB$400,$B123,'KNOWIFY REVIEW'!$AC$4:$AC$400,IF(OR($C123=INPUTS!$B$69,$C123=INPUTS!$B$70),INPUTS!$B$71,$C123),'KNOWIFY REVIEW'!$AD$4:$AD$400,1)/SUMIFS('KNOWIFY REVIEW'!$AG$4:$AG$400,'KNOWIFY REVIEW'!$AB$4:$AB$400,$B123,'KNOWIFY REVIEW'!$AC$4:$AC$400,IF(OR($C123=INPUTS!$B$69,$C123=INPUTS!$B$70),INPUTS!$B$71,$C123),'KNOWIFY REVIEW'!$AD$4:$AD$400,1),""))</f>
        <v/>
      </c>
      <c r="S123" s="24" t="str">
        <f aca="false">IF(MAX(N($Q123),N($R123))&gt;1.1,"Past job ran over budget","")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38"/>
      <c r="F124" s="10"/>
      <c r="G124" s="39"/>
      <c r="H124" s="40"/>
      <c r="I124" s="39"/>
      <c r="J124" s="38"/>
      <c r="K124" s="10" t="s">
        <v>237</v>
      </c>
      <c r="L124" s="28" t="n">
        <f aca="false">($E124*$G124+$I124)*(1+IF($K124="N",0,INPUTS!$C$23))</f>
        <v>0</v>
      </c>
      <c r="M124" s="41" t="n">
        <f aca="false">$E124*$H124+$J124</f>
        <v>0</v>
      </c>
      <c r="N124" s="28" t="n">
        <f aca="false">$M124*IF(OR($B124="V",$B124="AC"),'LABOUR RATES'!$E$26,'LABOUR RATES'!$E$11)</f>
        <v>0</v>
      </c>
      <c r="O124" s="28" t="n">
        <f aca="false">$M124*IF(OR($B124="V",$B124="AC"),'LABOUR RATES'!$C$27,'LABOUR RATES'!$C$12)</f>
        <v>0</v>
      </c>
      <c r="P124" s="42" t="n">
        <f aca="false">$L124+$N124+$O124</f>
        <v>0</v>
      </c>
      <c r="Q124" s="43" t="str">
        <f aca="false">IF(OR($B124="",$C124=""),"",IFERROR(SUMIFS('KNOWIFY REVIEW'!$AF$4:$AF$400,'KNOWIFY REVIEW'!$AB$4:$AB$400,$B124,'KNOWIFY REVIEW'!$AC$4:$AC$400,$C124,'KNOWIFY REVIEW'!$AD$4:$AD$400,1)/SUMIFS('KNOWIFY REVIEW'!$AE$4:$AE$400,'KNOWIFY REVIEW'!$AB$4:$AB$400,$B124,'KNOWIFY REVIEW'!$AC$4:$AC$400,$C124,'KNOWIFY REVIEW'!$AD$4:$AD$400,1),""))</f>
        <v/>
      </c>
      <c r="R124" s="43" t="str">
        <f aca="false">IF(OR($B124="",$C124=""),"",IFERROR(SUMIFS('KNOWIFY REVIEW'!$AH$4:$AH$400,'KNOWIFY REVIEW'!$AB$4:$AB$400,$B124,'KNOWIFY REVIEW'!$AC$4:$AC$400,IF(OR($C124=INPUTS!$B$69,$C124=INPUTS!$B$70),INPUTS!$B$71,$C124),'KNOWIFY REVIEW'!$AD$4:$AD$400,1)/SUMIFS('KNOWIFY REVIEW'!$AG$4:$AG$400,'KNOWIFY REVIEW'!$AB$4:$AB$400,$B124,'KNOWIFY REVIEW'!$AC$4:$AC$400,IF(OR($C124=INPUTS!$B$69,$C124=INPUTS!$B$70),INPUTS!$B$71,$C124),'KNOWIFY REVIEW'!$AD$4:$AD$400,1),""))</f>
        <v/>
      </c>
      <c r="S124" s="24" t="str">
        <f aca="false">IF(MAX(N($Q124),N($R124))&gt;1.1,"Past job ran over budget","")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38"/>
      <c r="F125" s="10"/>
      <c r="G125" s="39"/>
      <c r="H125" s="40"/>
      <c r="I125" s="39"/>
      <c r="J125" s="38"/>
      <c r="K125" s="10" t="s">
        <v>237</v>
      </c>
      <c r="L125" s="28" t="n">
        <f aca="false">($E125*$G125+$I125)*(1+IF($K125="N",0,INPUTS!$C$23))</f>
        <v>0</v>
      </c>
      <c r="M125" s="41" t="n">
        <f aca="false">$E125*$H125+$J125</f>
        <v>0</v>
      </c>
      <c r="N125" s="28" t="n">
        <f aca="false">$M125*IF(OR($B125="V",$B125="AC"),'LABOUR RATES'!$E$26,'LABOUR RATES'!$E$11)</f>
        <v>0</v>
      </c>
      <c r="O125" s="28" t="n">
        <f aca="false">$M125*IF(OR($B125="V",$B125="AC"),'LABOUR RATES'!$C$27,'LABOUR RATES'!$C$12)</f>
        <v>0</v>
      </c>
      <c r="P125" s="42" t="n">
        <f aca="false">$L125+$N125+$O125</f>
        <v>0</v>
      </c>
      <c r="Q125" s="43" t="str">
        <f aca="false">IF(OR($B125="",$C125=""),"",IFERROR(SUMIFS('KNOWIFY REVIEW'!$AF$4:$AF$400,'KNOWIFY REVIEW'!$AB$4:$AB$400,$B125,'KNOWIFY REVIEW'!$AC$4:$AC$400,$C125,'KNOWIFY REVIEW'!$AD$4:$AD$400,1)/SUMIFS('KNOWIFY REVIEW'!$AE$4:$AE$400,'KNOWIFY REVIEW'!$AB$4:$AB$400,$B125,'KNOWIFY REVIEW'!$AC$4:$AC$400,$C125,'KNOWIFY REVIEW'!$AD$4:$AD$400,1),""))</f>
        <v/>
      </c>
      <c r="R125" s="43" t="str">
        <f aca="false">IF(OR($B125="",$C125=""),"",IFERROR(SUMIFS('KNOWIFY REVIEW'!$AH$4:$AH$400,'KNOWIFY REVIEW'!$AB$4:$AB$400,$B125,'KNOWIFY REVIEW'!$AC$4:$AC$400,IF(OR($C125=INPUTS!$B$69,$C125=INPUTS!$B$70),INPUTS!$B$71,$C125),'KNOWIFY REVIEW'!$AD$4:$AD$400,1)/SUMIFS('KNOWIFY REVIEW'!$AG$4:$AG$400,'KNOWIFY REVIEW'!$AB$4:$AB$400,$B125,'KNOWIFY REVIEW'!$AC$4:$AC$400,IF(OR($C125=INPUTS!$B$69,$C125=INPUTS!$B$70),INPUTS!$B$71,$C125),'KNOWIFY REVIEW'!$AD$4:$AD$400,1),""))</f>
        <v/>
      </c>
      <c r="S125" s="24" t="str">
        <f aca="false">IF(MAX(N($Q125),N($R125))&gt;1.1,"Past job ran over budget","")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38"/>
      <c r="F126" s="10"/>
      <c r="G126" s="39"/>
      <c r="H126" s="40"/>
      <c r="I126" s="39"/>
      <c r="J126" s="38"/>
      <c r="K126" s="10" t="s">
        <v>237</v>
      </c>
      <c r="L126" s="28" t="n">
        <f aca="false">($E126*$G126+$I126)*(1+IF($K126="N",0,INPUTS!$C$23))</f>
        <v>0</v>
      </c>
      <c r="M126" s="41" t="n">
        <f aca="false">$E126*$H126+$J126</f>
        <v>0</v>
      </c>
      <c r="N126" s="28" t="n">
        <f aca="false">$M126*IF(OR($B126="V",$B126="AC"),'LABOUR RATES'!$E$26,'LABOUR RATES'!$E$11)</f>
        <v>0</v>
      </c>
      <c r="O126" s="28" t="n">
        <f aca="false">$M126*IF(OR($B126="V",$B126="AC"),'LABOUR RATES'!$C$27,'LABOUR RATES'!$C$12)</f>
        <v>0</v>
      </c>
      <c r="P126" s="42" t="n">
        <f aca="false">$L126+$N126+$O126</f>
        <v>0</v>
      </c>
      <c r="Q126" s="43" t="str">
        <f aca="false">IF(OR($B126="",$C126=""),"",IFERROR(SUMIFS('KNOWIFY REVIEW'!$AF$4:$AF$400,'KNOWIFY REVIEW'!$AB$4:$AB$400,$B126,'KNOWIFY REVIEW'!$AC$4:$AC$400,$C126,'KNOWIFY REVIEW'!$AD$4:$AD$400,1)/SUMIFS('KNOWIFY REVIEW'!$AE$4:$AE$400,'KNOWIFY REVIEW'!$AB$4:$AB$400,$B126,'KNOWIFY REVIEW'!$AC$4:$AC$400,$C126,'KNOWIFY REVIEW'!$AD$4:$AD$400,1),""))</f>
        <v/>
      </c>
      <c r="R126" s="43" t="str">
        <f aca="false">IF(OR($B126="",$C126=""),"",IFERROR(SUMIFS('KNOWIFY REVIEW'!$AH$4:$AH$400,'KNOWIFY REVIEW'!$AB$4:$AB$400,$B126,'KNOWIFY REVIEW'!$AC$4:$AC$400,IF(OR($C126=INPUTS!$B$69,$C126=INPUTS!$B$70),INPUTS!$B$71,$C126),'KNOWIFY REVIEW'!$AD$4:$AD$400,1)/SUMIFS('KNOWIFY REVIEW'!$AG$4:$AG$400,'KNOWIFY REVIEW'!$AB$4:$AB$400,$B126,'KNOWIFY REVIEW'!$AC$4:$AC$400,IF(OR($C126=INPUTS!$B$69,$C126=INPUTS!$B$70),INPUTS!$B$71,$C126),'KNOWIFY REVIEW'!$AD$4:$AD$400,1),""))</f>
        <v/>
      </c>
      <c r="S126" s="24" t="str">
        <f aca="false">IF(MAX(N($Q126),N($R126))&gt;1.1,"Past job ran over budget","")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38"/>
      <c r="F127" s="10"/>
      <c r="G127" s="39"/>
      <c r="H127" s="40"/>
      <c r="I127" s="39"/>
      <c r="J127" s="38"/>
      <c r="K127" s="10" t="s">
        <v>237</v>
      </c>
      <c r="L127" s="28" t="n">
        <f aca="false">($E127*$G127+$I127)*(1+IF($K127="N",0,INPUTS!$C$23))</f>
        <v>0</v>
      </c>
      <c r="M127" s="41" t="n">
        <f aca="false">$E127*$H127+$J127</f>
        <v>0</v>
      </c>
      <c r="N127" s="28" t="n">
        <f aca="false">$M127*IF(OR($B127="V",$B127="AC"),'LABOUR RATES'!$E$26,'LABOUR RATES'!$E$11)</f>
        <v>0</v>
      </c>
      <c r="O127" s="28" t="n">
        <f aca="false">$M127*IF(OR($B127="V",$B127="AC"),'LABOUR RATES'!$C$27,'LABOUR RATES'!$C$12)</f>
        <v>0</v>
      </c>
      <c r="P127" s="42" t="n">
        <f aca="false">$L127+$N127+$O127</f>
        <v>0</v>
      </c>
      <c r="Q127" s="43" t="str">
        <f aca="false">IF(OR($B127="",$C127=""),"",IFERROR(SUMIFS('KNOWIFY REVIEW'!$AF$4:$AF$400,'KNOWIFY REVIEW'!$AB$4:$AB$400,$B127,'KNOWIFY REVIEW'!$AC$4:$AC$400,$C127,'KNOWIFY REVIEW'!$AD$4:$AD$400,1)/SUMIFS('KNOWIFY REVIEW'!$AE$4:$AE$400,'KNOWIFY REVIEW'!$AB$4:$AB$400,$B127,'KNOWIFY REVIEW'!$AC$4:$AC$400,$C127,'KNOWIFY REVIEW'!$AD$4:$AD$400,1),""))</f>
        <v/>
      </c>
      <c r="R127" s="43" t="str">
        <f aca="false">IF(OR($B127="",$C127=""),"",IFERROR(SUMIFS('KNOWIFY REVIEW'!$AH$4:$AH$400,'KNOWIFY REVIEW'!$AB$4:$AB$400,$B127,'KNOWIFY REVIEW'!$AC$4:$AC$400,IF(OR($C127=INPUTS!$B$69,$C127=INPUTS!$B$70),INPUTS!$B$71,$C127),'KNOWIFY REVIEW'!$AD$4:$AD$400,1)/SUMIFS('KNOWIFY REVIEW'!$AG$4:$AG$400,'KNOWIFY REVIEW'!$AB$4:$AB$400,$B127,'KNOWIFY REVIEW'!$AC$4:$AC$400,IF(OR($C127=INPUTS!$B$69,$C127=INPUTS!$B$70),INPUTS!$B$71,$C127),'KNOWIFY REVIEW'!$AD$4:$AD$400,1),""))</f>
        <v/>
      </c>
      <c r="S127" s="24" t="str">
        <f aca="false">IF(MAX(N($Q127),N($R127))&gt;1.1,"Past job ran over budget","")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38"/>
      <c r="F128" s="10"/>
      <c r="G128" s="39"/>
      <c r="H128" s="40"/>
      <c r="I128" s="39"/>
      <c r="J128" s="38"/>
      <c r="K128" s="10" t="s">
        <v>237</v>
      </c>
      <c r="L128" s="28" t="n">
        <f aca="false">($E128*$G128+$I128)*(1+IF($K128="N",0,INPUTS!$C$23))</f>
        <v>0</v>
      </c>
      <c r="M128" s="41" t="n">
        <f aca="false">$E128*$H128+$J128</f>
        <v>0</v>
      </c>
      <c r="N128" s="28" t="n">
        <f aca="false">$M128*IF(OR($B128="V",$B128="AC"),'LABOUR RATES'!$E$26,'LABOUR RATES'!$E$11)</f>
        <v>0</v>
      </c>
      <c r="O128" s="28" t="n">
        <f aca="false">$M128*IF(OR($B128="V",$B128="AC"),'LABOUR RATES'!$C$27,'LABOUR RATES'!$C$12)</f>
        <v>0</v>
      </c>
      <c r="P128" s="42" t="n">
        <f aca="false">$L128+$N128+$O128</f>
        <v>0</v>
      </c>
      <c r="Q128" s="43" t="str">
        <f aca="false">IF(OR($B128="",$C128=""),"",IFERROR(SUMIFS('KNOWIFY REVIEW'!$AF$4:$AF$400,'KNOWIFY REVIEW'!$AB$4:$AB$400,$B128,'KNOWIFY REVIEW'!$AC$4:$AC$400,$C128,'KNOWIFY REVIEW'!$AD$4:$AD$400,1)/SUMIFS('KNOWIFY REVIEW'!$AE$4:$AE$400,'KNOWIFY REVIEW'!$AB$4:$AB$400,$B128,'KNOWIFY REVIEW'!$AC$4:$AC$400,$C128,'KNOWIFY REVIEW'!$AD$4:$AD$400,1),""))</f>
        <v/>
      </c>
      <c r="R128" s="43" t="str">
        <f aca="false">IF(OR($B128="",$C128=""),"",IFERROR(SUMIFS('KNOWIFY REVIEW'!$AH$4:$AH$400,'KNOWIFY REVIEW'!$AB$4:$AB$400,$B128,'KNOWIFY REVIEW'!$AC$4:$AC$400,IF(OR($C128=INPUTS!$B$69,$C128=INPUTS!$B$70),INPUTS!$B$71,$C128),'KNOWIFY REVIEW'!$AD$4:$AD$400,1)/SUMIFS('KNOWIFY REVIEW'!$AG$4:$AG$400,'KNOWIFY REVIEW'!$AB$4:$AB$400,$B128,'KNOWIFY REVIEW'!$AC$4:$AC$400,IF(OR($C128=INPUTS!$B$69,$C128=INPUTS!$B$70),INPUTS!$B$71,$C128),'KNOWIFY REVIEW'!$AD$4:$AD$400,1),""))</f>
        <v/>
      </c>
      <c r="S128" s="24" t="str">
        <f aca="false">IF(MAX(N($Q128),N($R128))&gt;1.1,"Past job ran over budget","")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38"/>
      <c r="F129" s="10"/>
      <c r="G129" s="39"/>
      <c r="H129" s="40"/>
      <c r="I129" s="39"/>
      <c r="J129" s="38"/>
      <c r="K129" s="10" t="s">
        <v>237</v>
      </c>
      <c r="L129" s="28" t="n">
        <f aca="false">($E129*$G129+$I129)*(1+IF($K129="N",0,INPUTS!$C$23))</f>
        <v>0</v>
      </c>
      <c r="M129" s="41" t="n">
        <f aca="false">$E129*$H129+$J129</f>
        <v>0</v>
      </c>
      <c r="N129" s="28" t="n">
        <f aca="false">$M129*IF(OR($B129="V",$B129="AC"),'LABOUR RATES'!$E$26,'LABOUR RATES'!$E$11)</f>
        <v>0</v>
      </c>
      <c r="O129" s="28" t="n">
        <f aca="false">$M129*IF(OR($B129="V",$B129="AC"),'LABOUR RATES'!$C$27,'LABOUR RATES'!$C$12)</f>
        <v>0</v>
      </c>
      <c r="P129" s="42" t="n">
        <f aca="false">$L129+$N129+$O129</f>
        <v>0</v>
      </c>
      <c r="Q129" s="43" t="str">
        <f aca="false">IF(OR($B129="",$C129=""),"",IFERROR(SUMIFS('KNOWIFY REVIEW'!$AF$4:$AF$400,'KNOWIFY REVIEW'!$AB$4:$AB$400,$B129,'KNOWIFY REVIEW'!$AC$4:$AC$400,$C129,'KNOWIFY REVIEW'!$AD$4:$AD$400,1)/SUMIFS('KNOWIFY REVIEW'!$AE$4:$AE$400,'KNOWIFY REVIEW'!$AB$4:$AB$400,$B129,'KNOWIFY REVIEW'!$AC$4:$AC$400,$C129,'KNOWIFY REVIEW'!$AD$4:$AD$400,1),""))</f>
        <v/>
      </c>
      <c r="R129" s="43" t="str">
        <f aca="false">IF(OR($B129="",$C129=""),"",IFERROR(SUMIFS('KNOWIFY REVIEW'!$AH$4:$AH$400,'KNOWIFY REVIEW'!$AB$4:$AB$400,$B129,'KNOWIFY REVIEW'!$AC$4:$AC$400,IF(OR($C129=INPUTS!$B$69,$C129=INPUTS!$B$70),INPUTS!$B$71,$C129),'KNOWIFY REVIEW'!$AD$4:$AD$400,1)/SUMIFS('KNOWIFY REVIEW'!$AG$4:$AG$400,'KNOWIFY REVIEW'!$AB$4:$AB$400,$B129,'KNOWIFY REVIEW'!$AC$4:$AC$400,IF(OR($C129=INPUTS!$B$69,$C129=INPUTS!$B$70),INPUTS!$B$71,$C129),'KNOWIFY REVIEW'!$AD$4:$AD$400,1),""))</f>
        <v/>
      </c>
      <c r="S129" s="24" t="str">
        <f aca="false">IF(MAX(N($Q129),N($R129))&gt;1.1,"Past job ran over budget","")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38"/>
      <c r="F130" s="10"/>
      <c r="G130" s="39"/>
      <c r="H130" s="40"/>
      <c r="I130" s="39"/>
      <c r="J130" s="38"/>
      <c r="K130" s="10" t="s">
        <v>237</v>
      </c>
      <c r="L130" s="28" t="n">
        <f aca="false">($E130*$G130+$I130)*(1+IF($K130="N",0,INPUTS!$C$23))</f>
        <v>0</v>
      </c>
      <c r="M130" s="41" t="n">
        <f aca="false">$E130*$H130+$J130</f>
        <v>0</v>
      </c>
      <c r="N130" s="28" t="n">
        <f aca="false">$M130*IF(OR($B130="V",$B130="AC"),'LABOUR RATES'!$E$26,'LABOUR RATES'!$E$11)</f>
        <v>0</v>
      </c>
      <c r="O130" s="28" t="n">
        <f aca="false">$M130*IF(OR($B130="V",$B130="AC"),'LABOUR RATES'!$C$27,'LABOUR RATES'!$C$12)</f>
        <v>0</v>
      </c>
      <c r="P130" s="42" t="n">
        <f aca="false">$L130+$N130+$O130</f>
        <v>0</v>
      </c>
      <c r="Q130" s="43" t="str">
        <f aca="false">IF(OR($B130="",$C130=""),"",IFERROR(SUMIFS('KNOWIFY REVIEW'!$AF$4:$AF$400,'KNOWIFY REVIEW'!$AB$4:$AB$400,$B130,'KNOWIFY REVIEW'!$AC$4:$AC$400,$C130,'KNOWIFY REVIEW'!$AD$4:$AD$400,1)/SUMIFS('KNOWIFY REVIEW'!$AE$4:$AE$400,'KNOWIFY REVIEW'!$AB$4:$AB$400,$B130,'KNOWIFY REVIEW'!$AC$4:$AC$400,$C130,'KNOWIFY REVIEW'!$AD$4:$AD$400,1),""))</f>
        <v/>
      </c>
      <c r="R130" s="43" t="str">
        <f aca="false">IF(OR($B130="",$C130=""),"",IFERROR(SUMIFS('KNOWIFY REVIEW'!$AH$4:$AH$400,'KNOWIFY REVIEW'!$AB$4:$AB$400,$B130,'KNOWIFY REVIEW'!$AC$4:$AC$400,IF(OR($C130=INPUTS!$B$69,$C130=INPUTS!$B$70),INPUTS!$B$71,$C130),'KNOWIFY REVIEW'!$AD$4:$AD$400,1)/SUMIFS('KNOWIFY REVIEW'!$AG$4:$AG$400,'KNOWIFY REVIEW'!$AB$4:$AB$400,$B130,'KNOWIFY REVIEW'!$AC$4:$AC$400,IF(OR($C130=INPUTS!$B$69,$C130=INPUTS!$B$70),INPUTS!$B$71,$C130),'KNOWIFY REVIEW'!$AD$4:$AD$400,1),""))</f>
        <v/>
      </c>
      <c r="S130" s="24" t="str">
        <f aca="false">IF(MAX(N($Q130),N($R130))&gt;1.1,"Past job ran over budget","")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38"/>
      <c r="F131" s="10"/>
      <c r="G131" s="39"/>
      <c r="H131" s="40"/>
      <c r="I131" s="39"/>
      <c r="J131" s="38"/>
      <c r="K131" s="10" t="s">
        <v>237</v>
      </c>
      <c r="L131" s="28" t="n">
        <f aca="false">($E131*$G131+$I131)*(1+IF($K131="N",0,INPUTS!$C$23))</f>
        <v>0</v>
      </c>
      <c r="M131" s="41" t="n">
        <f aca="false">$E131*$H131+$J131</f>
        <v>0</v>
      </c>
      <c r="N131" s="28" t="n">
        <f aca="false">$M131*IF(OR($B131="V",$B131="AC"),'LABOUR RATES'!$E$26,'LABOUR RATES'!$E$11)</f>
        <v>0</v>
      </c>
      <c r="O131" s="28" t="n">
        <f aca="false">$M131*IF(OR($B131="V",$B131="AC"),'LABOUR RATES'!$C$27,'LABOUR RATES'!$C$12)</f>
        <v>0</v>
      </c>
      <c r="P131" s="42" t="n">
        <f aca="false">$L131+$N131+$O131</f>
        <v>0</v>
      </c>
      <c r="Q131" s="43" t="str">
        <f aca="false">IF(OR($B131="",$C131=""),"",IFERROR(SUMIFS('KNOWIFY REVIEW'!$AF$4:$AF$400,'KNOWIFY REVIEW'!$AB$4:$AB$400,$B131,'KNOWIFY REVIEW'!$AC$4:$AC$400,$C131,'KNOWIFY REVIEW'!$AD$4:$AD$400,1)/SUMIFS('KNOWIFY REVIEW'!$AE$4:$AE$400,'KNOWIFY REVIEW'!$AB$4:$AB$400,$B131,'KNOWIFY REVIEW'!$AC$4:$AC$400,$C131,'KNOWIFY REVIEW'!$AD$4:$AD$400,1),""))</f>
        <v/>
      </c>
      <c r="R131" s="43" t="str">
        <f aca="false">IF(OR($B131="",$C131=""),"",IFERROR(SUMIFS('KNOWIFY REVIEW'!$AH$4:$AH$400,'KNOWIFY REVIEW'!$AB$4:$AB$400,$B131,'KNOWIFY REVIEW'!$AC$4:$AC$400,IF(OR($C131=INPUTS!$B$69,$C131=INPUTS!$B$70),INPUTS!$B$71,$C131),'KNOWIFY REVIEW'!$AD$4:$AD$400,1)/SUMIFS('KNOWIFY REVIEW'!$AG$4:$AG$400,'KNOWIFY REVIEW'!$AB$4:$AB$400,$B131,'KNOWIFY REVIEW'!$AC$4:$AC$400,IF(OR($C131=INPUTS!$B$69,$C131=INPUTS!$B$70),INPUTS!$B$71,$C131),'KNOWIFY REVIEW'!$AD$4:$AD$400,1),""))</f>
        <v/>
      </c>
      <c r="S131" s="24" t="str">
        <f aca="false">IF(MAX(N($Q131),N($R131))&gt;1.1,"Past job ran over budget","")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38"/>
      <c r="F132" s="10"/>
      <c r="G132" s="39"/>
      <c r="H132" s="40"/>
      <c r="I132" s="39"/>
      <c r="J132" s="38"/>
      <c r="K132" s="10" t="s">
        <v>237</v>
      </c>
      <c r="L132" s="28" t="n">
        <f aca="false">($E132*$G132+$I132)*(1+IF($K132="N",0,INPUTS!$C$23))</f>
        <v>0</v>
      </c>
      <c r="M132" s="41" t="n">
        <f aca="false">$E132*$H132+$J132</f>
        <v>0</v>
      </c>
      <c r="N132" s="28" t="n">
        <f aca="false">$M132*IF(OR($B132="V",$B132="AC"),'LABOUR RATES'!$E$26,'LABOUR RATES'!$E$11)</f>
        <v>0</v>
      </c>
      <c r="O132" s="28" t="n">
        <f aca="false">$M132*IF(OR($B132="V",$B132="AC"),'LABOUR RATES'!$C$27,'LABOUR RATES'!$C$12)</f>
        <v>0</v>
      </c>
      <c r="P132" s="42" t="n">
        <f aca="false">$L132+$N132+$O132</f>
        <v>0</v>
      </c>
      <c r="Q132" s="43" t="str">
        <f aca="false">IF(OR($B132="",$C132=""),"",IFERROR(SUMIFS('KNOWIFY REVIEW'!$AF$4:$AF$400,'KNOWIFY REVIEW'!$AB$4:$AB$400,$B132,'KNOWIFY REVIEW'!$AC$4:$AC$400,$C132,'KNOWIFY REVIEW'!$AD$4:$AD$400,1)/SUMIFS('KNOWIFY REVIEW'!$AE$4:$AE$400,'KNOWIFY REVIEW'!$AB$4:$AB$400,$B132,'KNOWIFY REVIEW'!$AC$4:$AC$400,$C132,'KNOWIFY REVIEW'!$AD$4:$AD$400,1),""))</f>
        <v/>
      </c>
      <c r="R132" s="43" t="str">
        <f aca="false">IF(OR($B132="",$C132=""),"",IFERROR(SUMIFS('KNOWIFY REVIEW'!$AH$4:$AH$400,'KNOWIFY REVIEW'!$AB$4:$AB$400,$B132,'KNOWIFY REVIEW'!$AC$4:$AC$400,IF(OR($C132=INPUTS!$B$69,$C132=INPUTS!$B$70),INPUTS!$B$71,$C132),'KNOWIFY REVIEW'!$AD$4:$AD$400,1)/SUMIFS('KNOWIFY REVIEW'!$AG$4:$AG$400,'KNOWIFY REVIEW'!$AB$4:$AB$400,$B132,'KNOWIFY REVIEW'!$AC$4:$AC$400,IF(OR($C132=INPUTS!$B$69,$C132=INPUTS!$B$70),INPUTS!$B$71,$C132),'KNOWIFY REVIEW'!$AD$4:$AD$400,1),""))</f>
        <v/>
      </c>
      <c r="S132" s="24" t="str">
        <f aca="false">IF(MAX(N($Q132),N($R132))&gt;1.1,"Past job ran over budget","")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38"/>
      <c r="F133" s="10"/>
      <c r="G133" s="39"/>
      <c r="H133" s="40"/>
      <c r="I133" s="39"/>
      <c r="J133" s="38"/>
      <c r="K133" s="10" t="s">
        <v>237</v>
      </c>
      <c r="L133" s="28" t="n">
        <f aca="false">($E133*$G133+$I133)*(1+IF($K133="N",0,INPUTS!$C$23))</f>
        <v>0</v>
      </c>
      <c r="M133" s="41" t="n">
        <f aca="false">$E133*$H133+$J133</f>
        <v>0</v>
      </c>
      <c r="N133" s="28" t="n">
        <f aca="false">$M133*IF(OR($B133="V",$B133="AC"),'LABOUR RATES'!$E$26,'LABOUR RATES'!$E$11)</f>
        <v>0</v>
      </c>
      <c r="O133" s="28" t="n">
        <f aca="false">$M133*IF(OR($B133="V",$B133="AC"),'LABOUR RATES'!$C$27,'LABOUR RATES'!$C$12)</f>
        <v>0</v>
      </c>
      <c r="P133" s="42" t="n">
        <f aca="false">$L133+$N133+$O133</f>
        <v>0</v>
      </c>
      <c r="Q133" s="43" t="str">
        <f aca="false">IF(OR($B133="",$C133=""),"",IFERROR(SUMIFS('KNOWIFY REVIEW'!$AF$4:$AF$400,'KNOWIFY REVIEW'!$AB$4:$AB$400,$B133,'KNOWIFY REVIEW'!$AC$4:$AC$400,$C133,'KNOWIFY REVIEW'!$AD$4:$AD$400,1)/SUMIFS('KNOWIFY REVIEW'!$AE$4:$AE$400,'KNOWIFY REVIEW'!$AB$4:$AB$400,$B133,'KNOWIFY REVIEW'!$AC$4:$AC$400,$C133,'KNOWIFY REVIEW'!$AD$4:$AD$400,1),""))</f>
        <v/>
      </c>
      <c r="R133" s="43" t="str">
        <f aca="false">IF(OR($B133="",$C133=""),"",IFERROR(SUMIFS('KNOWIFY REVIEW'!$AH$4:$AH$400,'KNOWIFY REVIEW'!$AB$4:$AB$400,$B133,'KNOWIFY REVIEW'!$AC$4:$AC$400,IF(OR($C133=INPUTS!$B$69,$C133=INPUTS!$B$70),INPUTS!$B$71,$C133),'KNOWIFY REVIEW'!$AD$4:$AD$400,1)/SUMIFS('KNOWIFY REVIEW'!$AG$4:$AG$400,'KNOWIFY REVIEW'!$AB$4:$AB$400,$B133,'KNOWIFY REVIEW'!$AC$4:$AC$400,IF(OR($C133=INPUTS!$B$69,$C133=INPUTS!$B$70),INPUTS!$B$71,$C133),'KNOWIFY REVIEW'!$AD$4:$AD$400,1),""))</f>
        <v/>
      </c>
      <c r="S133" s="24" t="str">
        <f aca="false">IF(MAX(N($Q133),N($R133))&gt;1.1,"Past job ran over budget","")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38"/>
      <c r="F134" s="10"/>
      <c r="G134" s="39"/>
      <c r="H134" s="40"/>
      <c r="I134" s="39"/>
      <c r="J134" s="38"/>
      <c r="K134" s="10" t="s">
        <v>237</v>
      </c>
      <c r="L134" s="28" t="n">
        <f aca="false">($E134*$G134+$I134)*(1+IF($K134="N",0,INPUTS!$C$23))</f>
        <v>0</v>
      </c>
      <c r="M134" s="41" t="n">
        <f aca="false">$E134*$H134+$J134</f>
        <v>0</v>
      </c>
      <c r="N134" s="28" t="n">
        <f aca="false">$M134*IF(OR($B134="V",$B134="AC"),'LABOUR RATES'!$E$26,'LABOUR RATES'!$E$11)</f>
        <v>0</v>
      </c>
      <c r="O134" s="28" t="n">
        <f aca="false">$M134*IF(OR($B134="V",$B134="AC"),'LABOUR RATES'!$C$27,'LABOUR RATES'!$C$12)</f>
        <v>0</v>
      </c>
      <c r="P134" s="42" t="n">
        <f aca="false">$L134+$N134+$O134</f>
        <v>0</v>
      </c>
      <c r="Q134" s="43" t="str">
        <f aca="false">IF(OR($B134="",$C134=""),"",IFERROR(SUMIFS('KNOWIFY REVIEW'!$AF$4:$AF$400,'KNOWIFY REVIEW'!$AB$4:$AB$400,$B134,'KNOWIFY REVIEW'!$AC$4:$AC$400,$C134,'KNOWIFY REVIEW'!$AD$4:$AD$400,1)/SUMIFS('KNOWIFY REVIEW'!$AE$4:$AE$400,'KNOWIFY REVIEW'!$AB$4:$AB$400,$B134,'KNOWIFY REVIEW'!$AC$4:$AC$400,$C134,'KNOWIFY REVIEW'!$AD$4:$AD$400,1),""))</f>
        <v/>
      </c>
      <c r="R134" s="43" t="str">
        <f aca="false">IF(OR($B134="",$C134=""),"",IFERROR(SUMIFS('KNOWIFY REVIEW'!$AH$4:$AH$400,'KNOWIFY REVIEW'!$AB$4:$AB$400,$B134,'KNOWIFY REVIEW'!$AC$4:$AC$400,IF(OR($C134=INPUTS!$B$69,$C134=INPUTS!$B$70),INPUTS!$B$71,$C134),'KNOWIFY REVIEW'!$AD$4:$AD$400,1)/SUMIFS('KNOWIFY REVIEW'!$AG$4:$AG$400,'KNOWIFY REVIEW'!$AB$4:$AB$400,$B134,'KNOWIFY REVIEW'!$AC$4:$AC$400,IF(OR($C134=INPUTS!$B$69,$C134=INPUTS!$B$70),INPUTS!$B$71,$C134),'KNOWIFY REVIEW'!$AD$4:$AD$400,1),""))</f>
        <v/>
      </c>
      <c r="S134" s="24" t="str">
        <f aca="false">IF(MAX(N($Q134),N($R134))&gt;1.1,"Past job ran over budget","")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38"/>
      <c r="F135" s="10"/>
      <c r="G135" s="39"/>
      <c r="H135" s="40"/>
      <c r="I135" s="39"/>
      <c r="J135" s="38"/>
      <c r="K135" s="10" t="s">
        <v>237</v>
      </c>
      <c r="L135" s="28" t="n">
        <f aca="false">($E135*$G135+$I135)*(1+IF($K135="N",0,INPUTS!$C$23))</f>
        <v>0</v>
      </c>
      <c r="M135" s="41" t="n">
        <f aca="false">$E135*$H135+$J135</f>
        <v>0</v>
      </c>
      <c r="N135" s="28" t="n">
        <f aca="false">$M135*IF(OR($B135="V",$B135="AC"),'LABOUR RATES'!$E$26,'LABOUR RATES'!$E$11)</f>
        <v>0</v>
      </c>
      <c r="O135" s="28" t="n">
        <f aca="false">$M135*IF(OR($B135="V",$B135="AC"),'LABOUR RATES'!$C$27,'LABOUR RATES'!$C$12)</f>
        <v>0</v>
      </c>
      <c r="P135" s="42" t="n">
        <f aca="false">$L135+$N135+$O135</f>
        <v>0</v>
      </c>
      <c r="Q135" s="43" t="str">
        <f aca="false">IF(OR($B135="",$C135=""),"",IFERROR(SUMIFS('KNOWIFY REVIEW'!$AF$4:$AF$400,'KNOWIFY REVIEW'!$AB$4:$AB$400,$B135,'KNOWIFY REVIEW'!$AC$4:$AC$400,$C135,'KNOWIFY REVIEW'!$AD$4:$AD$400,1)/SUMIFS('KNOWIFY REVIEW'!$AE$4:$AE$400,'KNOWIFY REVIEW'!$AB$4:$AB$400,$B135,'KNOWIFY REVIEW'!$AC$4:$AC$400,$C135,'KNOWIFY REVIEW'!$AD$4:$AD$400,1),""))</f>
        <v/>
      </c>
      <c r="R135" s="43" t="str">
        <f aca="false">IF(OR($B135="",$C135=""),"",IFERROR(SUMIFS('KNOWIFY REVIEW'!$AH$4:$AH$400,'KNOWIFY REVIEW'!$AB$4:$AB$400,$B135,'KNOWIFY REVIEW'!$AC$4:$AC$400,IF(OR($C135=INPUTS!$B$69,$C135=INPUTS!$B$70),INPUTS!$B$71,$C135),'KNOWIFY REVIEW'!$AD$4:$AD$400,1)/SUMIFS('KNOWIFY REVIEW'!$AG$4:$AG$400,'KNOWIFY REVIEW'!$AB$4:$AB$400,$B135,'KNOWIFY REVIEW'!$AC$4:$AC$400,IF(OR($C135=INPUTS!$B$69,$C135=INPUTS!$B$70),INPUTS!$B$71,$C135),'KNOWIFY REVIEW'!$AD$4:$AD$400,1),""))</f>
        <v/>
      </c>
      <c r="S135" s="24" t="str">
        <f aca="false">IF(MAX(N($Q135),N($R135))&gt;1.1,"Past job ran over budget","")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38"/>
      <c r="F136" s="10"/>
      <c r="G136" s="39"/>
      <c r="H136" s="40"/>
      <c r="I136" s="39"/>
      <c r="J136" s="38"/>
      <c r="K136" s="10" t="s">
        <v>237</v>
      </c>
      <c r="L136" s="28" t="n">
        <f aca="false">($E136*$G136+$I136)*(1+IF($K136="N",0,INPUTS!$C$23))</f>
        <v>0</v>
      </c>
      <c r="M136" s="41" t="n">
        <f aca="false">$E136*$H136+$J136</f>
        <v>0</v>
      </c>
      <c r="N136" s="28" t="n">
        <f aca="false">$M136*IF(OR($B136="V",$B136="AC"),'LABOUR RATES'!$E$26,'LABOUR RATES'!$E$11)</f>
        <v>0</v>
      </c>
      <c r="O136" s="28" t="n">
        <f aca="false">$M136*IF(OR($B136="V",$B136="AC"),'LABOUR RATES'!$C$27,'LABOUR RATES'!$C$12)</f>
        <v>0</v>
      </c>
      <c r="P136" s="42" t="n">
        <f aca="false">$L136+$N136+$O136</f>
        <v>0</v>
      </c>
      <c r="Q136" s="43" t="str">
        <f aca="false">IF(OR($B136="",$C136=""),"",IFERROR(SUMIFS('KNOWIFY REVIEW'!$AF$4:$AF$400,'KNOWIFY REVIEW'!$AB$4:$AB$400,$B136,'KNOWIFY REVIEW'!$AC$4:$AC$400,$C136,'KNOWIFY REVIEW'!$AD$4:$AD$400,1)/SUMIFS('KNOWIFY REVIEW'!$AE$4:$AE$400,'KNOWIFY REVIEW'!$AB$4:$AB$400,$B136,'KNOWIFY REVIEW'!$AC$4:$AC$400,$C136,'KNOWIFY REVIEW'!$AD$4:$AD$400,1),""))</f>
        <v/>
      </c>
      <c r="R136" s="43" t="str">
        <f aca="false">IF(OR($B136="",$C136=""),"",IFERROR(SUMIFS('KNOWIFY REVIEW'!$AH$4:$AH$400,'KNOWIFY REVIEW'!$AB$4:$AB$400,$B136,'KNOWIFY REVIEW'!$AC$4:$AC$400,IF(OR($C136=INPUTS!$B$69,$C136=INPUTS!$B$70),INPUTS!$B$71,$C136),'KNOWIFY REVIEW'!$AD$4:$AD$400,1)/SUMIFS('KNOWIFY REVIEW'!$AG$4:$AG$400,'KNOWIFY REVIEW'!$AB$4:$AB$400,$B136,'KNOWIFY REVIEW'!$AC$4:$AC$400,IF(OR($C136=INPUTS!$B$69,$C136=INPUTS!$B$70),INPUTS!$B$71,$C136),'KNOWIFY REVIEW'!$AD$4:$AD$400,1),""))</f>
        <v/>
      </c>
      <c r="S136" s="24" t="str">
        <f aca="false">IF(MAX(N($Q136),N($R136))&gt;1.1,"Past job ran over budget","")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38"/>
      <c r="F137" s="10"/>
      <c r="G137" s="39"/>
      <c r="H137" s="40"/>
      <c r="I137" s="39"/>
      <c r="J137" s="38"/>
      <c r="K137" s="10" t="s">
        <v>237</v>
      </c>
      <c r="L137" s="28" t="n">
        <f aca="false">($E137*$G137+$I137)*(1+IF($K137="N",0,INPUTS!$C$23))</f>
        <v>0</v>
      </c>
      <c r="M137" s="41" t="n">
        <f aca="false">$E137*$H137+$J137</f>
        <v>0</v>
      </c>
      <c r="N137" s="28" t="n">
        <f aca="false">$M137*IF(OR($B137="V",$B137="AC"),'LABOUR RATES'!$E$26,'LABOUR RATES'!$E$11)</f>
        <v>0</v>
      </c>
      <c r="O137" s="28" t="n">
        <f aca="false">$M137*IF(OR($B137="V",$B137="AC"),'LABOUR RATES'!$C$27,'LABOUR RATES'!$C$12)</f>
        <v>0</v>
      </c>
      <c r="P137" s="42" t="n">
        <f aca="false">$L137+$N137+$O137</f>
        <v>0</v>
      </c>
      <c r="Q137" s="43" t="str">
        <f aca="false">IF(OR($B137="",$C137=""),"",IFERROR(SUMIFS('KNOWIFY REVIEW'!$AF$4:$AF$400,'KNOWIFY REVIEW'!$AB$4:$AB$400,$B137,'KNOWIFY REVIEW'!$AC$4:$AC$400,$C137,'KNOWIFY REVIEW'!$AD$4:$AD$400,1)/SUMIFS('KNOWIFY REVIEW'!$AE$4:$AE$400,'KNOWIFY REVIEW'!$AB$4:$AB$400,$B137,'KNOWIFY REVIEW'!$AC$4:$AC$400,$C137,'KNOWIFY REVIEW'!$AD$4:$AD$400,1),""))</f>
        <v/>
      </c>
      <c r="R137" s="43" t="str">
        <f aca="false">IF(OR($B137="",$C137=""),"",IFERROR(SUMIFS('KNOWIFY REVIEW'!$AH$4:$AH$400,'KNOWIFY REVIEW'!$AB$4:$AB$400,$B137,'KNOWIFY REVIEW'!$AC$4:$AC$400,IF(OR($C137=INPUTS!$B$69,$C137=INPUTS!$B$70),INPUTS!$B$71,$C137),'KNOWIFY REVIEW'!$AD$4:$AD$400,1)/SUMIFS('KNOWIFY REVIEW'!$AG$4:$AG$400,'KNOWIFY REVIEW'!$AB$4:$AB$400,$B137,'KNOWIFY REVIEW'!$AC$4:$AC$400,IF(OR($C137=INPUTS!$B$69,$C137=INPUTS!$B$70),INPUTS!$B$71,$C137),'KNOWIFY REVIEW'!$AD$4:$AD$400,1),""))</f>
        <v/>
      </c>
      <c r="S137" s="24" t="str">
        <f aca="false">IF(MAX(N($Q137),N($R137))&gt;1.1,"Past job ran over budget","")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38"/>
      <c r="F138" s="10"/>
      <c r="G138" s="39"/>
      <c r="H138" s="40"/>
      <c r="I138" s="39"/>
      <c r="J138" s="38"/>
      <c r="K138" s="10" t="s">
        <v>237</v>
      </c>
      <c r="L138" s="28" t="n">
        <f aca="false">($E138*$G138+$I138)*(1+IF($K138="N",0,INPUTS!$C$23))</f>
        <v>0</v>
      </c>
      <c r="M138" s="41" t="n">
        <f aca="false">$E138*$H138+$J138</f>
        <v>0</v>
      </c>
      <c r="N138" s="28" t="n">
        <f aca="false">$M138*IF(OR($B138="V",$B138="AC"),'LABOUR RATES'!$E$26,'LABOUR RATES'!$E$11)</f>
        <v>0</v>
      </c>
      <c r="O138" s="28" t="n">
        <f aca="false">$M138*IF(OR($B138="V",$B138="AC"),'LABOUR RATES'!$C$27,'LABOUR RATES'!$C$12)</f>
        <v>0</v>
      </c>
      <c r="P138" s="42" t="n">
        <f aca="false">$L138+$N138+$O138</f>
        <v>0</v>
      </c>
      <c r="Q138" s="43" t="str">
        <f aca="false">IF(OR($B138="",$C138=""),"",IFERROR(SUMIFS('KNOWIFY REVIEW'!$AF$4:$AF$400,'KNOWIFY REVIEW'!$AB$4:$AB$400,$B138,'KNOWIFY REVIEW'!$AC$4:$AC$400,$C138,'KNOWIFY REVIEW'!$AD$4:$AD$400,1)/SUMIFS('KNOWIFY REVIEW'!$AE$4:$AE$400,'KNOWIFY REVIEW'!$AB$4:$AB$400,$B138,'KNOWIFY REVIEW'!$AC$4:$AC$400,$C138,'KNOWIFY REVIEW'!$AD$4:$AD$400,1),""))</f>
        <v/>
      </c>
      <c r="R138" s="43" t="str">
        <f aca="false">IF(OR($B138="",$C138=""),"",IFERROR(SUMIFS('KNOWIFY REVIEW'!$AH$4:$AH$400,'KNOWIFY REVIEW'!$AB$4:$AB$400,$B138,'KNOWIFY REVIEW'!$AC$4:$AC$400,IF(OR($C138=INPUTS!$B$69,$C138=INPUTS!$B$70),INPUTS!$B$71,$C138),'KNOWIFY REVIEW'!$AD$4:$AD$400,1)/SUMIFS('KNOWIFY REVIEW'!$AG$4:$AG$400,'KNOWIFY REVIEW'!$AB$4:$AB$400,$B138,'KNOWIFY REVIEW'!$AC$4:$AC$400,IF(OR($C138=INPUTS!$B$69,$C138=INPUTS!$B$70),INPUTS!$B$71,$C138),'KNOWIFY REVIEW'!$AD$4:$AD$400,1),""))</f>
        <v/>
      </c>
      <c r="S138" s="24" t="str">
        <f aca="false">IF(MAX(N($Q138),N($R138))&gt;1.1,"Past job ran over budget","")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38"/>
      <c r="F139" s="10"/>
      <c r="G139" s="39"/>
      <c r="H139" s="40"/>
      <c r="I139" s="39"/>
      <c r="J139" s="38"/>
      <c r="K139" s="10" t="s">
        <v>237</v>
      </c>
      <c r="L139" s="28" t="n">
        <f aca="false">($E139*$G139+$I139)*(1+IF($K139="N",0,INPUTS!$C$23))</f>
        <v>0</v>
      </c>
      <c r="M139" s="41" t="n">
        <f aca="false">$E139*$H139+$J139</f>
        <v>0</v>
      </c>
      <c r="N139" s="28" t="n">
        <f aca="false">$M139*IF(OR($B139="V",$B139="AC"),'LABOUR RATES'!$E$26,'LABOUR RATES'!$E$11)</f>
        <v>0</v>
      </c>
      <c r="O139" s="28" t="n">
        <f aca="false">$M139*IF(OR($B139="V",$B139="AC"),'LABOUR RATES'!$C$27,'LABOUR RATES'!$C$12)</f>
        <v>0</v>
      </c>
      <c r="P139" s="42" t="n">
        <f aca="false">$L139+$N139+$O139</f>
        <v>0</v>
      </c>
      <c r="Q139" s="43" t="str">
        <f aca="false">IF(OR($B139="",$C139=""),"",IFERROR(SUMIFS('KNOWIFY REVIEW'!$AF$4:$AF$400,'KNOWIFY REVIEW'!$AB$4:$AB$400,$B139,'KNOWIFY REVIEW'!$AC$4:$AC$400,$C139,'KNOWIFY REVIEW'!$AD$4:$AD$400,1)/SUMIFS('KNOWIFY REVIEW'!$AE$4:$AE$400,'KNOWIFY REVIEW'!$AB$4:$AB$400,$B139,'KNOWIFY REVIEW'!$AC$4:$AC$400,$C139,'KNOWIFY REVIEW'!$AD$4:$AD$400,1),""))</f>
        <v/>
      </c>
      <c r="R139" s="43" t="str">
        <f aca="false">IF(OR($B139="",$C139=""),"",IFERROR(SUMIFS('KNOWIFY REVIEW'!$AH$4:$AH$400,'KNOWIFY REVIEW'!$AB$4:$AB$400,$B139,'KNOWIFY REVIEW'!$AC$4:$AC$400,IF(OR($C139=INPUTS!$B$69,$C139=INPUTS!$B$70),INPUTS!$B$71,$C139),'KNOWIFY REVIEW'!$AD$4:$AD$400,1)/SUMIFS('KNOWIFY REVIEW'!$AG$4:$AG$400,'KNOWIFY REVIEW'!$AB$4:$AB$400,$B139,'KNOWIFY REVIEW'!$AC$4:$AC$400,IF(OR($C139=INPUTS!$B$69,$C139=INPUTS!$B$70),INPUTS!$B$71,$C139),'KNOWIFY REVIEW'!$AD$4:$AD$400,1),""))</f>
        <v/>
      </c>
      <c r="S139" s="24" t="str">
        <f aca="false">IF(MAX(N($Q139),N($R139))&gt;1.1,"Past job ran over budget","")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38"/>
      <c r="F140" s="10"/>
      <c r="G140" s="39"/>
      <c r="H140" s="40"/>
      <c r="I140" s="39"/>
      <c r="J140" s="38"/>
      <c r="K140" s="10" t="s">
        <v>237</v>
      </c>
      <c r="L140" s="28" t="n">
        <f aca="false">($E140*$G140+$I140)*(1+IF($K140="N",0,INPUTS!$C$23))</f>
        <v>0</v>
      </c>
      <c r="M140" s="41" t="n">
        <f aca="false">$E140*$H140+$J140</f>
        <v>0</v>
      </c>
      <c r="N140" s="28" t="n">
        <f aca="false">$M140*IF(OR($B140="V",$B140="AC"),'LABOUR RATES'!$E$26,'LABOUR RATES'!$E$11)</f>
        <v>0</v>
      </c>
      <c r="O140" s="28" t="n">
        <f aca="false">$M140*IF(OR($B140="V",$B140="AC"),'LABOUR RATES'!$C$27,'LABOUR RATES'!$C$12)</f>
        <v>0</v>
      </c>
      <c r="P140" s="42" t="n">
        <f aca="false">$L140+$N140+$O140</f>
        <v>0</v>
      </c>
      <c r="Q140" s="43" t="str">
        <f aca="false">IF(OR($B140="",$C140=""),"",IFERROR(SUMIFS('KNOWIFY REVIEW'!$AF$4:$AF$400,'KNOWIFY REVIEW'!$AB$4:$AB$400,$B140,'KNOWIFY REVIEW'!$AC$4:$AC$400,$C140,'KNOWIFY REVIEW'!$AD$4:$AD$400,1)/SUMIFS('KNOWIFY REVIEW'!$AE$4:$AE$400,'KNOWIFY REVIEW'!$AB$4:$AB$400,$B140,'KNOWIFY REVIEW'!$AC$4:$AC$400,$C140,'KNOWIFY REVIEW'!$AD$4:$AD$400,1),""))</f>
        <v/>
      </c>
      <c r="R140" s="43" t="str">
        <f aca="false">IF(OR($B140="",$C140=""),"",IFERROR(SUMIFS('KNOWIFY REVIEW'!$AH$4:$AH$400,'KNOWIFY REVIEW'!$AB$4:$AB$400,$B140,'KNOWIFY REVIEW'!$AC$4:$AC$400,IF(OR($C140=INPUTS!$B$69,$C140=INPUTS!$B$70),INPUTS!$B$71,$C140),'KNOWIFY REVIEW'!$AD$4:$AD$400,1)/SUMIFS('KNOWIFY REVIEW'!$AG$4:$AG$400,'KNOWIFY REVIEW'!$AB$4:$AB$400,$B140,'KNOWIFY REVIEW'!$AC$4:$AC$400,IF(OR($C140=INPUTS!$B$69,$C140=INPUTS!$B$70),INPUTS!$B$71,$C140),'KNOWIFY REVIEW'!$AD$4:$AD$400,1),""))</f>
        <v/>
      </c>
      <c r="S140" s="24" t="str">
        <f aca="false">IF(MAX(N($Q140),N($R140))&gt;1.1,"Past job ran over budget","")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38"/>
      <c r="F141" s="10"/>
      <c r="G141" s="39"/>
      <c r="H141" s="40"/>
      <c r="I141" s="39"/>
      <c r="J141" s="38"/>
      <c r="K141" s="10" t="s">
        <v>237</v>
      </c>
      <c r="L141" s="28" t="n">
        <f aca="false">($E141*$G141+$I141)*(1+IF($K141="N",0,INPUTS!$C$23))</f>
        <v>0</v>
      </c>
      <c r="M141" s="41" t="n">
        <f aca="false">$E141*$H141+$J141</f>
        <v>0</v>
      </c>
      <c r="N141" s="28" t="n">
        <f aca="false">$M141*IF(OR($B141="V",$B141="AC"),'LABOUR RATES'!$E$26,'LABOUR RATES'!$E$11)</f>
        <v>0</v>
      </c>
      <c r="O141" s="28" t="n">
        <f aca="false">$M141*IF(OR($B141="V",$B141="AC"),'LABOUR RATES'!$C$27,'LABOUR RATES'!$C$12)</f>
        <v>0</v>
      </c>
      <c r="P141" s="42" t="n">
        <f aca="false">$L141+$N141+$O141</f>
        <v>0</v>
      </c>
      <c r="Q141" s="43" t="str">
        <f aca="false">IF(OR($B141="",$C141=""),"",IFERROR(SUMIFS('KNOWIFY REVIEW'!$AF$4:$AF$400,'KNOWIFY REVIEW'!$AB$4:$AB$400,$B141,'KNOWIFY REVIEW'!$AC$4:$AC$400,$C141,'KNOWIFY REVIEW'!$AD$4:$AD$400,1)/SUMIFS('KNOWIFY REVIEW'!$AE$4:$AE$400,'KNOWIFY REVIEW'!$AB$4:$AB$400,$B141,'KNOWIFY REVIEW'!$AC$4:$AC$400,$C141,'KNOWIFY REVIEW'!$AD$4:$AD$400,1),""))</f>
        <v/>
      </c>
      <c r="R141" s="43" t="str">
        <f aca="false">IF(OR($B141="",$C141=""),"",IFERROR(SUMIFS('KNOWIFY REVIEW'!$AH$4:$AH$400,'KNOWIFY REVIEW'!$AB$4:$AB$400,$B141,'KNOWIFY REVIEW'!$AC$4:$AC$400,IF(OR($C141=INPUTS!$B$69,$C141=INPUTS!$B$70),INPUTS!$B$71,$C141),'KNOWIFY REVIEW'!$AD$4:$AD$400,1)/SUMIFS('KNOWIFY REVIEW'!$AG$4:$AG$400,'KNOWIFY REVIEW'!$AB$4:$AB$400,$B141,'KNOWIFY REVIEW'!$AC$4:$AC$400,IF(OR($C141=INPUTS!$B$69,$C141=INPUTS!$B$70),INPUTS!$B$71,$C141),'KNOWIFY REVIEW'!$AD$4:$AD$400,1),""))</f>
        <v/>
      </c>
      <c r="S141" s="24" t="str">
        <f aca="false">IF(MAX(N($Q141),N($R141))&gt;1.1,"Past job ran over budget","")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38"/>
      <c r="F142" s="10"/>
      <c r="G142" s="39"/>
      <c r="H142" s="40"/>
      <c r="I142" s="39"/>
      <c r="J142" s="38"/>
      <c r="K142" s="10" t="s">
        <v>237</v>
      </c>
      <c r="L142" s="28" t="n">
        <f aca="false">($E142*$G142+$I142)*(1+IF($K142="N",0,INPUTS!$C$23))</f>
        <v>0</v>
      </c>
      <c r="M142" s="41" t="n">
        <f aca="false">$E142*$H142+$J142</f>
        <v>0</v>
      </c>
      <c r="N142" s="28" t="n">
        <f aca="false">$M142*IF(OR($B142="V",$B142="AC"),'LABOUR RATES'!$E$26,'LABOUR RATES'!$E$11)</f>
        <v>0</v>
      </c>
      <c r="O142" s="28" t="n">
        <f aca="false">$M142*IF(OR($B142="V",$B142="AC"),'LABOUR RATES'!$C$27,'LABOUR RATES'!$C$12)</f>
        <v>0</v>
      </c>
      <c r="P142" s="42" t="n">
        <f aca="false">$L142+$N142+$O142</f>
        <v>0</v>
      </c>
      <c r="Q142" s="43" t="str">
        <f aca="false">IF(OR($B142="",$C142=""),"",IFERROR(SUMIFS('KNOWIFY REVIEW'!$AF$4:$AF$400,'KNOWIFY REVIEW'!$AB$4:$AB$400,$B142,'KNOWIFY REVIEW'!$AC$4:$AC$400,$C142,'KNOWIFY REVIEW'!$AD$4:$AD$400,1)/SUMIFS('KNOWIFY REVIEW'!$AE$4:$AE$400,'KNOWIFY REVIEW'!$AB$4:$AB$400,$B142,'KNOWIFY REVIEW'!$AC$4:$AC$400,$C142,'KNOWIFY REVIEW'!$AD$4:$AD$400,1),""))</f>
        <v/>
      </c>
      <c r="R142" s="43" t="str">
        <f aca="false">IF(OR($B142="",$C142=""),"",IFERROR(SUMIFS('KNOWIFY REVIEW'!$AH$4:$AH$400,'KNOWIFY REVIEW'!$AB$4:$AB$400,$B142,'KNOWIFY REVIEW'!$AC$4:$AC$400,IF(OR($C142=INPUTS!$B$69,$C142=INPUTS!$B$70),INPUTS!$B$71,$C142),'KNOWIFY REVIEW'!$AD$4:$AD$400,1)/SUMIFS('KNOWIFY REVIEW'!$AG$4:$AG$400,'KNOWIFY REVIEW'!$AB$4:$AB$400,$B142,'KNOWIFY REVIEW'!$AC$4:$AC$400,IF(OR($C142=INPUTS!$B$69,$C142=INPUTS!$B$70),INPUTS!$B$71,$C142),'KNOWIFY REVIEW'!$AD$4:$AD$400,1),""))</f>
        <v/>
      </c>
      <c r="S142" s="24" t="str">
        <f aca="false">IF(MAX(N($Q142),N($R142))&gt;1.1,"Past job ran over budget","")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38"/>
      <c r="F143" s="10"/>
      <c r="G143" s="39"/>
      <c r="H143" s="40"/>
      <c r="I143" s="39"/>
      <c r="J143" s="38"/>
      <c r="K143" s="10" t="s">
        <v>237</v>
      </c>
      <c r="L143" s="28" t="n">
        <f aca="false">($E143*$G143+$I143)*(1+IF($K143="N",0,INPUTS!$C$23))</f>
        <v>0</v>
      </c>
      <c r="M143" s="41" t="n">
        <f aca="false">$E143*$H143+$J143</f>
        <v>0</v>
      </c>
      <c r="N143" s="28" t="n">
        <f aca="false">$M143*IF(OR($B143="V",$B143="AC"),'LABOUR RATES'!$E$26,'LABOUR RATES'!$E$11)</f>
        <v>0</v>
      </c>
      <c r="O143" s="28" t="n">
        <f aca="false">$M143*IF(OR($B143="V",$B143="AC"),'LABOUR RATES'!$C$27,'LABOUR RATES'!$C$12)</f>
        <v>0</v>
      </c>
      <c r="P143" s="42" t="n">
        <f aca="false">$L143+$N143+$O143</f>
        <v>0</v>
      </c>
      <c r="Q143" s="43" t="str">
        <f aca="false">IF(OR($B143="",$C143=""),"",IFERROR(SUMIFS('KNOWIFY REVIEW'!$AF$4:$AF$400,'KNOWIFY REVIEW'!$AB$4:$AB$400,$B143,'KNOWIFY REVIEW'!$AC$4:$AC$400,$C143,'KNOWIFY REVIEW'!$AD$4:$AD$400,1)/SUMIFS('KNOWIFY REVIEW'!$AE$4:$AE$400,'KNOWIFY REVIEW'!$AB$4:$AB$400,$B143,'KNOWIFY REVIEW'!$AC$4:$AC$400,$C143,'KNOWIFY REVIEW'!$AD$4:$AD$400,1),""))</f>
        <v/>
      </c>
      <c r="R143" s="43" t="str">
        <f aca="false">IF(OR($B143="",$C143=""),"",IFERROR(SUMIFS('KNOWIFY REVIEW'!$AH$4:$AH$400,'KNOWIFY REVIEW'!$AB$4:$AB$400,$B143,'KNOWIFY REVIEW'!$AC$4:$AC$400,IF(OR($C143=INPUTS!$B$69,$C143=INPUTS!$B$70),INPUTS!$B$71,$C143),'KNOWIFY REVIEW'!$AD$4:$AD$400,1)/SUMIFS('KNOWIFY REVIEW'!$AG$4:$AG$400,'KNOWIFY REVIEW'!$AB$4:$AB$400,$B143,'KNOWIFY REVIEW'!$AC$4:$AC$400,IF(OR($C143=INPUTS!$B$69,$C143=INPUTS!$B$70),INPUTS!$B$71,$C143),'KNOWIFY REVIEW'!$AD$4:$AD$400,1),""))</f>
        <v/>
      </c>
      <c r="S143" s="24" t="str">
        <f aca="false">IF(MAX(N($Q143),N($R143))&gt;1.1,"Past job ran over budget","")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38"/>
      <c r="F144" s="10"/>
      <c r="G144" s="39"/>
      <c r="H144" s="40"/>
      <c r="I144" s="39"/>
      <c r="J144" s="38"/>
      <c r="K144" s="10" t="s">
        <v>237</v>
      </c>
      <c r="L144" s="28" t="n">
        <f aca="false">($E144*$G144+$I144)*(1+IF($K144="N",0,INPUTS!$C$23))</f>
        <v>0</v>
      </c>
      <c r="M144" s="41" t="n">
        <f aca="false">$E144*$H144+$J144</f>
        <v>0</v>
      </c>
      <c r="N144" s="28" t="n">
        <f aca="false">$M144*IF(OR($B144="V",$B144="AC"),'LABOUR RATES'!$E$26,'LABOUR RATES'!$E$11)</f>
        <v>0</v>
      </c>
      <c r="O144" s="28" t="n">
        <f aca="false">$M144*IF(OR($B144="V",$B144="AC"),'LABOUR RATES'!$C$27,'LABOUR RATES'!$C$12)</f>
        <v>0</v>
      </c>
      <c r="P144" s="42" t="n">
        <f aca="false">$L144+$N144+$O144</f>
        <v>0</v>
      </c>
      <c r="Q144" s="43" t="str">
        <f aca="false">IF(OR($B144="",$C144=""),"",IFERROR(SUMIFS('KNOWIFY REVIEW'!$AF$4:$AF$400,'KNOWIFY REVIEW'!$AB$4:$AB$400,$B144,'KNOWIFY REVIEW'!$AC$4:$AC$400,$C144,'KNOWIFY REVIEW'!$AD$4:$AD$400,1)/SUMIFS('KNOWIFY REVIEW'!$AE$4:$AE$400,'KNOWIFY REVIEW'!$AB$4:$AB$400,$B144,'KNOWIFY REVIEW'!$AC$4:$AC$400,$C144,'KNOWIFY REVIEW'!$AD$4:$AD$400,1),""))</f>
        <v/>
      </c>
      <c r="R144" s="43" t="str">
        <f aca="false">IF(OR($B144="",$C144=""),"",IFERROR(SUMIFS('KNOWIFY REVIEW'!$AH$4:$AH$400,'KNOWIFY REVIEW'!$AB$4:$AB$400,$B144,'KNOWIFY REVIEW'!$AC$4:$AC$400,IF(OR($C144=INPUTS!$B$69,$C144=INPUTS!$B$70),INPUTS!$B$71,$C144),'KNOWIFY REVIEW'!$AD$4:$AD$400,1)/SUMIFS('KNOWIFY REVIEW'!$AG$4:$AG$400,'KNOWIFY REVIEW'!$AB$4:$AB$400,$B144,'KNOWIFY REVIEW'!$AC$4:$AC$400,IF(OR($C144=INPUTS!$B$69,$C144=INPUTS!$B$70),INPUTS!$B$71,$C144),'KNOWIFY REVIEW'!$AD$4:$AD$400,1),""))</f>
        <v/>
      </c>
      <c r="S144" s="24" t="str">
        <f aca="false">IF(MAX(N($Q144),N($R144))&gt;1.1,"Past job ran over budget","")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38"/>
      <c r="F145" s="10"/>
      <c r="G145" s="39"/>
      <c r="H145" s="40"/>
      <c r="I145" s="39"/>
      <c r="J145" s="38"/>
      <c r="K145" s="10" t="s">
        <v>237</v>
      </c>
      <c r="L145" s="28" t="n">
        <f aca="false">($E145*$G145+$I145)*(1+IF($K145="N",0,INPUTS!$C$23))</f>
        <v>0</v>
      </c>
      <c r="M145" s="41" t="n">
        <f aca="false">$E145*$H145+$J145</f>
        <v>0</v>
      </c>
      <c r="N145" s="28" t="n">
        <f aca="false">$M145*IF(OR($B145="V",$B145="AC"),'LABOUR RATES'!$E$26,'LABOUR RATES'!$E$11)</f>
        <v>0</v>
      </c>
      <c r="O145" s="28" t="n">
        <f aca="false">$M145*IF(OR($B145="V",$B145="AC"),'LABOUR RATES'!$C$27,'LABOUR RATES'!$C$12)</f>
        <v>0</v>
      </c>
      <c r="P145" s="42" t="n">
        <f aca="false">$L145+$N145+$O145</f>
        <v>0</v>
      </c>
      <c r="Q145" s="43" t="str">
        <f aca="false">IF(OR($B145="",$C145=""),"",IFERROR(SUMIFS('KNOWIFY REVIEW'!$AF$4:$AF$400,'KNOWIFY REVIEW'!$AB$4:$AB$400,$B145,'KNOWIFY REVIEW'!$AC$4:$AC$400,$C145,'KNOWIFY REVIEW'!$AD$4:$AD$400,1)/SUMIFS('KNOWIFY REVIEW'!$AE$4:$AE$400,'KNOWIFY REVIEW'!$AB$4:$AB$400,$B145,'KNOWIFY REVIEW'!$AC$4:$AC$400,$C145,'KNOWIFY REVIEW'!$AD$4:$AD$400,1),""))</f>
        <v/>
      </c>
      <c r="R145" s="43" t="str">
        <f aca="false">IF(OR($B145="",$C145=""),"",IFERROR(SUMIFS('KNOWIFY REVIEW'!$AH$4:$AH$400,'KNOWIFY REVIEW'!$AB$4:$AB$400,$B145,'KNOWIFY REVIEW'!$AC$4:$AC$400,IF(OR($C145=INPUTS!$B$69,$C145=INPUTS!$B$70),INPUTS!$B$71,$C145),'KNOWIFY REVIEW'!$AD$4:$AD$400,1)/SUMIFS('KNOWIFY REVIEW'!$AG$4:$AG$400,'KNOWIFY REVIEW'!$AB$4:$AB$400,$B145,'KNOWIFY REVIEW'!$AC$4:$AC$400,IF(OR($C145=INPUTS!$B$69,$C145=INPUTS!$B$70),INPUTS!$B$71,$C145),'KNOWIFY REVIEW'!$AD$4:$AD$400,1),""))</f>
        <v/>
      </c>
      <c r="S145" s="24" t="str">
        <f aca="false">IF(MAX(N($Q145),N($R145))&gt;1.1,"Past job ran over budget","")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38"/>
      <c r="F146" s="10"/>
      <c r="G146" s="39"/>
      <c r="H146" s="40"/>
      <c r="I146" s="39"/>
      <c r="J146" s="38"/>
      <c r="K146" s="10" t="s">
        <v>237</v>
      </c>
      <c r="L146" s="28" t="n">
        <f aca="false">($E146*$G146+$I146)*(1+IF($K146="N",0,INPUTS!$C$23))</f>
        <v>0</v>
      </c>
      <c r="M146" s="41" t="n">
        <f aca="false">$E146*$H146+$J146</f>
        <v>0</v>
      </c>
      <c r="N146" s="28" t="n">
        <f aca="false">$M146*IF(OR($B146="V",$B146="AC"),'LABOUR RATES'!$E$26,'LABOUR RATES'!$E$11)</f>
        <v>0</v>
      </c>
      <c r="O146" s="28" t="n">
        <f aca="false">$M146*IF(OR($B146="V",$B146="AC"),'LABOUR RATES'!$C$27,'LABOUR RATES'!$C$12)</f>
        <v>0</v>
      </c>
      <c r="P146" s="42" t="n">
        <f aca="false">$L146+$N146+$O146</f>
        <v>0</v>
      </c>
      <c r="Q146" s="43" t="str">
        <f aca="false">IF(OR($B146="",$C146=""),"",IFERROR(SUMIFS('KNOWIFY REVIEW'!$AF$4:$AF$400,'KNOWIFY REVIEW'!$AB$4:$AB$400,$B146,'KNOWIFY REVIEW'!$AC$4:$AC$400,$C146,'KNOWIFY REVIEW'!$AD$4:$AD$400,1)/SUMIFS('KNOWIFY REVIEW'!$AE$4:$AE$400,'KNOWIFY REVIEW'!$AB$4:$AB$400,$B146,'KNOWIFY REVIEW'!$AC$4:$AC$400,$C146,'KNOWIFY REVIEW'!$AD$4:$AD$400,1),""))</f>
        <v/>
      </c>
      <c r="R146" s="43" t="str">
        <f aca="false">IF(OR($B146="",$C146=""),"",IFERROR(SUMIFS('KNOWIFY REVIEW'!$AH$4:$AH$400,'KNOWIFY REVIEW'!$AB$4:$AB$400,$B146,'KNOWIFY REVIEW'!$AC$4:$AC$400,IF(OR($C146=INPUTS!$B$69,$C146=INPUTS!$B$70),INPUTS!$B$71,$C146),'KNOWIFY REVIEW'!$AD$4:$AD$400,1)/SUMIFS('KNOWIFY REVIEW'!$AG$4:$AG$400,'KNOWIFY REVIEW'!$AB$4:$AB$400,$B146,'KNOWIFY REVIEW'!$AC$4:$AC$400,IF(OR($C146=INPUTS!$B$69,$C146=INPUTS!$B$70),INPUTS!$B$71,$C146),'KNOWIFY REVIEW'!$AD$4:$AD$400,1),""))</f>
        <v/>
      </c>
      <c r="S146" s="24" t="str">
        <f aca="false">IF(MAX(N($Q146),N($R146))&gt;1.1,"Past job ran over budget","")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38"/>
      <c r="F147" s="10"/>
      <c r="G147" s="39"/>
      <c r="H147" s="40"/>
      <c r="I147" s="39"/>
      <c r="J147" s="38"/>
      <c r="K147" s="10" t="s">
        <v>237</v>
      </c>
      <c r="L147" s="28" t="n">
        <f aca="false">($E147*$G147+$I147)*(1+IF($K147="N",0,INPUTS!$C$23))</f>
        <v>0</v>
      </c>
      <c r="M147" s="41" t="n">
        <f aca="false">$E147*$H147+$J147</f>
        <v>0</v>
      </c>
      <c r="N147" s="28" t="n">
        <f aca="false">$M147*IF(OR($B147="V",$B147="AC"),'LABOUR RATES'!$E$26,'LABOUR RATES'!$E$11)</f>
        <v>0</v>
      </c>
      <c r="O147" s="28" t="n">
        <f aca="false">$M147*IF(OR($B147="V",$B147="AC"),'LABOUR RATES'!$C$27,'LABOUR RATES'!$C$12)</f>
        <v>0</v>
      </c>
      <c r="P147" s="42" t="n">
        <f aca="false">$L147+$N147+$O147</f>
        <v>0</v>
      </c>
      <c r="Q147" s="43" t="str">
        <f aca="false">IF(OR($B147="",$C147=""),"",IFERROR(SUMIFS('KNOWIFY REVIEW'!$AF$4:$AF$400,'KNOWIFY REVIEW'!$AB$4:$AB$400,$B147,'KNOWIFY REVIEW'!$AC$4:$AC$400,$C147,'KNOWIFY REVIEW'!$AD$4:$AD$400,1)/SUMIFS('KNOWIFY REVIEW'!$AE$4:$AE$400,'KNOWIFY REVIEW'!$AB$4:$AB$400,$B147,'KNOWIFY REVIEW'!$AC$4:$AC$400,$C147,'KNOWIFY REVIEW'!$AD$4:$AD$400,1),""))</f>
        <v/>
      </c>
      <c r="R147" s="43" t="str">
        <f aca="false">IF(OR($B147="",$C147=""),"",IFERROR(SUMIFS('KNOWIFY REVIEW'!$AH$4:$AH$400,'KNOWIFY REVIEW'!$AB$4:$AB$400,$B147,'KNOWIFY REVIEW'!$AC$4:$AC$400,IF(OR($C147=INPUTS!$B$69,$C147=INPUTS!$B$70),INPUTS!$B$71,$C147),'KNOWIFY REVIEW'!$AD$4:$AD$400,1)/SUMIFS('KNOWIFY REVIEW'!$AG$4:$AG$400,'KNOWIFY REVIEW'!$AB$4:$AB$400,$B147,'KNOWIFY REVIEW'!$AC$4:$AC$400,IF(OR($C147=INPUTS!$B$69,$C147=INPUTS!$B$70),INPUTS!$B$71,$C147),'KNOWIFY REVIEW'!$AD$4:$AD$400,1),""))</f>
        <v/>
      </c>
      <c r="S147" s="24" t="str">
        <f aca="false">IF(MAX(N($Q147),N($R147))&gt;1.1,"Past job ran over budget","")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38"/>
      <c r="F148" s="10"/>
      <c r="G148" s="39"/>
      <c r="H148" s="40"/>
      <c r="I148" s="39"/>
      <c r="J148" s="38"/>
      <c r="K148" s="10" t="s">
        <v>237</v>
      </c>
      <c r="L148" s="28" t="n">
        <f aca="false">($E148*$G148+$I148)*(1+IF($K148="N",0,INPUTS!$C$23))</f>
        <v>0</v>
      </c>
      <c r="M148" s="41" t="n">
        <f aca="false">$E148*$H148+$J148</f>
        <v>0</v>
      </c>
      <c r="N148" s="28" t="n">
        <f aca="false">$M148*IF(OR($B148="V",$B148="AC"),'LABOUR RATES'!$E$26,'LABOUR RATES'!$E$11)</f>
        <v>0</v>
      </c>
      <c r="O148" s="28" t="n">
        <f aca="false">$M148*IF(OR($B148="V",$B148="AC"),'LABOUR RATES'!$C$27,'LABOUR RATES'!$C$12)</f>
        <v>0</v>
      </c>
      <c r="P148" s="42" t="n">
        <f aca="false">$L148+$N148+$O148</f>
        <v>0</v>
      </c>
      <c r="Q148" s="43" t="str">
        <f aca="false">IF(OR($B148="",$C148=""),"",IFERROR(SUMIFS('KNOWIFY REVIEW'!$AF$4:$AF$400,'KNOWIFY REVIEW'!$AB$4:$AB$400,$B148,'KNOWIFY REVIEW'!$AC$4:$AC$400,$C148,'KNOWIFY REVIEW'!$AD$4:$AD$400,1)/SUMIFS('KNOWIFY REVIEW'!$AE$4:$AE$400,'KNOWIFY REVIEW'!$AB$4:$AB$400,$B148,'KNOWIFY REVIEW'!$AC$4:$AC$400,$C148,'KNOWIFY REVIEW'!$AD$4:$AD$400,1),""))</f>
        <v/>
      </c>
      <c r="R148" s="43" t="str">
        <f aca="false">IF(OR($B148="",$C148=""),"",IFERROR(SUMIFS('KNOWIFY REVIEW'!$AH$4:$AH$400,'KNOWIFY REVIEW'!$AB$4:$AB$400,$B148,'KNOWIFY REVIEW'!$AC$4:$AC$400,IF(OR($C148=INPUTS!$B$69,$C148=INPUTS!$B$70),INPUTS!$B$71,$C148),'KNOWIFY REVIEW'!$AD$4:$AD$400,1)/SUMIFS('KNOWIFY REVIEW'!$AG$4:$AG$400,'KNOWIFY REVIEW'!$AB$4:$AB$400,$B148,'KNOWIFY REVIEW'!$AC$4:$AC$400,IF(OR($C148=INPUTS!$B$69,$C148=INPUTS!$B$70),INPUTS!$B$71,$C148),'KNOWIFY REVIEW'!$AD$4:$AD$400,1),""))</f>
        <v/>
      </c>
      <c r="S148" s="24" t="str">
        <f aca="false">IF(MAX(N($Q148),N($R148))&gt;1.1,"Past job ran over budget","")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38"/>
      <c r="F149" s="10"/>
      <c r="G149" s="39"/>
      <c r="H149" s="40"/>
      <c r="I149" s="39"/>
      <c r="J149" s="38"/>
      <c r="K149" s="10" t="s">
        <v>237</v>
      </c>
      <c r="L149" s="28" t="n">
        <f aca="false">($E149*$G149+$I149)*(1+IF($K149="N",0,INPUTS!$C$23))</f>
        <v>0</v>
      </c>
      <c r="M149" s="41" t="n">
        <f aca="false">$E149*$H149+$J149</f>
        <v>0</v>
      </c>
      <c r="N149" s="28" t="n">
        <f aca="false">$M149*IF(OR($B149="V",$B149="AC"),'LABOUR RATES'!$E$26,'LABOUR RATES'!$E$11)</f>
        <v>0</v>
      </c>
      <c r="O149" s="28" t="n">
        <f aca="false">$M149*IF(OR($B149="V",$B149="AC"),'LABOUR RATES'!$C$27,'LABOUR RATES'!$C$12)</f>
        <v>0</v>
      </c>
      <c r="P149" s="42" t="n">
        <f aca="false">$L149+$N149+$O149</f>
        <v>0</v>
      </c>
      <c r="Q149" s="43" t="str">
        <f aca="false">IF(OR($B149="",$C149=""),"",IFERROR(SUMIFS('KNOWIFY REVIEW'!$AF$4:$AF$400,'KNOWIFY REVIEW'!$AB$4:$AB$400,$B149,'KNOWIFY REVIEW'!$AC$4:$AC$400,$C149,'KNOWIFY REVIEW'!$AD$4:$AD$400,1)/SUMIFS('KNOWIFY REVIEW'!$AE$4:$AE$400,'KNOWIFY REVIEW'!$AB$4:$AB$400,$B149,'KNOWIFY REVIEW'!$AC$4:$AC$400,$C149,'KNOWIFY REVIEW'!$AD$4:$AD$400,1),""))</f>
        <v/>
      </c>
      <c r="R149" s="43" t="str">
        <f aca="false">IF(OR($B149="",$C149=""),"",IFERROR(SUMIFS('KNOWIFY REVIEW'!$AH$4:$AH$400,'KNOWIFY REVIEW'!$AB$4:$AB$400,$B149,'KNOWIFY REVIEW'!$AC$4:$AC$400,IF(OR($C149=INPUTS!$B$69,$C149=INPUTS!$B$70),INPUTS!$B$71,$C149),'KNOWIFY REVIEW'!$AD$4:$AD$400,1)/SUMIFS('KNOWIFY REVIEW'!$AG$4:$AG$400,'KNOWIFY REVIEW'!$AB$4:$AB$400,$B149,'KNOWIFY REVIEW'!$AC$4:$AC$400,IF(OR($C149=INPUTS!$B$69,$C149=INPUTS!$B$70),INPUTS!$B$71,$C149),'KNOWIFY REVIEW'!$AD$4:$AD$400,1),""))</f>
        <v/>
      </c>
      <c r="S149" s="24" t="str">
        <f aca="false">IF(MAX(N($Q149),N($R149))&gt;1.1,"Past job ran over budget","")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38"/>
      <c r="F150" s="10"/>
      <c r="G150" s="39"/>
      <c r="H150" s="40"/>
      <c r="I150" s="39"/>
      <c r="J150" s="38"/>
      <c r="K150" s="10" t="s">
        <v>237</v>
      </c>
      <c r="L150" s="28" t="n">
        <f aca="false">($E150*$G150+$I150)*(1+IF($K150="N",0,INPUTS!$C$23))</f>
        <v>0</v>
      </c>
      <c r="M150" s="41" t="n">
        <f aca="false">$E150*$H150+$J150</f>
        <v>0</v>
      </c>
      <c r="N150" s="28" t="n">
        <f aca="false">$M150*IF(OR($B150="V",$B150="AC"),'LABOUR RATES'!$E$26,'LABOUR RATES'!$E$11)</f>
        <v>0</v>
      </c>
      <c r="O150" s="28" t="n">
        <f aca="false">$M150*IF(OR($B150="V",$B150="AC"),'LABOUR RATES'!$C$27,'LABOUR RATES'!$C$12)</f>
        <v>0</v>
      </c>
      <c r="P150" s="42" t="n">
        <f aca="false">$L150+$N150+$O150</f>
        <v>0</v>
      </c>
      <c r="Q150" s="43" t="str">
        <f aca="false">IF(OR($B150="",$C150=""),"",IFERROR(SUMIFS('KNOWIFY REVIEW'!$AF$4:$AF$400,'KNOWIFY REVIEW'!$AB$4:$AB$400,$B150,'KNOWIFY REVIEW'!$AC$4:$AC$400,$C150,'KNOWIFY REVIEW'!$AD$4:$AD$400,1)/SUMIFS('KNOWIFY REVIEW'!$AE$4:$AE$400,'KNOWIFY REVIEW'!$AB$4:$AB$400,$B150,'KNOWIFY REVIEW'!$AC$4:$AC$400,$C150,'KNOWIFY REVIEW'!$AD$4:$AD$400,1),""))</f>
        <v/>
      </c>
      <c r="R150" s="43" t="str">
        <f aca="false">IF(OR($B150="",$C150=""),"",IFERROR(SUMIFS('KNOWIFY REVIEW'!$AH$4:$AH$400,'KNOWIFY REVIEW'!$AB$4:$AB$400,$B150,'KNOWIFY REVIEW'!$AC$4:$AC$400,IF(OR($C150=INPUTS!$B$69,$C150=INPUTS!$B$70),INPUTS!$B$71,$C150),'KNOWIFY REVIEW'!$AD$4:$AD$400,1)/SUMIFS('KNOWIFY REVIEW'!$AG$4:$AG$400,'KNOWIFY REVIEW'!$AB$4:$AB$400,$B150,'KNOWIFY REVIEW'!$AC$4:$AC$400,IF(OR($C150=INPUTS!$B$69,$C150=INPUTS!$B$70),INPUTS!$B$71,$C150),'KNOWIFY REVIEW'!$AD$4:$AD$400,1),""))</f>
        <v/>
      </c>
      <c r="S150" s="24" t="str">
        <f aca="false">IF(MAX(N($Q150),N($R150))&gt;1.1,"Past job ran over budget","")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38"/>
      <c r="F151" s="10"/>
      <c r="G151" s="39"/>
      <c r="H151" s="40"/>
      <c r="I151" s="39"/>
      <c r="J151" s="38"/>
      <c r="K151" s="10" t="s">
        <v>237</v>
      </c>
      <c r="L151" s="28" t="n">
        <f aca="false">($E151*$G151+$I151)*(1+IF($K151="N",0,INPUTS!$C$23))</f>
        <v>0</v>
      </c>
      <c r="M151" s="41" t="n">
        <f aca="false">$E151*$H151+$J151</f>
        <v>0</v>
      </c>
      <c r="N151" s="28" t="n">
        <f aca="false">$M151*IF(OR($B151="V",$B151="AC"),'LABOUR RATES'!$E$26,'LABOUR RATES'!$E$11)</f>
        <v>0</v>
      </c>
      <c r="O151" s="28" t="n">
        <f aca="false">$M151*IF(OR($B151="V",$B151="AC"),'LABOUR RATES'!$C$27,'LABOUR RATES'!$C$12)</f>
        <v>0</v>
      </c>
      <c r="P151" s="42" t="n">
        <f aca="false">$L151+$N151+$O151</f>
        <v>0</v>
      </c>
      <c r="Q151" s="43" t="str">
        <f aca="false">IF(OR($B151="",$C151=""),"",IFERROR(SUMIFS('KNOWIFY REVIEW'!$AF$4:$AF$400,'KNOWIFY REVIEW'!$AB$4:$AB$400,$B151,'KNOWIFY REVIEW'!$AC$4:$AC$400,$C151,'KNOWIFY REVIEW'!$AD$4:$AD$400,1)/SUMIFS('KNOWIFY REVIEW'!$AE$4:$AE$400,'KNOWIFY REVIEW'!$AB$4:$AB$400,$B151,'KNOWIFY REVIEW'!$AC$4:$AC$400,$C151,'KNOWIFY REVIEW'!$AD$4:$AD$400,1),""))</f>
        <v/>
      </c>
      <c r="R151" s="43" t="str">
        <f aca="false">IF(OR($B151="",$C151=""),"",IFERROR(SUMIFS('KNOWIFY REVIEW'!$AH$4:$AH$400,'KNOWIFY REVIEW'!$AB$4:$AB$400,$B151,'KNOWIFY REVIEW'!$AC$4:$AC$400,IF(OR($C151=INPUTS!$B$69,$C151=INPUTS!$B$70),INPUTS!$B$71,$C151),'KNOWIFY REVIEW'!$AD$4:$AD$400,1)/SUMIFS('KNOWIFY REVIEW'!$AG$4:$AG$400,'KNOWIFY REVIEW'!$AB$4:$AB$400,$B151,'KNOWIFY REVIEW'!$AC$4:$AC$400,IF(OR($C151=INPUTS!$B$69,$C151=INPUTS!$B$70),INPUTS!$B$71,$C151),'KNOWIFY REVIEW'!$AD$4:$AD$400,1),""))</f>
        <v/>
      </c>
      <c r="S151" s="24" t="str">
        <f aca="false">IF(MAX(N($Q151),N($R151))&gt;1.1,"Past job ran over budget","")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38"/>
      <c r="F152" s="10"/>
      <c r="G152" s="39"/>
      <c r="H152" s="40"/>
      <c r="I152" s="39"/>
      <c r="J152" s="38"/>
      <c r="K152" s="10" t="s">
        <v>237</v>
      </c>
      <c r="L152" s="28" t="n">
        <f aca="false">($E152*$G152+$I152)*(1+IF($K152="N",0,INPUTS!$C$23))</f>
        <v>0</v>
      </c>
      <c r="M152" s="41" t="n">
        <f aca="false">$E152*$H152+$J152</f>
        <v>0</v>
      </c>
      <c r="N152" s="28" t="n">
        <f aca="false">$M152*IF(OR($B152="V",$B152="AC"),'LABOUR RATES'!$E$26,'LABOUR RATES'!$E$11)</f>
        <v>0</v>
      </c>
      <c r="O152" s="28" t="n">
        <f aca="false">$M152*IF(OR($B152="V",$B152="AC"),'LABOUR RATES'!$C$27,'LABOUR RATES'!$C$12)</f>
        <v>0</v>
      </c>
      <c r="P152" s="42" t="n">
        <f aca="false">$L152+$N152+$O152</f>
        <v>0</v>
      </c>
      <c r="Q152" s="43" t="str">
        <f aca="false">IF(OR($B152="",$C152=""),"",IFERROR(SUMIFS('KNOWIFY REVIEW'!$AF$4:$AF$400,'KNOWIFY REVIEW'!$AB$4:$AB$400,$B152,'KNOWIFY REVIEW'!$AC$4:$AC$400,$C152,'KNOWIFY REVIEW'!$AD$4:$AD$400,1)/SUMIFS('KNOWIFY REVIEW'!$AE$4:$AE$400,'KNOWIFY REVIEW'!$AB$4:$AB$400,$B152,'KNOWIFY REVIEW'!$AC$4:$AC$400,$C152,'KNOWIFY REVIEW'!$AD$4:$AD$400,1),""))</f>
        <v/>
      </c>
      <c r="R152" s="43" t="str">
        <f aca="false">IF(OR($B152="",$C152=""),"",IFERROR(SUMIFS('KNOWIFY REVIEW'!$AH$4:$AH$400,'KNOWIFY REVIEW'!$AB$4:$AB$400,$B152,'KNOWIFY REVIEW'!$AC$4:$AC$400,IF(OR($C152=INPUTS!$B$69,$C152=INPUTS!$B$70),INPUTS!$B$71,$C152),'KNOWIFY REVIEW'!$AD$4:$AD$400,1)/SUMIFS('KNOWIFY REVIEW'!$AG$4:$AG$400,'KNOWIFY REVIEW'!$AB$4:$AB$400,$B152,'KNOWIFY REVIEW'!$AC$4:$AC$400,IF(OR($C152=INPUTS!$B$69,$C152=INPUTS!$B$70),INPUTS!$B$71,$C152),'KNOWIFY REVIEW'!$AD$4:$AD$400,1),""))</f>
        <v/>
      </c>
      <c r="S152" s="24" t="str">
        <f aca="false">IF(MAX(N($Q152),N($R152))&gt;1.1,"Past job ran over budget","")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38"/>
      <c r="F153" s="10"/>
      <c r="G153" s="39"/>
      <c r="H153" s="40"/>
      <c r="I153" s="39"/>
      <c r="J153" s="38"/>
      <c r="K153" s="10" t="s">
        <v>237</v>
      </c>
      <c r="L153" s="28" t="n">
        <f aca="false">($E153*$G153+$I153)*(1+IF($K153="N",0,INPUTS!$C$23))</f>
        <v>0</v>
      </c>
      <c r="M153" s="41" t="n">
        <f aca="false">$E153*$H153+$J153</f>
        <v>0</v>
      </c>
      <c r="N153" s="28" t="n">
        <f aca="false">$M153*IF(OR($B153="V",$B153="AC"),'LABOUR RATES'!$E$26,'LABOUR RATES'!$E$11)</f>
        <v>0</v>
      </c>
      <c r="O153" s="28" t="n">
        <f aca="false">$M153*IF(OR($B153="V",$B153="AC"),'LABOUR RATES'!$C$27,'LABOUR RATES'!$C$12)</f>
        <v>0</v>
      </c>
      <c r="P153" s="42" t="n">
        <f aca="false">$L153+$N153+$O153</f>
        <v>0</v>
      </c>
      <c r="Q153" s="43" t="str">
        <f aca="false">IF(OR($B153="",$C153=""),"",IFERROR(SUMIFS('KNOWIFY REVIEW'!$AF$4:$AF$400,'KNOWIFY REVIEW'!$AB$4:$AB$400,$B153,'KNOWIFY REVIEW'!$AC$4:$AC$400,$C153,'KNOWIFY REVIEW'!$AD$4:$AD$400,1)/SUMIFS('KNOWIFY REVIEW'!$AE$4:$AE$400,'KNOWIFY REVIEW'!$AB$4:$AB$400,$B153,'KNOWIFY REVIEW'!$AC$4:$AC$400,$C153,'KNOWIFY REVIEW'!$AD$4:$AD$400,1),""))</f>
        <v/>
      </c>
      <c r="R153" s="43" t="str">
        <f aca="false">IF(OR($B153="",$C153=""),"",IFERROR(SUMIFS('KNOWIFY REVIEW'!$AH$4:$AH$400,'KNOWIFY REVIEW'!$AB$4:$AB$400,$B153,'KNOWIFY REVIEW'!$AC$4:$AC$400,IF(OR($C153=INPUTS!$B$69,$C153=INPUTS!$B$70),INPUTS!$B$71,$C153),'KNOWIFY REVIEW'!$AD$4:$AD$400,1)/SUMIFS('KNOWIFY REVIEW'!$AG$4:$AG$400,'KNOWIFY REVIEW'!$AB$4:$AB$400,$B153,'KNOWIFY REVIEW'!$AC$4:$AC$400,IF(OR($C153=INPUTS!$B$69,$C153=INPUTS!$B$70),INPUTS!$B$71,$C153),'KNOWIFY REVIEW'!$AD$4:$AD$400,1),""))</f>
        <v/>
      </c>
      <c r="S153" s="24" t="str">
        <f aca="false">IF(MAX(N($Q153),N($R153))&gt;1.1,"Past job ran over budget","")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38"/>
      <c r="F154" s="10"/>
      <c r="G154" s="39"/>
      <c r="H154" s="40"/>
      <c r="I154" s="39"/>
      <c r="J154" s="38"/>
      <c r="K154" s="10" t="s">
        <v>237</v>
      </c>
      <c r="L154" s="28" t="n">
        <f aca="false">($E154*$G154+$I154)*(1+IF($K154="N",0,INPUTS!$C$23))</f>
        <v>0</v>
      </c>
      <c r="M154" s="41" t="n">
        <f aca="false">$E154*$H154+$J154</f>
        <v>0</v>
      </c>
      <c r="N154" s="28" t="n">
        <f aca="false">$M154*IF(OR($B154="V",$B154="AC"),'LABOUR RATES'!$E$26,'LABOUR RATES'!$E$11)</f>
        <v>0</v>
      </c>
      <c r="O154" s="28" t="n">
        <f aca="false">$M154*IF(OR($B154="V",$B154="AC"),'LABOUR RATES'!$C$27,'LABOUR RATES'!$C$12)</f>
        <v>0</v>
      </c>
      <c r="P154" s="42" t="n">
        <f aca="false">$L154+$N154+$O154</f>
        <v>0</v>
      </c>
      <c r="Q154" s="43" t="str">
        <f aca="false">IF(OR($B154="",$C154=""),"",IFERROR(SUMIFS('KNOWIFY REVIEW'!$AF$4:$AF$400,'KNOWIFY REVIEW'!$AB$4:$AB$400,$B154,'KNOWIFY REVIEW'!$AC$4:$AC$400,$C154,'KNOWIFY REVIEW'!$AD$4:$AD$400,1)/SUMIFS('KNOWIFY REVIEW'!$AE$4:$AE$400,'KNOWIFY REVIEW'!$AB$4:$AB$400,$B154,'KNOWIFY REVIEW'!$AC$4:$AC$400,$C154,'KNOWIFY REVIEW'!$AD$4:$AD$400,1),""))</f>
        <v/>
      </c>
      <c r="R154" s="43" t="str">
        <f aca="false">IF(OR($B154="",$C154=""),"",IFERROR(SUMIFS('KNOWIFY REVIEW'!$AH$4:$AH$400,'KNOWIFY REVIEW'!$AB$4:$AB$400,$B154,'KNOWIFY REVIEW'!$AC$4:$AC$400,IF(OR($C154=INPUTS!$B$69,$C154=INPUTS!$B$70),INPUTS!$B$71,$C154),'KNOWIFY REVIEW'!$AD$4:$AD$400,1)/SUMIFS('KNOWIFY REVIEW'!$AG$4:$AG$400,'KNOWIFY REVIEW'!$AB$4:$AB$400,$B154,'KNOWIFY REVIEW'!$AC$4:$AC$400,IF(OR($C154=INPUTS!$B$69,$C154=INPUTS!$B$70),INPUTS!$B$71,$C154),'KNOWIFY REVIEW'!$AD$4:$AD$400,1),""))</f>
        <v/>
      </c>
      <c r="S154" s="24" t="str">
        <f aca="false">IF(MAX(N($Q154),N($R154))&gt;1.1,"Past job ran over budget","")</f>
        <v/>
      </c>
    </row>
    <row r="155" customFormat="false" ht="15" hidden="false" customHeight="false" outlineLevel="0" collapsed="false">
      <c r="A155" s="10"/>
      <c r="B155" s="10"/>
      <c r="C155" s="10"/>
      <c r="D155" s="10"/>
      <c r="E155" s="38"/>
      <c r="F155" s="10"/>
      <c r="G155" s="39"/>
      <c r="H155" s="40"/>
      <c r="I155" s="39"/>
      <c r="J155" s="38"/>
      <c r="K155" s="10" t="s">
        <v>237</v>
      </c>
      <c r="L155" s="28" t="n">
        <f aca="false">($E155*$G155+$I155)*(1+IF($K155="N",0,INPUTS!$C$23))</f>
        <v>0</v>
      </c>
      <c r="M155" s="41" t="n">
        <f aca="false">$E155*$H155+$J155</f>
        <v>0</v>
      </c>
      <c r="N155" s="28" t="n">
        <f aca="false">$M155*IF(OR($B155="V",$B155="AC"),'LABOUR RATES'!$E$26,'LABOUR RATES'!$E$11)</f>
        <v>0</v>
      </c>
      <c r="O155" s="28" t="n">
        <f aca="false">$M155*IF(OR($B155="V",$B155="AC"),'LABOUR RATES'!$C$27,'LABOUR RATES'!$C$12)</f>
        <v>0</v>
      </c>
      <c r="P155" s="42" t="n">
        <f aca="false">$L155+$N155+$O155</f>
        <v>0</v>
      </c>
      <c r="Q155" s="43" t="str">
        <f aca="false">IF(OR($B155="",$C155=""),"",IFERROR(SUMIFS('KNOWIFY REVIEW'!$AF$4:$AF$400,'KNOWIFY REVIEW'!$AB$4:$AB$400,$B155,'KNOWIFY REVIEW'!$AC$4:$AC$400,$C155,'KNOWIFY REVIEW'!$AD$4:$AD$400,1)/SUMIFS('KNOWIFY REVIEW'!$AE$4:$AE$400,'KNOWIFY REVIEW'!$AB$4:$AB$400,$B155,'KNOWIFY REVIEW'!$AC$4:$AC$400,$C155,'KNOWIFY REVIEW'!$AD$4:$AD$400,1),""))</f>
        <v/>
      </c>
      <c r="R155" s="43" t="str">
        <f aca="false">IF(OR($B155="",$C155=""),"",IFERROR(SUMIFS('KNOWIFY REVIEW'!$AH$4:$AH$400,'KNOWIFY REVIEW'!$AB$4:$AB$400,$B155,'KNOWIFY REVIEW'!$AC$4:$AC$400,IF(OR($C155=INPUTS!$B$69,$C155=INPUTS!$B$70),INPUTS!$B$71,$C155),'KNOWIFY REVIEW'!$AD$4:$AD$400,1)/SUMIFS('KNOWIFY REVIEW'!$AG$4:$AG$400,'KNOWIFY REVIEW'!$AB$4:$AB$400,$B155,'KNOWIFY REVIEW'!$AC$4:$AC$400,IF(OR($C155=INPUTS!$B$69,$C155=INPUTS!$B$70),INPUTS!$B$71,$C155),'KNOWIFY REVIEW'!$AD$4:$AD$400,1),""))</f>
        <v/>
      </c>
      <c r="S155" s="24" t="str">
        <f aca="false">IF(MAX(N($Q155),N($R155))&gt;1.1,"Past job ran over budget","")</f>
        <v/>
      </c>
    </row>
    <row r="156" customFormat="false" ht="15" hidden="false" customHeight="false" outlineLevel="0" collapsed="false">
      <c r="A156" s="10"/>
      <c r="B156" s="10"/>
      <c r="C156" s="10"/>
      <c r="D156" s="10"/>
      <c r="E156" s="38"/>
      <c r="F156" s="10"/>
      <c r="G156" s="39"/>
      <c r="H156" s="40"/>
      <c r="I156" s="39"/>
      <c r="J156" s="38"/>
      <c r="K156" s="10" t="s">
        <v>237</v>
      </c>
      <c r="L156" s="28" t="n">
        <f aca="false">($E156*$G156+$I156)*(1+IF($K156="N",0,INPUTS!$C$23))</f>
        <v>0</v>
      </c>
      <c r="M156" s="41" t="n">
        <f aca="false">$E156*$H156+$J156</f>
        <v>0</v>
      </c>
      <c r="N156" s="28" t="n">
        <f aca="false">$M156*IF(OR($B156="V",$B156="AC"),'LABOUR RATES'!$E$26,'LABOUR RATES'!$E$11)</f>
        <v>0</v>
      </c>
      <c r="O156" s="28" t="n">
        <f aca="false">$M156*IF(OR($B156="V",$B156="AC"),'LABOUR RATES'!$C$27,'LABOUR RATES'!$C$12)</f>
        <v>0</v>
      </c>
      <c r="P156" s="42" t="n">
        <f aca="false">$L156+$N156+$O156</f>
        <v>0</v>
      </c>
      <c r="Q156" s="43" t="str">
        <f aca="false">IF(OR($B156="",$C156=""),"",IFERROR(SUMIFS('KNOWIFY REVIEW'!$AF$4:$AF$400,'KNOWIFY REVIEW'!$AB$4:$AB$400,$B156,'KNOWIFY REVIEW'!$AC$4:$AC$400,$C156,'KNOWIFY REVIEW'!$AD$4:$AD$400,1)/SUMIFS('KNOWIFY REVIEW'!$AE$4:$AE$400,'KNOWIFY REVIEW'!$AB$4:$AB$400,$B156,'KNOWIFY REVIEW'!$AC$4:$AC$400,$C156,'KNOWIFY REVIEW'!$AD$4:$AD$400,1),""))</f>
        <v/>
      </c>
      <c r="R156" s="43" t="str">
        <f aca="false">IF(OR($B156="",$C156=""),"",IFERROR(SUMIFS('KNOWIFY REVIEW'!$AH$4:$AH$400,'KNOWIFY REVIEW'!$AB$4:$AB$400,$B156,'KNOWIFY REVIEW'!$AC$4:$AC$400,IF(OR($C156=INPUTS!$B$69,$C156=INPUTS!$B$70),INPUTS!$B$71,$C156),'KNOWIFY REVIEW'!$AD$4:$AD$400,1)/SUMIFS('KNOWIFY REVIEW'!$AG$4:$AG$400,'KNOWIFY REVIEW'!$AB$4:$AB$400,$B156,'KNOWIFY REVIEW'!$AC$4:$AC$400,IF(OR($C156=INPUTS!$B$69,$C156=INPUTS!$B$70),INPUTS!$B$71,$C156),'KNOWIFY REVIEW'!$AD$4:$AD$400,1),""))</f>
        <v/>
      </c>
      <c r="S156" s="24" t="str">
        <f aca="false">IF(MAX(N($Q156),N($R156))&gt;1.1,"Past job ran over budget","")</f>
        <v/>
      </c>
    </row>
  </sheetData>
  <autoFilter ref="A6:S156"/>
  <conditionalFormatting sqref="Q7:Q156">
    <cfRule type="expression" priority="2" aboveAverage="0" equalAverage="0" bottom="0" percent="0" rank="0" text="" dxfId="10">
      <formula>AND(ISNUMBER(Q7),Q7&gt;1.1)</formula>
    </cfRule>
  </conditionalFormatting>
  <conditionalFormatting sqref="R7:R156">
    <cfRule type="expression" priority="3" aboveAverage="0" equalAverage="0" bottom="0" percent="0" rank="0" text="" dxfId="10">
      <formula>AND(ISNUMBER(R7),R7&gt;1.1)</formula>
    </cfRule>
  </conditionalFormatting>
  <dataValidations count="3">
    <dataValidation allowBlank="true" errorStyle="stop" operator="between" showDropDown="false" showErrorMessage="false" showInputMessage="false" sqref="B7:B156" type="list">
      <formula1>INPUTS!$C$33:$C$36</formula1>
      <formula2>0</formula2>
    </dataValidation>
    <dataValidation allowBlank="true" errorStyle="stop" operator="between" showDropDown="false" showErrorMessage="false" showInputMessage="false" sqref="C7:C156" type="list">
      <formula1>INPUTS!$B$67:$B$75</formula1>
      <formula2>0</formula2>
    </dataValidation>
    <dataValidation allowBlank="true" errorStyle="stop" operator="between" showDropDown="false" showErrorMessage="false" showInputMessage="false" sqref="K7:K15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12" min="9" style="0" width="8"/>
    <col collapsed="false" customWidth="true" hidden="false" outlineLevel="0" max="16" min="13" style="0" width="13"/>
    <col collapsed="false" customWidth="true" hidden="false" outlineLevel="0" max="17" min="17" style="0" width="9"/>
  </cols>
  <sheetData>
    <row r="1" customFormat="false" ht="17.3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2" t="s">
        <v>365</v>
      </c>
    </row>
    <row r="3" customFormat="false" ht="15" hidden="false" customHeight="false" outlineLevel="0" collapsed="false">
      <c r="H3" s="46" t="s">
        <v>366</v>
      </c>
      <c r="I3" s="47" t="n">
        <f aca="false">SUMIFS('PLUMBING EST'!$P$7:$P$156,'PLUMBING EST'!$B$7:$B$156,"P")+SUMIFS('HVAC EST'!$P$7:$P$156,'HVAC EST'!$B$7:$B$156,"P")</f>
        <v>233323.62</v>
      </c>
      <c r="J3" s="47" t="n">
        <f aca="false">SUMIFS('PLUMBING EST'!$P$7:$P$156,'PLUMBING EST'!$B$7:$B$156,"H")+SUMIFS('HVAC EST'!$P$7:$P$156,'HVAC EST'!$B$7:$B$156,"H")</f>
        <v>0</v>
      </c>
      <c r="K3" s="47" t="n">
        <f aca="false">SUMIFS('PLUMBING EST'!$P$7:$P$156,'PLUMBING EST'!$B$7:$B$156,"V")+SUMIFS('HVAC EST'!$P$7:$P$156,'HVAC EST'!$B$7:$B$156,"V")</f>
        <v>0</v>
      </c>
      <c r="L3" s="47" t="n">
        <f aca="false">SUMIFS('PLUMBING EST'!$P$7:$P$156,'PLUMBING EST'!$B$7:$B$156,"AC")+SUMIFS('HVAC EST'!$P$7:$P$156,'HVAC EST'!$B$7:$B$156,"AC")</f>
        <v>0</v>
      </c>
    </row>
    <row r="4" customFormat="false" ht="15" hidden="false" customHeight="false" outlineLevel="0" collapsed="false">
      <c r="H4" s="46" t="s">
        <v>367</v>
      </c>
      <c r="I4" s="48" t="n">
        <f aca="false">IFERROR(I3/SUM($I$3:$L$3),0)</f>
        <v>1</v>
      </c>
      <c r="J4" s="48" t="n">
        <f aca="false">IFERROR(J3/SUM($I$3:$L$3),0)</f>
        <v>0</v>
      </c>
      <c r="K4" s="48" t="n">
        <f aca="false">IFERROR(K3/SUM($I$3:$L$3),0)</f>
        <v>0</v>
      </c>
      <c r="L4" s="48" t="n">
        <f aca="false">IFERROR(L3/SUM($I$3:$L$3),0)</f>
        <v>0</v>
      </c>
    </row>
    <row r="5" customFormat="false" ht="15" hidden="false" customHeight="false" outlineLevel="0" collapsed="false">
      <c r="A5" s="3" t="s">
        <v>368</v>
      </c>
    </row>
    <row r="6" customFormat="false" ht="30" hidden="false" customHeight="true" outlineLevel="0" collapsed="false">
      <c r="A6" s="17" t="s">
        <v>369</v>
      </c>
      <c r="B6" s="17" t="s">
        <v>370</v>
      </c>
      <c r="C6" s="17" t="s">
        <v>371</v>
      </c>
      <c r="D6" s="17" t="s">
        <v>218</v>
      </c>
      <c r="E6" s="17" t="s">
        <v>220</v>
      </c>
      <c r="F6" s="17" t="s">
        <v>221</v>
      </c>
      <c r="G6" s="17" t="s">
        <v>372</v>
      </c>
      <c r="H6" s="17" t="s">
        <v>373</v>
      </c>
      <c r="I6" s="17" t="s">
        <v>374</v>
      </c>
      <c r="J6" s="17" t="s">
        <v>375</v>
      </c>
      <c r="K6" s="17" t="s">
        <v>376</v>
      </c>
      <c r="L6" s="17" t="s">
        <v>377</v>
      </c>
      <c r="M6" s="17" t="s">
        <v>378</v>
      </c>
      <c r="N6" s="17" t="s">
        <v>379</v>
      </c>
      <c r="O6" s="17" t="s">
        <v>380</v>
      </c>
      <c r="P6" s="17" t="s">
        <v>381</v>
      </c>
      <c r="Q6" s="17" t="s">
        <v>382</v>
      </c>
    </row>
    <row r="7" customFormat="false" ht="15" hidden="false" customHeight="false" outlineLevel="0" collapsed="false">
      <c r="A7" s="18" t="n">
        <v>1</v>
      </c>
      <c r="B7" s="10" t="s">
        <v>383</v>
      </c>
      <c r="C7" s="10" t="s">
        <v>384</v>
      </c>
      <c r="D7" s="10" t="s">
        <v>150</v>
      </c>
      <c r="E7" s="38" t="n">
        <v>1</v>
      </c>
      <c r="F7" s="10" t="s">
        <v>276</v>
      </c>
      <c r="G7" s="49"/>
      <c r="H7" s="28" t="n">
        <f aca="false">E7*G7</f>
        <v>0</v>
      </c>
      <c r="I7" s="50" t="n">
        <v>1</v>
      </c>
      <c r="J7" s="50"/>
      <c r="K7" s="50"/>
      <c r="L7" s="50"/>
      <c r="M7" s="28" t="n">
        <f aca="false">$H7*IF(SUM($I7:$L7)=0,I$4,I7)</f>
        <v>0</v>
      </c>
      <c r="N7" s="28" t="n">
        <f aca="false">$H7*IF(SUM($I7:$L7)=0,J$4,J7)</f>
        <v>0</v>
      </c>
      <c r="O7" s="28" t="n">
        <f aca="false">$H7*IF(SUM($I7:$L7)=0,K$4,K7)</f>
        <v>0</v>
      </c>
      <c r="P7" s="28" t="n">
        <f aca="false">$H7*IF(SUM($I7:$L7)=0,L$4,L7)</f>
        <v>0</v>
      </c>
      <c r="Q7" s="51" t="str">
        <f aca="false">IF($H7=0,"",IF(ABS(SUM(M7:P7)-$H7)&lt;0.01,"OK","CHECK"))</f>
        <v/>
      </c>
    </row>
    <row r="8" customFormat="false" ht="15" hidden="false" customHeight="false" outlineLevel="0" collapsed="false">
      <c r="A8" s="18" t="n">
        <v>2</v>
      </c>
      <c r="B8" s="10" t="s">
        <v>385</v>
      </c>
      <c r="C8" s="10"/>
      <c r="D8" s="10" t="s">
        <v>150</v>
      </c>
      <c r="E8" s="38" t="n">
        <v>1</v>
      </c>
      <c r="F8" s="10" t="s">
        <v>276</v>
      </c>
      <c r="G8" s="49"/>
      <c r="H8" s="28" t="n">
        <f aca="false">E8*G8</f>
        <v>0</v>
      </c>
      <c r="I8" s="50"/>
      <c r="J8" s="50"/>
      <c r="K8" s="50" t="n">
        <v>0.5</v>
      </c>
      <c r="L8" s="50" t="n">
        <v>0.5</v>
      </c>
      <c r="M8" s="28" t="n">
        <f aca="false">$H8*IF(SUM($I8:$L8)=0,I$4,I8)</f>
        <v>0</v>
      </c>
      <c r="N8" s="28" t="n">
        <f aca="false">$H8*IF(SUM($I8:$L8)=0,J$4,J8)</f>
        <v>0</v>
      </c>
      <c r="O8" s="28" t="n">
        <f aca="false">$H8*IF(SUM($I8:$L8)=0,K$4,K8)</f>
        <v>0</v>
      </c>
      <c r="P8" s="28" t="n">
        <f aca="false">$H8*IF(SUM($I8:$L8)=0,L$4,L8)</f>
        <v>0</v>
      </c>
      <c r="Q8" s="51" t="str">
        <f aca="false">IF($H8=0,"",IF(ABS(SUM(M8:P8)-$H8)&lt;0.01,"OK","CHECK"))</f>
        <v/>
      </c>
    </row>
    <row r="9" customFormat="false" ht="15" hidden="false" customHeight="false" outlineLevel="0" collapsed="false">
      <c r="A9" s="18" t="n">
        <v>3</v>
      </c>
      <c r="B9" s="10" t="s">
        <v>386</v>
      </c>
      <c r="C9" s="10"/>
      <c r="D9" s="10" t="s">
        <v>150</v>
      </c>
      <c r="E9" s="38" t="n">
        <v>1</v>
      </c>
      <c r="F9" s="10" t="s">
        <v>276</v>
      </c>
      <c r="G9" s="49"/>
      <c r="H9" s="28" t="n">
        <f aca="false">E9*G9</f>
        <v>0</v>
      </c>
      <c r="I9" s="50" t="n">
        <v>1</v>
      </c>
      <c r="J9" s="50"/>
      <c r="K9" s="50"/>
      <c r="L9" s="50"/>
      <c r="M9" s="28" t="n">
        <f aca="false">$H9*IF(SUM($I9:$L9)=0,I$4,I9)</f>
        <v>0</v>
      </c>
      <c r="N9" s="28" t="n">
        <f aca="false">$H9*IF(SUM($I9:$L9)=0,J$4,J9)</f>
        <v>0</v>
      </c>
      <c r="O9" s="28" t="n">
        <f aca="false">$H9*IF(SUM($I9:$L9)=0,K$4,K9)</f>
        <v>0</v>
      </c>
      <c r="P9" s="28" t="n">
        <f aca="false">$H9*IF(SUM($I9:$L9)=0,L$4,L9)</f>
        <v>0</v>
      </c>
      <c r="Q9" s="51" t="str">
        <f aca="false">IF($H9=0,"",IF(ABS(SUM(M9:P9)-$H9)&lt;0.01,"OK","CHECK"))</f>
        <v/>
      </c>
    </row>
    <row r="10" customFormat="false" ht="15" hidden="false" customHeight="false" outlineLevel="0" collapsed="false">
      <c r="A10" s="18" t="n">
        <v>4</v>
      </c>
      <c r="B10" s="10" t="s">
        <v>387</v>
      </c>
      <c r="C10" s="10"/>
      <c r="D10" s="10" t="s">
        <v>153</v>
      </c>
      <c r="E10" s="38" t="n">
        <v>1</v>
      </c>
      <c r="F10" s="10" t="s">
        <v>276</v>
      </c>
      <c r="G10" s="49"/>
      <c r="H10" s="28" t="n">
        <f aca="false">E10*G10</f>
        <v>0</v>
      </c>
      <c r="I10" s="50" t="n">
        <v>0.5</v>
      </c>
      <c r="J10" s="50" t="n">
        <v>0.5</v>
      </c>
      <c r="K10" s="50"/>
      <c r="L10" s="50"/>
      <c r="M10" s="28" t="n">
        <f aca="false">$H10*IF(SUM($I10:$L10)=0,I$4,I10)</f>
        <v>0</v>
      </c>
      <c r="N10" s="28" t="n">
        <f aca="false">$H10*IF(SUM($I10:$L10)=0,J$4,J10)</f>
        <v>0</v>
      </c>
      <c r="O10" s="28" t="n">
        <f aca="false">$H10*IF(SUM($I10:$L10)=0,K$4,K10)</f>
        <v>0</v>
      </c>
      <c r="P10" s="28" t="n">
        <f aca="false">$H10*IF(SUM($I10:$L10)=0,L$4,L10)</f>
        <v>0</v>
      </c>
      <c r="Q10" s="51" t="str">
        <f aca="false">IF($H10=0,"",IF(ABS(SUM(M10:P10)-$H10)&lt;0.01,"OK","CHECK"))</f>
        <v/>
      </c>
    </row>
    <row r="11" customFormat="false" ht="15" hidden="false" customHeight="false" outlineLevel="0" collapsed="false">
      <c r="A11" s="18" t="n">
        <v>5</v>
      </c>
      <c r="B11" s="10" t="s">
        <v>388</v>
      </c>
      <c r="C11" s="10" t="s">
        <v>389</v>
      </c>
      <c r="D11" s="10" t="s">
        <v>153</v>
      </c>
      <c r="E11" s="38" t="n">
        <v>1</v>
      </c>
      <c r="F11" s="10" t="s">
        <v>276</v>
      </c>
      <c r="G11" s="49"/>
      <c r="H11" s="28" t="n">
        <f aca="false">E11*G11</f>
        <v>0</v>
      </c>
      <c r="I11" s="50"/>
      <c r="J11" s="50"/>
      <c r="K11" s="50" t="n">
        <v>0.5</v>
      </c>
      <c r="L11" s="50" t="n">
        <v>0.5</v>
      </c>
      <c r="M11" s="28" t="n">
        <f aca="false">$H11*IF(SUM($I11:$L11)=0,I$4,I11)</f>
        <v>0</v>
      </c>
      <c r="N11" s="28" t="n">
        <f aca="false">$H11*IF(SUM($I11:$L11)=0,J$4,J11)</f>
        <v>0</v>
      </c>
      <c r="O11" s="28" t="n">
        <f aca="false">$H11*IF(SUM($I11:$L11)=0,K$4,K11)</f>
        <v>0</v>
      </c>
      <c r="P11" s="28" t="n">
        <f aca="false">$H11*IF(SUM($I11:$L11)=0,L$4,L11)</f>
        <v>0</v>
      </c>
      <c r="Q11" s="51" t="str">
        <f aca="false">IF($H11=0,"",IF(ABS(SUM(M11:P11)-$H11)&lt;0.01,"OK","CHECK"))</f>
        <v/>
      </c>
    </row>
    <row r="12" customFormat="false" ht="15" hidden="false" customHeight="false" outlineLevel="0" collapsed="false">
      <c r="A12" s="18" t="n">
        <v>6</v>
      </c>
      <c r="B12" s="10" t="s">
        <v>390</v>
      </c>
      <c r="C12" s="10" t="s">
        <v>391</v>
      </c>
      <c r="D12" s="10" t="s">
        <v>154</v>
      </c>
      <c r="E12" s="38" t="n">
        <v>1</v>
      </c>
      <c r="F12" s="10" t="s">
        <v>276</v>
      </c>
      <c r="G12" s="49"/>
      <c r="H12" s="28" t="n">
        <f aca="false">E12*G12</f>
        <v>0</v>
      </c>
      <c r="I12" s="50"/>
      <c r="J12" s="50"/>
      <c r="K12" s="50" t="n">
        <v>1</v>
      </c>
      <c r="L12" s="50"/>
      <c r="M12" s="28" t="n">
        <f aca="false">$H12*IF(SUM($I12:$L12)=0,I$4,I12)</f>
        <v>0</v>
      </c>
      <c r="N12" s="28" t="n">
        <f aca="false">$H12*IF(SUM($I12:$L12)=0,J$4,J12)</f>
        <v>0</v>
      </c>
      <c r="O12" s="28" t="n">
        <f aca="false">$H12*IF(SUM($I12:$L12)=0,K$4,K12)</f>
        <v>0</v>
      </c>
      <c r="P12" s="28" t="n">
        <f aca="false">$H12*IF(SUM($I12:$L12)=0,L$4,L12)</f>
        <v>0</v>
      </c>
      <c r="Q12" s="51" t="str">
        <f aca="false">IF($H12=0,"",IF(ABS(SUM(M12:P12)-$H12)&lt;0.01,"OK","CHECK"))</f>
        <v/>
      </c>
    </row>
    <row r="13" customFormat="false" ht="15" hidden="false" customHeight="false" outlineLevel="0" collapsed="false">
      <c r="A13" s="18" t="n">
        <v>7</v>
      </c>
      <c r="B13" s="10" t="s">
        <v>392</v>
      </c>
      <c r="C13" s="10"/>
      <c r="D13" s="10" t="s">
        <v>154</v>
      </c>
      <c r="E13" s="38" t="n">
        <v>1</v>
      </c>
      <c r="F13" s="10" t="s">
        <v>276</v>
      </c>
      <c r="G13" s="49"/>
      <c r="H13" s="28" t="n">
        <f aca="false">E13*G13</f>
        <v>0</v>
      </c>
      <c r="I13" s="50"/>
      <c r="J13" s="50"/>
      <c r="K13" s="50"/>
      <c r="L13" s="50" t="n">
        <v>1</v>
      </c>
      <c r="M13" s="28" t="n">
        <f aca="false">$H13*IF(SUM($I13:$L13)=0,I$4,I13)</f>
        <v>0</v>
      </c>
      <c r="N13" s="28" t="n">
        <f aca="false">$H13*IF(SUM($I13:$L13)=0,J$4,J13)</f>
        <v>0</v>
      </c>
      <c r="O13" s="28" t="n">
        <f aca="false">$H13*IF(SUM($I13:$L13)=0,K$4,K13)</f>
        <v>0</v>
      </c>
      <c r="P13" s="28" t="n">
        <f aca="false">$H13*IF(SUM($I13:$L13)=0,L$4,L13)</f>
        <v>0</v>
      </c>
      <c r="Q13" s="51" t="str">
        <f aca="false">IF($H13=0,"",IF(ABS(SUM(M13:P13)-$H13)&lt;0.01,"OK","CHECK"))</f>
        <v/>
      </c>
    </row>
    <row r="14" customFormat="false" ht="15" hidden="false" customHeight="false" outlineLevel="0" collapsed="false">
      <c r="A14" s="18" t="n">
        <v>8</v>
      </c>
      <c r="B14" s="10" t="s">
        <v>393</v>
      </c>
      <c r="C14" s="10" t="s">
        <v>394</v>
      </c>
      <c r="D14" s="10" t="s">
        <v>146</v>
      </c>
      <c r="E14" s="38" t="n">
        <v>1</v>
      </c>
      <c r="F14" s="10" t="s">
        <v>276</v>
      </c>
      <c r="G14" s="49"/>
      <c r="H14" s="28" t="n">
        <f aca="false">E14*G14</f>
        <v>0</v>
      </c>
      <c r="I14" s="50" t="n">
        <v>1</v>
      </c>
      <c r="J14" s="50"/>
      <c r="K14" s="50"/>
      <c r="L14" s="50"/>
      <c r="M14" s="28" t="n">
        <f aca="false">$H14*IF(SUM($I14:$L14)=0,I$4,I14)</f>
        <v>0</v>
      </c>
      <c r="N14" s="28" t="n">
        <f aca="false">$H14*IF(SUM($I14:$L14)=0,J$4,J14)</f>
        <v>0</v>
      </c>
      <c r="O14" s="28" t="n">
        <f aca="false">$H14*IF(SUM($I14:$L14)=0,K$4,K14)</f>
        <v>0</v>
      </c>
      <c r="P14" s="28" t="n">
        <f aca="false">$H14*IF(SUM($I14:$L14)=0,L$4,L14)</f>
        <v>0</v>
      </c>
      <c r="Q14" s="51" t="str">
        <f aca="false">IF($H14=0,"",IF(ABS(SUM(M14:P14)-$H14)&lt;0.01,"OK","CHECK"))</f>
        <v/>
      </c>
    </row>
    <row r="15" customFormat="false" ht="15" hidden="false" customHeight="false" outlineLevel="0" collapsed="false">
      <c r="A15" s="18" t="n">
        <v>9</v>
      </c>
      <c r="B15" s="10" t="s">
        <v>395</v>
      </c>
      <c r="C15" s="10"/>
      <c r="D15" s="10" t="s">
        <v>150</v>
      </c>
      <c r="E15" s="38" t="n">
        <v>1</v>
      </c>
      <c r="F15" s="10" t="s">
        <v>276</v>
      </c>
      <c r="G15" s="49"/>
      <c r="H15" s="28" t="n">
        <f aca="false">E15*G15</f>
        <v>0</v>
      </c>
      <c r="I15" s="50"/>
      <c r="J15" s="50"/>
      <c r="K15" s="50"/>
      <c r="L15" s="50"/>
      <c r="M15" s="28" t="n">
        <f aca="false">$H15*IF(SUM($I15:$L15)=0,I$4,I15)</f>
        <v>0</v>
      </c>
      <c r="N15" s="28" t="n">
        <f aca="false">$H15*IF(SUM($I15:$L15)=0,J$4,J15)</f>
        <v>0</v>
      </c>
      <c r="O15" s="28" t="n">
        <f aca="false">$H15*IF(SUM($I15:$L15)=0,K$4,K15)</f>
        <v>0</v>
      </c>
      <c r="P15" s="28" t="n">
        <f aca="false">$H15*IF(SUM($I15:$L15)=0,L$4,L15)</f>
        <v>0</v>
      </c>
      <c r="Q15" s="51" t="str">
        <f aca="false">IF($H15=0,"",IF(ABS(SUM(M15:P15)-$H15)&lt;0.01,"OK","CHECK"))</f>
        <v/>
      </c>
    </row>
    <row r="16" customFormat="false" ht="15" hidden="false" customHeight="false" outlineLevel="0" collapsed="false">
      <c r="A16" s="18" t="n">
        <v>10</v>
      </c>
      <c r="B16" s="10" t="s">
        <v>396</v>
      </c>
      <c r="C16" s="10" t="s">
        <v>394</v>
      </c>
      <c r="D16" s="10" t="s">
        <v>151</v>
      </c>
      <c r="E16" s="38" t="n">
        <v>1</v>
      </c>
      <c r="F16" s="10" t="s">
        <v>276</v>
      </c>
      <c r="G16" s="49"/>
      <c r="H16" s="28" t="n">
        <f aca="false">E16*G16</f>
        <v>0</v>
      </c>
      <c r="I16" s="50" t="n">
        <v>1</v>
      </c>
      <c r="J16" s="50"/>
      <c r="K16" s="50"/>
      <c r="L16" s="50"/>
      <c r="M16" s="28" t="n">
        <f aca="false">$H16*IF(SUM($I16:$L16)=0,I$4,I16)</f>
        <v>0</v>
      </c>
      <c r="N16" s="28" t="n">
        <f aca="false">$H16*IF(SUM($I16:$L16)=0,J$4,J16)</f>
        <v>0</v>
      </c>
      <c r="O16" s="28" t="n">
        <f aca="false">$H16*IF(SUM($I16:$L16)=0,K$4,K16)</f>
        <v>0</v>
      </c>
      <c r="P16" s="28" t="n">
        <f aca="false">$H16*IF(SUM($I16:$L16)=0,L$4,L16)</f>
        <v>0</v>
      </c>
      <c r="Q16" s="51" t="str">
        <f aca="false">IF($H16=0,"",IF(ABS(SUM(M16:P16)-$H16)&lt;0.01,"OK","CHECK"))</f>
        <v/>
      </c>
    </row>
    <row r="17" customFormat="false" ht="15" hidden="false" customHeight="false" outlineLevel="0" collapsed="false">
      <c r="A17" s="18" t="n">
        <v>11</v>
      </c>
      <c r="B17" s="10" t="s">
        <v>397</v>
      </c>
      <c r="C17" s="10" t="s">
        <v>391</v>
      </c>
      <c r="D17" s="10" t="s">
        <v>154</v>
      </c>
      <c r="E17" s="38" t="n">
        <v>1</v>
      </c>
      <c r="F17" s="10" t="s">
        <v>276</v>
      </c>
      <c r="G17" s="49"/>
      <c r="H17" s="28" t="n">
        <f aca="false">E17*G17</f>
        <v>0</v>
      </c>
      <c r="I17" s="50" t="n">
        <v>1</v>
      </c>
      <c r="J17" s="50"/>
      <c r="K17" s="50"/>
      <c r="L17" s="50"/>
      <c r="M17" s="28" t="n">
        <f aca="false">$H17*IF(SUM($I17:$L17)=0,I$4,I17)</f>
        <v>0</v>
      </c>
      <c r="N17" s="28" t="n">
        <f aca="false">$H17*IF(SUM($I17:$L17)=0,J$4,J17)</f>
        <v>0</v>
      </c>
      <c r="O17" s="28" t="n">
        <f aca="false">$H17*IF(SUM($I17:$L17)=0,K$4,K17)</f>
        <v>0</v>
      </c>
      <c r="P17" s="28" t="n">
        <f aca="false">$H17*IF(SUM($I17:$L17)=0,L$4,L17)</f>
        <v>0</v>
      </c>
      <c r="Q17" s="51" t="str">
        <f aca="false">IF($H17=0,"",IF(ABS(SUM(M17:P17)-$H17)&lt;0.01,"OK","CHECK"))</f>
        <v/>
      </c>
    </row>
    <row r="18" customFormat="false" ht="15" hidden="false" customHeight="false" outlineLevel="0" collapsed="false">
      <c r="A18" s="18" t="n">
        <v>12</v>
      </c>
      <c r="B18" s="10" t="s">
        <v>398</v>
      </c>
      <c r="C18" s="10"/>
      <c r="D18" s="10" t="s">
        <v>153</v>
      </c>
      <c r="E18" s="38" t="n">
        <v>1</v>
      </c>
      <c r="F18" s="10" t="s">
        <v>276</v>
      </c>
      <c r="G18" s="49"/>
      <c r="H18" s="28" t="n">
        <f aca="false">E18*G18</f>
        <v>0</v>
      </c>
      <c r="I18" s="50" t="n">
        <v>1</v>
      </c>
      <c r="J18" s="50"/>
      <c r="K18" s="50"/>
      <c r="L18" s="50"/>
      <c r="M18" s="28" t="n">
        <f aca="false">$H18*IF(SUM($I18:$L18)=0,I$4,I18)</f>
        <v>0</v>
      </c>
      <c r="N18" s="28" t="n">
        <f aca="false">$H18*IF(SUM($I18:$L18)=0,J$4,J18)</f>
        <v>0</v>
      </c>
      <c r="O18" s="28" t="n">
        <f aca="false">$H18*IF(SUM($I18:$L18)=0,K$4,K18)</f>
        <v>0</v>
      </c>
      <c r="P18" s="28" t="n">
        <f aca="false">$H18*IF(SUM($I18:$L18)=0,L$4,L18)</f>
        <v>0</v>
      </c>
      <c r="Q18" s="51" t="str">
        <f aca="false">IF($H18=0,"",IF(ABS(SUM(M18:P18)-$H18)&lt;0.01,"OK","CHECK"))</f>
        <v/>
      </c>
    </row>
    <row r="19" customFormat="false" ht="15" hidden="false" customHeight="false" outlineLevel="0" collapsed="false">
      <c r="A19" s="18" t="n">
        <v>13</v>
      </c>
      <c r="B19" s="10" t="s">
        <v>399</v>
      </c>
      <c r="C19" s="10"/>
      <c r="D19" s="10" t="s">
        <v>154</v>
      </c>
      <c r="E19" s="38" t="n">
        <v>1</v>
      </c>
      <c r="F19" s="10" t="s">
        <v>276</v>
      </c>
      <c r="G19" s="49"/>
      <c r="H19" s="28" t="n">
        <f aca="false">E19*G19</f>
        <v>0</v>
      </c>
      <c r="I19" s="50"/>
      <c r="J19" s="50" t="n">
        <v>1</v>
      </c>
      <c r="K19" s="50"/>
      <c r="L19" s="50"/>
      <c r="M19" s="28" t="n">
        <f aca="false">$H19*IF(SUM($I19:$L19)=0,I$4,I19)</f>
        <v>0</v>
      </c>
      <c r="N19" s="28" t="n">
        <f aca="false">$H19*IF(SUM($I19:$L19)=0,J$4,J19)</f>
        <v>0</v>
      </c>
      <c r="O19" s="28" t="n">
        <f aca="false">$H19*IF(SUM($I19:$L19)=0,K$4,K19)</f>
        <v>0</v>
      </c>
      <c r="P19" s="28" t="n">
        <f aca="false">$H19*IF(SUM($I19:$L19)=0,L$4,L19)</f>
        <v>0</v>
      </c>
      <c r="Q19" s="51" t="str">
        <f aca="false">IF($H19=0,"",IF(ABS(SUM(M19:P19)-$H19)&lt;0.01,"OK","CHECK"))</f>
        <v/>
      </c>
    </row>
    <row r="20" customFormat="false" ht="15" hidden="false" customHeight="false" outlineLevel="0" collapsed="false">
      <c r="A20" s="18" t="n">
        <v>14</v>
      </c>
      <c r="B20" s="10" t="s">
        <v>400</v>
      </c>
      <c r="C20" s="10"/>
      <c r="D20" s="10" t="s">
        <v>150</v>
      </c>
      <c r="E20" s="38" t="n">
        <v>1</v>
      </c>
      <c r="F20" s="10" t="s">
        <v>276</v>
      </c>
      <c r="G20" s="49"/>
      <c r="H20" s="28" t="n">
        <f aca="false">E20*G20</f>
        <v>0</v>
      </c>
      <c r="I20" s="50" t="n">
        <v>0.5</v>
      </c>
      <c r="J20" s="50" t="n">
        <v>0.5</v>
      </c>
      <c r="K20" s="50"/>
      <c r="L20" s="50"/>
      <c r="M20" s="28" t="n">
        <f aca="false">$H20*IF(SUM($I20:$L20)=0,I$4,I20)</f>
        <v>0</v>
      </c>
      <c r="N20" s="28" t="n">
        <f aca="false">$H20*IF(SUM($I20:$L20)=0,J$4,J20)</f>
        <v>0</v>
      </c>
      <c r="O20" s="28" t="n">
        <f aca="false">$H20*IF(SUM($I20:$L20)=0,K$4,K20)</f>
        <v>0</v>
      </c>
      <c r="P20" s="28" t="n">
        <f aca="false">$H20*IF(SUM($I20:$L20)=0,L$4,L20)</f>
        <v>0</v>
      </c>
      <c r="Q20" s="51" t="str">
        <f aca="false">IF($H20=0,"",IF(ABS(SUM(M20:P20)-$H20)&lt;0.01,"OK","CHECK"))</f>
        <v/>
      </c>
    </row>
    <row r="21" customFormat="false" ht="15" hidden="false" customHeight="false" outlineLevel="0" collapsed="false">
      <c r="A21" s="18" t="n">
        <v>15</v>
      </c>
      <c r="B21" s="10" t="s">
        <v>401</v>
      </c>
      <c r="C21" s="10"/>
      <c r="D21" s="10" t="s">
        <v>150</v>
      </c>
      <c r="E21" s="38" t="n">
        <v>1</v>
      </c>
      <c r="F21" s="10" t="s">
        <v>276</v>
      </c>
      <c r="G21" s="49"/>
      <c r="H21" s="28" t="n">
        <f aca="false">E21*G21</f>
        <v>0</v>
      </c>
      <c r="I21" s="50"/>
      <c r="J21" s="50"/>
      <c r="K21" s="50" t="n">
        <v>0.5</v>
      </c>
      <c r="L21" s="50" t="n">
        <v>0.5</v>
      </c>
      <c r="M21" s="28" t="n">
        <f aca="false">$H21*IF(SUM($I21:$L21)=0,I$4,I21)</f>
        <v>0</v>
      </c>
      <c r="N21" s="28" t="n">
        <f aca="false">$H21*IF(SUM($I21:$L21)=0,J$4,J21)</f>
        <v>0</v>
      </c>
      <c r="O21" s="28" t="n">
        <f aca="false">$H21*IF(SUM($I21:$L21)=0,K$4,K21)</f>
        <v>0</v>
      </c>
      <c r="P21" s="28" t="n">
        <f aca="false">$H21*IF(SUM($I21:$L21)=0,L$4,L21)</f>
        <v>0</v>
      </c>
      <c r="Q21" s="51" t="str">
        <f aca="false">IF($H21=0,"",IF(ABS(SUM(M21:P21)-$H21)&lt;0.01,"OK","CHECK"))</f>
        <v/>
      </c>
    </row>
    <row r="22" customFormat="false" ht="15" hidden="false" customHeight="false" outlineLevel="0" collapsed="false">
      <c r="A22" s="18" t="n">
        <v>16</v>
      </c>
      <c r="B22" s="10" t="s">
        <v>402</v>
      </c>
      <c r="C22" s="10" t="s">
        <v>394</v>
      </c>
      <c r="D22" s="10" t="s">
        <v>155</v>
      </c>
      <c r="E22" s="38" t="n">
        <v>1</v>
      </c>
      <c r="F22" s="10" t="s">
        <v>276</v>
      </c>
      <c r="G22" s="49"/>
      <c r="H22" s="28" t="n">
        <f aca="false">E22*G22</f>
        <v>0</v>
      </c>
      <c r="I22" s="50"/>
      <c r="J22" s="50"/>
      <c r="K22" s="50"/>
      <c r="L22" s="50"/>
      <c r="M22" s="28" t="n">
        <f aca="false">$H22*IF(SUM($I22:$L22)=0,I$4,I22)</f>
        <v>0</v>
      </c>
      <c r="N22" s="28" t="n">
        <f aca="false">$H22*IF(SUM($I22:$L22)=0,J$4,J22)</f>
        <v>0</v>
      </c>
      <c r="O22" s="28" t="n">
        <f aca="false">$H22*IF(SUM($I22:$L22)=0,K$4,K22)</f>
        <v>0</v>
      </c>
      <c r="P22" s="28" t="n">
        <f aca="false">$H22*IF(SUM($I22:$L22)=0,L$4,L22)</f>
        <v>0</v>
      </c>
      <c r="Q22" s="51" t="str">
        <f aca="false">IF($H22=0,"",IF(ABS(SUM(M22:P22)-$H22)&lt;0.01,"OK","CHECK"))</f>
        <v/>
      </c>
    </row>
    <row r="23" customFormat="false" ht="15" hidden="false" customHeight="false" outlineLevel="0" collapsed="false">
      <c r="A23" s="18" t="n">
        <v>17</v>
      </c>
      <c r="B23" s="10" t="s">
        <v>403</v>
      </c>
      <c r="C23" s="10" t="s">
        <v>394</v>
      </c>
      <c r="D23" s="10" t="s">
        <v>155</v>
      </c>
      <c r="E23" s="38" t="n">
        <v>1</v>
      </c>
      <c r="F23" s="10" t="s">
        <v>276</v>
      </c>
      <c r="G23" s="49"/>
      <c r="H23" s="28" t="n">
        <f aca="false">E23*G23</f>
        <v>0</v>
      </c>
      <c r="I23" s="50"/>
      <c r="J23" s="50"/>
      <c r="K23" s="50"/>
      <c r="L23" s="50"/>
      <c r="M23" s="28" t="n">
        <f aca="false">$H23*IF(SUM($I23:$L23)=0,I$4,I23)</f>
        <v>0</v>
      </c>
      <c r="N23" s="28" t="n">
        <f aca="false">$H23*IF(SUM($I23:$L23)=0,J$4,J23)</f>
        <v>0</v>
      </c>
      <c r="O23" s="28" t="n">
        <f aca="false">$H23*IF(SUM($I23:$L23)=0,K$4,K23)</f>
        <v>0</v>
      </c>
      <c r="P23" s="28" t="n">
        <f aca="false">$H23*IF(SUM($I23:$L23)=0,L$4,L23)</f>
        <v>0</v>
      </c>
      <c r="Q23" s="51" t="str">
        <f aca="false">IF($H23=0,"",IF(ABS(SUM(M23:P23)-$H23)&lt;0.01,"OK","CHECK"))</f>
        <v/>
      </c>
    </row>
    <row r="24" customFormat="false" ht="15" hidden="false" customHeight="false" outlineLevel="0" collapsed="false">
      <c r="A24" s="18" t="n">
        <v>18</v>
      </c>
      <c r="B24" s="10" t="s">
        <v>404</v>
      </c>
      <c r="C24" s="10"/>
      <c r="D24" s="10" t="s">
        <v>146</v>
      </c>
      <c r="E24" s="38" t="n">
        <v>1</v>
      </c>
      <c r="F24" s="10" t="s">
        <v>276</v>
      </c>
      <c r="G24" s="49"/>
      <c r="H24" s="28" t="n">
        <f aca="false">E24*G24</f>
        <v>0</v>
      </c>
      <c r="I24" s="50" t="n">
        <v>1</v>
      </c>
      <c r="J24" s="50"/>
      <c r="K24" s="50"/>
      <c r="L24" s="50"/>
      <c r="M24" s="28" t="n">
        <f aca="false">$H24*IF(SUM($I24:$L24)=0,I$4,I24)</f>
        <v>0</v>
      </c>
      <c r="N24" s="28" t="n">
        <f aca="false">$H24*IF(SUM($I24:$L24)=0,J$4,J24)</f>
        <v>0</v>
      </c>
      <c r="O24" s="28" t="n">
        <f aca="false">$H24*IF(SUM($I24:$L24)=0,K$4,K24)</f>
        <v>0</v>
      </c>
      <c r="P24" s="28" t="n">
        <f aca="false">$H24*IF(SUM($I24:$L24)=0,L$4,L24)</f>
        <v>0</v>
      </c>
      <c r="Q24" s="51" t="str">
        <f aca="false">IF($H24=0,"",IF(ABS(SUM(M24:P24)-$H24)&lt;0.01,"OK","CHECK"))</f>
        <v/>
      </c>
    </row>
    <row r="25" customFormat="false" ht="15" hidden="false" customHeight="false" outlineLevel="0" collapsed="false">
      <c r="A25" s="18" t="n">
        <v>19</v>
      </c>
      <c r="B25" s="10" t="s">
        <v>405</v>
      </c>
      <c r="C25" s="10"/>
      <c r="D25" s="10" t="s">
        <v>146</v>
      </c>
      <c r="E25" s="38" t="n">
        <v>1</v>
      </c>
      <c r="F25" s="10" t="s">
        <v>276</v>
      </c>
      <c r="G25" s="49"/>
      <c r="H25" s="28" t="n">
        <f aca="false">E25*G25</f>
        <v>0</v>
      </c>
      <c r="I25" s="50"/>
      <c r="J25" s="50"/>
      <c r="K25" s="50" t="n">
        <v>0.5</v>
      </c>
      <c r="L25" s="50" t="n">
        <v>0.5</v>
      </c>
      <c r="M25" s="28" t="n">
        <f aca="false">$H25*IF(SUM($I25:$L25)=0,I$4,I25)</f>
        <v>0</v>
      </c>
      <c r="N25" s="28" t="n">
        <f aca="false">$H25*IF(SUM($I25:$L25)=0,J$4,J25)</f>
        <v>0</v>
      </c>
      <c r="O25" s="28" t="n">
        <f aca="false">$H25*IF(SUM($I25:$L25)=0,K$4,K25)</f>
        <v>0</v>
      </c>
      <c r="P25" s="28" t="n">
        <f aca="false">$H25*IF(SUM($I25:$L25)=0,L$4,L25)</f>
        <v>0</v>
      </c>
      <c r="Q25" s="51" t="str">
        <f aca="false">IF($H25=0,"",IF(ABS(SUM(M25:P25)-$H25)&lt;0.01,"OK","CHECK"))</f>
        <v/>
      </c>
    </row>
    <row r="26" customFormat="false" ht="15" hidden="false" customHeight="false" outlineLevel="0" collapsed="false">
      <c r="A26" s="18" t="n">
        <v>20</v>
      </c>
      <c r="B26" s="10" t="s">
        <v>406</v>
      </c>
      <c r="C26" s="10"/>
      <c r="D26" s="10" t="s">
        <v>150</v>
      </c>
      <c r="E26" s="38" t="n">
        <v>1</v>
      </c>
      <c r="F26" s="10" t="s">
        <v>276</v>
      </c>
      <c r="G26" s="49"/>
      <c r="H26" s="28" t="n">
        <f aca="false">E26*G26</f>
        <v>0</v>
      </c>
      <c r="I26" s="50"/>
      <c r="J26" s="50"/>
      <c r="K26" s="50" t="n">
        <v>1</v>
      </c>
      <c r="L26" s="50"/>
      <c r="M26" s="28" t="n">
        <f aca="false">$H26*IF(SUM($I26:$L26)=0,I$4,I26)</f>
        <v>0</v>
      </c>
      <c r="N26" s="28" t="n">
        <f aca="false">$H26*IF(SUM($I26:$L26)=0,J$4,J26)</f>
        <v>0</v>
      </c>
      <c r="O26" s="28" t="n">
        <f aca="false">$H26*IF(SUM($I26:$L26)=0,K$4,K26)</f>
        <v>0</v>
      </c>
      <c r="P26" s="28" t="n">
        <f aca="false">$H26*IF(SUM($I26:$L26)=0,L$4,L26)</f>
        <v>0</v>
      </c>
      <c r="Q26" s="51" t="str">
        <f aca="false">IF($H26=0,"",IF(ABS(SUM(M26:P26)-$H26)&lt;0.01,"OK","CHECK"))</f>
        <v/>
      </c>
    </row>
    <row r="27" customFormat="false" ht="15" hidden="false" customHeight="false" outlineLevel="0" collapsed="false">
      <c r="A27" s="18" t="n">
        <v>21</v>
      </c>
      <c r="B27" s="10" t="s">
        <v>407</v>
      </c>
      <c r="C27" s="10"/>
      <c r="D27" s="10" t="s">
        <v>150</v>
      </c>
      <c r="E27" s="38" t="n">
        <v>1</v>
      </c>
      <c r="F27" s="10" t="s">
        <v>276</v>
      </c>
      <c r="G27" s="49"/>
      <c r="H27" s="28" t="n">
        <f aca="false">E27*G27</f>
        <v>0</v>
      </c>
      <c r="I27" s="50"/>
      <c r="J27" s="50"/>
      <c r="K27" s="50"/>
      <c r="L27" s="50"/>
      <c r="M27" s="28" t="n">
        <f aca="false">$H27*IF(SUM($I27:$L27)=0,I$4,I27)</f>
        <v>0</v>
      </c>
      <c r="N27" s="28" t="n">
        <f aca="false">$H27*IF(SUM($I27:$L27)=0,J$4,J27)</f>
        <v>0</v>
      </c>
      <c r="O27" s="28" t="n">
        <f aca="false">$H27*IF(SUM($I27:$L27)=0,K$4,K27)</f>
        <v>0</v>
      </c>
      <c r="P27" s="28" t="n">
        <f aca="false">$H27*IF(SUM($I27:$L27)=0,L$4,L27)</f>
        <v>0</v>
      </c>
      <c r="Q27" s="51" t="str">
        <f aca="false">IF($H27=0,"",IF(ABS(SUM(M27:P27)-$H27)&lt;0.01,"OK","CHECK"))</f>
        <v/>
      </c>
    </row>
    <row r="28" customFormat="false" ht="15" hidden="false" customHeight="false" outlineLevel="0" collapsed="false">
      <c r="A28" s="18" t="n">
        <v>22</v>
      </c>
      <c r="B28" s="10"/>
      <c r="C28" s="10"/>
      <c r="D28" s="10"/>
      <c r="E28" s="38" t="n">
        <v>1</v>
      </c>
      <c r="F28" s="10" t="s">
        <v>276</v>
      </c>
      <c r="G28" s="49"/>
      <c r="H28" s="28" t="n">
        <f aca="false">E28*G28</f>
        <v>0</v>
      </c>
      <c r="I28" s="50"/>
      <c r="J28" s="50"/>
      <c r="K28" s="50"/>
      <c r="L28" s="50"/>
      <c r="M28" s="28" t="n">
        <f aca="false">$H28*IF(SUM($I28:$L28)=0,I$4,I28)</f>
        <v>0</v>
      </c>
      <c r="N28" s="28" t="n">
        <f aca="false">$H28*IF(SUM($I28:$L28)=0,J$4,J28)</f>
        <v>0</v>
      </c>
      <c r="O28" s="28" t="n">
        <f aca="false">$H28*IF(SUM($I28:$L28)=0,K$4,K28)</f>
        <v>0</v>
      </c>
      <c r="P28" s="28" t="n">
        <f aca="false">$H28*IF(SUM($I28:$L28)=0,L$4,L28)</f>
        <v>0</v>
      </c>
      <c r="Q28" s="51" t="str">
        <f aca="false">IF($H28=0,"",IF(ABS(SUM(M28:P28)-$H28)&lt;0.01,"OK","CHECK"))</f>
        <v/>
      </c>
    </row>
    <row r="29" customFormat="false" ht="15" hidden="false" customHeight="false" outlineLevel="0" collapsed="false">
      <c r="B29" s="4" t="s">
        <v>408</v>
      </c>
      <c r="H29" s="52" t="n">
        <f aca="false">SUM(H7:H28)</f>
        <v>0</v>
      </c>
      <c r="M29" s="52" t="n">
        <f aca="false">SUM(M7:M28)</f>
        <v>0</v>
      </c>
      <c r="N29" s="52" t="n">
        <f aca="false">SUM(N7:N28)</f>
        <v>0</v>
      </c>
      <c r="O29" s="52" t="n">
        <f aca="false">SUM(O7:O28)</f>
        <v>0</v>
      </c>
      <c r="P29" s="52" t="n">
        <f aca="false">SUM(P7:P28)</f>
        <v>0</v>
      </c>
    </row>
    <row r="31" customFormat="false" ht="15" hidden="false" customHeight="false" outlineLevel="0" collapsed="false">
      <c r="A31" s="3" t="s">
        <v>409</v>
      </c>
    </row>
    <row r="32" customFormat="false" ht="30" hidden="false" customHeight="true" outlineLevel="0" collapsed="false">
      <c r="A32" s="17" t="s">
        <v>369</v>
      </c>
      <c r="B32" s="17" t="s">
        <v>370</v>
      </c>
      <c r="C32" s="17" t="s">
        <v>371</v>
      </c>
      <c r="D32" s="17" t="s">
        <v>218</v>
      </c>
      <c r="E32" s="17" t="s">
        <v>220</v>
      </c>
      <c r="F32" s="17" t="s">
        <v>221</v>
      </c>
      <c r="G32" s="17" t="s">
        <v>372</v>
      </c>
      <c r="H32" s="17" t="s">
        <v>373</v>
      </c>
      <c r="I32" s="17" t="s">
        <v>374</v>
      </c>
      <c r="J32" s="17" t="s">
        <v>375</v>
      </c>
      <c r="K32" s="17" t="s">
        <v>376</v>
      </c>
      <c r="L32" s="17" t="s">
        <v>377</v>
      </c>
      <c r="M32" s="17" t="s">
        <v>378</v>
      </c>
      <c r="N32" s="17" t="s">
        <v>379</v>
      </c>
      <c r="O32" s="17" t="s">
        <v>380</v>
      </c>
      <c r="P32" s="17" t="s">
        <v>381</v>
      </c>
      <c r="Q32" s="17" t="s">
        <v>382</v>
      </c>
    </row>
    <row r="33" customFormat="false" ht="15" hidden="false" customHeight="false" outlineLevel="0" collapsed="false">
      <c r="A33" s="18" t="n">
        <v>1</v>
      </c>
      <c r="B33" s="10" t="s">
        <v>410</v>
      </c>
      <c r="C33" s="10"/>
      <c r="D33" s="10" t="s">
        <v>156</v>
      </c>
      <c r="E33" s="53" t="n">
        <f aca="false">INPUTS!$C$21</f>
        <v>24</v>
      </c>
      <c r="F33" s="10" t="s">
        <v>411</v>
      </c>
      <c r="G33" s="49"/>
      <c r="H33" s="28" t="n">
        <f aca="false">E33*G33</f>
        <v>0</v>
      </c>
      <c r="I33" s="50" t="n">
        <v>1</v>
      </c>
      <c r="J33" s="50"/>
      <c r="K33" s="50"/>
      <c r="L33" s="50"/>
      <c r="M33" s="28" t="n">
        <f aca="false">$H33*IF(SUM($I33:$L33)=0,I$4,I33)</f>
        <v>0</v>
      </c>
      <c r="N33" s="28" t="n">
        <f aca="false">$H33*IF(SUM($I33:$L33)=0,J$4,J33)</f>
        <v>0</v>
      </c>
      <c r="O33" s="28" t="n">
        <f aca="false">$H33*IF(SUM($I33:$L33)=0,K$4,K33)</f>
        <v>0</v>
      </c>
      <c r="P33" s="28" t="n">
        <f aca="false">$H33*IF(SUM($I33:$L33)=0,L$4,L33)</f>
        <v>0</v>
      </c>
      <c r="Q33" s="51" t="str">
        <f aca="false">IF($H33=0,"",IF(ABS(SUM(M33:P33)-$H33)&lt;0.01,"OK","CHECK"))</f>
        <v/>
      </c>
    </row>
    <row r="34" customFormat="false" ht="15" hidden="false" customHeight="false" outlineLevel="0" collapsed="false">
      <c r="A34" s="18" t="n">
        <v>2</v>
      </c>
      <c r="B34" s="10" t="s">
        <v>412</v>
      </c>
      <c r="C34" s="10"/>
      <c r="D34" s="10" t="s">
        <v>156</v>
      </c>
      <c r="E34" s="53" t="n">
        <f aca="false">INPUTS!$C$21</f>
        <v>24</v>
      </c>
      <c r="F34" s="10" t="s">
        <v>411</v>
      </c>
      <c r="G34" s="49"/>
      <c r="H34" s="28" t="n">
        <f aca="false">E34*G34</f>
        <v>0</v>
      </c>
      <c r="I34" s="50"/>
      <c r="J34" s="50" t="n">
        <v>1</v>
      </c>
      <c r="K34" s="50"/>
      <c r="L34" s="50"/>
      <c r="M34" s="28" t="n">
        <f aca="false">$H34*IF(SUM($I34:$L34)=0,I$4,I34)</f>
        <v>0</v>
      </c>
      <c r="N34" s="28" t="n">
        <f aca="false">$H34*IF(SUM($I34:$L34)=0,J$4,J34)</f>
        <v>0</v>
      </c>
      <c r="O34" s="28" t="n">
        <f aca="false">$H34*IF(SUM($I34:$L34)=0,K$4,K34)</f>
        <v>0</v>
      </c>
      <c r="P34" s="28" t="n">
        <f aca="false">$H34*IF(SUM($I34:$L34)=0,L$4,L34)</f>
        <v>0</v>
      </c>
      <c r="Q34" s="51" t="str">
        <f aca="false">IF($H34=0,"",IF(ABS(SUM(M34:P34)-$H34)&lt;0.01,"OK","CHECK"))</f>
        <v/>
      </c>
    </row>
    <row r="35" customFormat="false" ht="15" hidden="false" customHeight="false" outlineLevel="0" collapsed="false">
      <c r="A35" s="18" t="n">
        <v>3</v>
      </c>
      <c r="B35" s="10" t="s">
        <v>413</v>
      </c>
      <c r="C35" s="10"/>
      <c r="D35" s="10" t="s">
        <v>156</v>
      </c>
      <c r="E35" s="53" t="n">
        <f aca="false">INPUTS!$C$22</f>
        <v>24</v>
      </c>
      <c r="F35" s="10" t="s">
        <v>411</v>
      </c>
      <c r="G35" s="49"/>
      <c r="H35" s="28" t="n">
        <f aca="false">E35*G35</f>
        <v>0</v>
      </c>
      <c r="I35" s="50"/>
      <c r="J35" s="50"/>
      <c r="K35" s="50" t="n">
        <v>1</v>
      </c>
      <c r="L35" s="50"/>
      <c r="M35" s="28" t="n">
        <f aca="false">$H35*IF(SUM($I35:$L35)=0,I$4,I35)</f>
        <v>0</v>
      </c>
      <c r="N35" s="28" t="n">
        <f aca="false">$H35*IF(SUM($I35:$L35)=0,J$4,J35)</f>
        <v>0</v>
      </c>
      <c r="O35" s="28" t="n">
        <f aca="false">$H35*IF(SUM($I35:$L35)=0,K$4,K35)</f>
        <v>0</v>
      </c>
      <c r="P35" s="28" t="n">
        <f aca="false">$H35*IF(SUM($I35:$L35)=0,L$4,L35)</f>
        <v>0</v>
      </c>
      <c r="Q35" s="51" t="str">
        <f aca="false">IF($H35=0,"",IF(ABS(SUM(M35:P35)-$H35)&lt;0.01,"OK","CHECK"))</f>
        <v/>
      </c>
    </row>
    <row r="36" customFormat="false" ht="15" hidden="false" customHeight="false" outlineLevel="0" collapsed="false">
      <c r="A36" s="18" t="n">
        <v>4</v>
      </c>
      <c r="B36" s="10" t="s">
        <v>414</v>
      </c>
      <c r="C36" s="10"/>
      <c r="D36" s="10" t="s">
        <v>156</v>
      </c>
      <c r="E36" s="53" t="n">
        <f aca="false">INPUTS!$C$22</f>
        <v>24</v>
      </c>
      <c r="F36" s="10" t="s">
        <v>411</v>
      </c>
      <c r="G36" s="49"/>
      <c r="H36" s="28" t="n">
        <f aca="false">E36*G36</f>
        <v>0</v>
      </c>
      <c r="I36" s="50"/>
      <c r="J36" s="50"/>
      <c r="K36" s="50"/>
      <c r="L36" s="50" t="n">
        <v>1</v>
      </c>
      <c r="M36" s="28" t="n">
        <f aca="false">$H36*IF(SUM($I36:$L36)=0,I$4,I36)</f>
        <v>0</v>
      </c>
      <c r="N36" s="28" t="n">
        <f aca="false">$H36*IF(SUM($I36:$L36)=0,J$4,J36)</f>
        <v>0</v>
      </c>
      <c r="O36" s="28" t="n">
        <f aca="false">$H36*IF(SUM($I36:$L36)=0,K$4,K36)</f>
        <v>0</v>
      </c>
      <c r="P36" s="28" t="n">
        <f aca="false">$H36*IF(SUM($I36:$L36)=0,L$4,L36)</f>
        <v>0</v>
      </c>
      <c r="Q36" s="51" t="str">
        <f aca="false">IF($H36=0,"",IF(ABS(SUM(M36:P36)-$H36)&lt;0.01,"OK","CHECK"))</f>
        <v/>
      </c>
    </row>
    <row r="37" customFormat="false" ht="15" hidden="false" customHeight="false" outlineLevel="0" collapsed="false">
      <c r="A37" s="18" t="n">
        <v>5</v>
      </c>
      <c r="B37" s="10" t="s">
        <v>415</v>
      </c>
      <c r="C37" s="54" t="s">
        <v>416</v>
      </c>
      <c r="D37" s="10" t="s">
        <v>156</v>
      </c>
      <c r="E37" s="53" t="n">
        <f aca="false">MAX(INPUTS!$C$21,INPUTS!$C$22)</f>
        <v>24</v>
      </c>
      <c r="F37" s="10" t="s">
        <v>411</v>
      </c>
      <c r="G37" s="49" t="n">
        <v>7500</v>
      </c>
      <c r="H37" s="28" t="n">
        <f aca="false">E37*G37</f>
        <v>180000</v>
      </c>
      <c r="I37" s="50"/>
      <c r="J37" s="50"/>
      <c r="K37" s="50"/>
      <c r="L37" s="50"/>
      <c r="M37" s="28" t="n">
        <f aca="false">$H37*IF(SUM($I37:$L37)=0,I$4,I37)</f>
        <v>180000</v>
      </c>
      <c r="N37" s="28" t="n">
        <f aca="false">$H37*IF(SUM($I37:$L37)=0,J$4,J37)</f>
        <v>0</v>
      </c>
      <c r="O37" s="28" t="n">
        <f aca="false">$H37*IF(SUM($I37:$L37)=0,K$4,K37)</f>
        <v>0</v>
      </c>
      <c r="P37" s="28" t="n">
        <f aca="false">$H37*IF(SUM($I37:$L37)=0,L$4,L37)</f>
        <v>0</v>
      </c>
      <c r="Q37" s="51" t="str">
        <f aca="false">IF($H37=0,"",IF(ABS(SUM(M37:P37)-$H37)&lt;0.01,"OK","CHECK"))</f>
        <v>OK</v>
      </c>
    </row>
    <row r="38" customFormat="false" ht="15" hidden="false" customHeight="false" outlineLevel="0" collapsed="false">
      <c r="A38" s="18" t="n">
        <v>6</v>
      </c>
      <c r="B38" s="10" t="s">
        <v>417</v>
      </c>
      <c r="C38" s="10"/>
      <c r="D38" s="10" t="s">
        <v>156</v>
      </c>
      <c r="E38" s="53" t="n">
        <f aca="false">MAX(INPUTS!$C$21,INPUTS!$C$22)</f>
        <v>24</v>
      </c>
      <c r="F38" s="10" t="s">
        <v>411</v>
      </c>
      <c r="G38" s="49"/>
      <c r="H38" s="28" t="n">
        <f aca="false">E38*G38</f>
        <v>0</v>
      </c>
      <c r="I38" s="50"/>
      <c r="J38" s="50"/>
      <c r="K38" s="50"/>
      <c r="L38" s="50"/>
      <c r="M38" s="28" t="n">
        <f aca="false">$H38*IF(SUM($I38:$L38)=0,I$4,I38)</f>
        <v>0</v>
      </c>
      <c r="N38" s="28" t="n">
        <f aca="false">$H38*IF(SUM($I38:$L38)=0,J$4,J38)</f>
        <v>0</v>
      </c>
      <c r="O38" s="28" t="n">
        <f aca="false">$H38*IF(SUM($I38:$L38)=0,K$4,K38)</f>
        <v>0</v>
      </c>
      <c r="P38" s="28" t="n">
        <f aca="false">$H38*IF(SUM($I38:$L38)=0,L$4,L38)</f>
        <v>0</v>
      </c>
      <c r="Q38" s="51" t="str">
        <f aca="false">IF($H38=0,"",IF(ABS(SUM(M38:P38)-$H38)&lt;0.01,"OK","CHECK"))</f>
        <v/>
      </c>
    </row>
    <row r="39" customFormat="false" ht="15" hidden="false" customHeight="false" outlineLevel="0" collapsed="false">
      <c r="A39" s="18" t="n">
        <v>7</v>
      </c>
      <c r="B39" s="10" t="s">
        <v>418</v>
      </c>
      <c r="C39" s="10"/>
      <c r="D39" s="10" t="s">
        <v>156</v>
      </c>
      <c r="E39" s="38" t="n">
        <v>1</v>
      </c>
      <c r="F39" s="10" t="s">
        <v>276</v>
      </c>
      <c r="G39" s="49"/>
      <c r="H39" s="28" t="n">
        <f aca="false">E39*G39</f>
        <v>0</v>
      </c>
      <c r="I39" s="50" t="n">
        <v>1</v>
      </c>
      <c r="J39" s="50"/>
      <c r="K39" s="50"/>
      <c r="L39" s="50"/>
      <c r="M39" s="28" t="n">
        <f aca="false">$H39*IF(SUM($I39:$L39)=0,I$4,I39)</f>
        <v>0</v>
      </c>
      <c r="N39" s="28" t="n">
        <f aca="false">$H39*IF(SUM($I39:$L39)=0,J$4,J39)</f>
        <v>0</v>
      </c>
      <c r="O39" s="28" t="n">
        <f aca="false">$H39*IF(SUM($I39:$L39)=0,K$4,K39)</f>
        <v>0</v>
      </c>
      <c r="P39" s="28" t="n">
        <f aca="false">$H39*IF(SUM($I39:$L39)=0,L$4,L39)</f>
        <v>0</v>
      </c>
      <c r="Q39" s="51" t="str">
        <f aca="false">IF($H39=0,"",IF(ABS(SUM(M39:P39)-$H39)&lt;0.01,"OK","CHECK"))</f>
        <v/>
      </c>
    </row>
    <row r="40" customFormat="false" ht="15" hidden="false" customHeight="false" outlineLevel="0" collapsed="false">
      <c r="A40" s="18" t="n">
        <v>8</v>
      </c>
      <c r="B40" s="10" t="s">
        <v>419</v>
      </c>
      <c r="C40" s="10"/>
      <c r="D40" s="10" t="s">
        <v>156</v>
      </c>
      <c r="E40" s="38" t="n">
        <v>1</v>
      </c>
      <c r="F40" s="10" t="s">
        <v>276</v>
      </c>
      <c r="G40" s="49"/>
      <c r="H40" s="28" t="n">
        <f aca="false">E40*G40</f>
        <v>0</v>
      </c>
      <c r="I40" s="50"/>
      <c r="J40" s="50" t="n">
        <v>1</v>
      </c>
      <c r="K40" s="50"/>
      <c r="L40" s="50"/>
      <c r="M40" s="28" t="n">
        <f aca="false">$H40*IF(SUM($I40:$L40)=0,I$4,I40)</f>
        <v>0</v>
      </c>
      <c r="N40" s="28" t="n">
        <f aca="false">$H40*IF(SUM($I40:$L40)=0,J$4,J40)</f>
        <v>0</v>
      </c>
      <c r="O40" s="28" t="n">
        <f aca="false">$H40*IF(SUM($I40:$L40)=0,K$4,K40)</f>
        <v>0</v>
      </c>
      <c r="P40" s="28" t="n">
        <f aca="false">$H40*IF(SUM($I40:$L40)=0,L$4,L40)</f>
        <v>0</v>
      </c>
      <c r="Q40" s="51" t="str">
        <f aca="false">IF($H40=0,"",IF(ABS(SUM(M40:P40)-$H40)&lt;0.01,"OK","CHECK"))</f>
        <v/>
      </c>
    </row>
    <row r="41" customFormat="false" ht="15" hidden="false" customHeight="false" outlineLevel="0" collapsed="false">
      <c r="A41" s="18" t="n">
        <v>9</v>
      </c>
      <c r="B41" s="10" t="s">
        <v>420</v>
      </c>
      <c r="C41" s="10"/>
      <c r="D41" s="10" t="s">
        <v>156</v>
      </c>
      <c r="E41" s="38" t="n">
        <v>1</v>
      </c>
      <c r="F41" s="10" t="s">
        <v>276</v>
      </c>
      <c r="G41" s="49"/>
      <c r="H41" s="28" t="n">
        <f aca="false">E41*G41</f>
        <v>0</v>
      </c>
      <c r="I41" s="50"/>
      <c r="J41" s="50"/>
      <c r="K41" s="50" t="n">
        <v>1</v>
      </c>
      <c r="L41" s="50"/>
      <c r="M41" s="28" t="n">
        <f aca="false">$H41*IF(SUM($I41:$L41)=0,I$4,I41)</f>
        <v>0</v>
      </c>
      <c r="N41" s="28" t="n">
        <f aca="false">$H41*IF(SUM($I41:$L41)=0,J$4,J41)</f>
        <v>0</v>
      </c>
      <c r="O41" s="28" t="n">
        <f aca="false">$H41*IF(SUM($I41:$L41)=0,K$4,K41)</f>
        <v>0</v>
      </c>
      <c r="P41" s="28" t="n">
        <f aca="false">$H41*IF(SUM($I41:$L41)=0,L$4,L41)</f>
        <v>0</v>
      </c>
      <c r="Q41" s="51" t="str">
        <f aca="false">IF($H41=0,"",IF(ABS(SUM(M41:P41)-$H41)&lt;0.01,"OK","CHECK"))</f>
        <v/>
      </c>
    </row>
    <row r="42" customFormat="false" ht="15" hidden="false" customHeight="false" outlineLevel="0" collapsed="false">
      <c r="A42" s="18" t="n">
        <v>10</v>
      </c>
      <c r="B42" s="10" t="s">
        <v>421</v>
      </c>
      <c r="C42" s="10"/>
      <c r="D42" s="10" t="s">
        <v>156</v>
      </c>
      <c r="E42" s="38" t="n">
        <v>1</v>
      </c>
      <c r="F42" s="10" t="s">
        <v>276</v>
      </c>
      <c r="G42" s="49"/>
      <c r="H42" s="28" t="n">
        <f aca="false">E42*G42</f>
        <v>0</v>
      </c>
      <c r="I42" s="50"/>
      <c r="J42" s="50"/>
      <c r="K42" s="50"/>
      <c r="L42" s="50" t="n">
        <v>1</v>
      </c>
      <c r="M42" s="28" t="n">
        <f aca="false">$H42*IF(SUM($I42:$L42)=0,I$4,I42)</f>
        <v>0</v>
      </c>
      <c r="N42" s="28" t="n">
        <f aca="false">$H42*IF(SUM($I42:$L42)=0,J$4,J42)</f>
        <v>0</v>
      </c>
      <c r="O42" s="28" t="n">
        <f aca="false">$H42*IF(SUM($I42:$L42)=0,K$4,K42)</f>
        <v>0</v>
      </c>
      <c r="P42" s="28" t="n">
        <f aca="false">$H42*IF(SUM($I42:$L42)=0,L$4,L42)</f>
        <v>0</v>
      </c>
      <c r="Q42" s="51" t="str">
        <f aca="false">IF($H42=0,"",IF(ABS(SUM(M42:P42)-$H42)&lt;0.01,"OK","CHECK"))</f>
        <v/>
      </c>
    </row>
    <row r="43" customFormat="false" ht="15" hidden="false" customHeight="false" outlineLevel="0" collapsed="false">
      <c r="A43" s="18" t="n">
        <v>11</v>
      </c>
      <c r="B43" s="10" t="s">
        <v>422</v>
      </c>
      <c r="C43" s="10"/>
      <c r="D43" s="10" t="s">
        <v>156</v>
      </c>
      <c r="E43" s="38" t="n">
        <v>1</v>
      </c>
      <c r="F43" s="10" t="s">
        <v>276</v>
      </c>
      <c r="G43" s="49"/>
      <c r="H43" s="28" t="n">
        <f aca="false">E43*G43</f>
        <v>0</v>
      </c>
      <c r="I43" s="50"/>
      <c r="J43" s="50"/>
      <c r="K43" s="50"/>
      <c r="L43" s="50"/>
      <c r="M43" s="28" t="n">
        <f aca="false">$H43*IF(SUM($I43:$L43)=0,I$4,I43)</f>
        <v>0</v>
      </c>
      <c r="N43" s="28" t="n">
        <f aca="false">$H43*IF(SUM($I43:$L43)=0,J$4,J43)</f>
        <v>0</v>
      </c>
      <c r="O43" s="28" t="n">
        <f aca="false">$H43*IF(SUM($I43:$L43)=0,K$4,K43)</f>
        <v>0</v>
      </c>
      <c r="P43" s="28" t="n">
        <f aca="false">$H43*IF(SUM($I43:$L43)=0,L$4,L43)</f>
        <v>0</v>
      </c>
      <c r="Q43" s="51" t="str">
        <f aca="false">IF($H43=0,"",IF(ABS(SUM(M43:P43)-$H43)&lt;0.01,"OK","CHECK"))</f>
        <v/>
      </c>
    </row>
    <row r="44" customFormat="false" ht="15" hidden="false" customHeight="false" outlineLevel="0" collapsed="false">
      <c r="A44" s="18" t="n">
        <v>12</v>
      </c>
      <c r="B44" s="10" t="s">
        <v>423</v>
      </c>
      <c r="C44" s="10"/>
      <c r="D44" s="10" t="s">
        <v>146</v>
      </c>
      <c r="E44" s="38" t="n">
        <v>1</v>
      </c>
      <c r="F44" s="10" t="s">
        <v>276</v>
      </c>
      <c r="G44" s="49"/>
      <c r="H44" s="28" t="n">
        <f aca="false">E44*G44</f>
        <v>0</v>
      </c>
      <c r="I44" s="50"/>
      <c r="J44" s="50"/>
      <c r="K44" s="50"/>
      <c r="L44" s="50"/>
      <c r="M44" s="28" t="n">
        <f aca="false">$H44*IF(SUM($I44:$L44)=0,I$4,I44)</f>
        <v>0</v>
      </c>
      <c r="N44" s="28" t="n">
        <f aca="false">$H44*IF(SUM($I44:$L44)=0,J$4,J44)</f>
        <v>0</v>
      </c>
      <c r="O44" s="28" t="n">
        <f aca="false">$H44*IF(SUM($I44:$L44)=0,K$4,K44)</f>
        <v>0</v>
      </c>
      <c r="P44" s="28" t="n">
        <f aca="false">$H44*IF(SUM($I44:$L44)=0,L$4,L44)</f>
        <v>0</v>
      </c>
      <c r="Q44" s="51" t="str">
        <f aca="false">IF($H44=0,"",IF(ABS(SUM(M44:P44)-$H44)&lt;0.01,"OK","CHECK"))</f>
        <v/>
      </c>
    </row>
    <row r="45" customFormat="false" ht="15" hidden="false" customHeight="false" outlineLevel="0" collapsed="false">
      <c r="A45" s="18" t="n">
        <v>13</v>
      </c>
      <c r="B45" s="10" t="s">
        <v>424</v>
      </c>
      <c r="C45" s="10"/>
      <c r="D45" s="10" t="s">
        <v>146</v>
      </c>
      <c r="E45" s="38" t="n">
        <v>1</v>
      </c>
      <c r="F45" s="10" t="s">
        <v>276</v>
      </c>
      <c r="G45" s="49"/>
      <c r="H45" s="28" t="n">
        <f aca="false">E45*G45</f>
        <v>0</v>
      </c>
      <c r="I45" s="50" t="n">
        <v>1</v>
      </c>
      <c r="J45" s="50"/>
      <c r="K45" s="50"/>
      <c r="L45" s="50"/>
      <c r="M45" s="28" t="n">
        <f aca="false">$H45*IF(SUM($I45:$L45)=0,I$4,I45)</f>
        <v>0</v>
      </c>
      <c r="N45" s="28" t="n">
        <f aca="false">$H45*IF(SUM($I45:$L45)=0,J$4,J45)</f>
        <v>0</v>
      </c>
      <c r="O45" s="28" t="n">
        <f aca="false">$H45*IF(SUM($I45:$L45)=0,K$4,K45)</f>
        <v>0</v>
      </c>
      <c r="P45" s="28" t="n">
        <f aca="false">$H45*IF(SUM($I45:$L45)=0,L$4,L45)</f>
        <v>0</v>
      </c>
      <c r="Q45" s="51" t="str">
        <f aca="false">IF($H45=0,"",IF(ABS(SUM(M45:P45)-$H45)&lt;0.01,"OK","CHECK"))</f>
        <v/>
      </c>
    </row>
    <row r="46" customFormat="false" ht="15" hidden="false" customHeight="false" outlineLevel="0" collapsed="false">
      <c r="A46" s="18" t="n">
        <v>14</v>
      </c>
      <c r="B46" s="10" t="s">
        <v>425</v>
      </c>
      <c r="C46" s="10"/>
      <c r="D46" s="10" t="s">
        <v>146</v>
      </c>
      <c r="E46" s="38" t="n">
        <v>1</v>
      </c>
      <c r="F46" s="10" t="s">
        <v>276</v>
      </c>
      <c r="G46" s="49"/>
      <c r="H46" s="28" t="n">
        <f aca="false">E46*G46</f>
        <v>0</v>
      </c>
      <c r="I46" s="50"/>
      <c r="J46" s="50"/>
      <c r="K46" s="50"/>
      <c r="L46" s="50"/>
      <c r="M46" s="28" t="n">
        <f aca="false">$H46*IF(SUM($I46:$L46)=0,I$4,I46)</f>
        <v>0</v>
      </c>
      <c r="N46" s="28" t="n">
        <f aca="false">$H46*IF(SUM($I46:$L46)=0,J$4,J46)</f>
        <v>0</v>
      </c>
      <c r="O46" s="28" t="n">
        <f aca="false">$H46*IF(SUM($I46:$L46)=0,K$4,K46)</f>
        <v>0</v>
      </c>
      <c r="P46" s="28" t="n">
        <f aca="false">$H46*IF(SUM($I46:$L46)=0,L$4,L46)</f>
        <v>0</v>
      </c>
      <c r="Q46" s="51" t="str">
        <f aca="false">IF($H46=0,"",IF(ABS(SUM(M46:P46)-$H46)&lt;0.01,"OK","CHECK"))</f>
        <v/>
      </c>
    </row>
    <row r="47" customFormat="false" ht="15" hidden="false" customHeight="false" outlineLevel="0" collapsed="false">
      <c r="A47" s="18" t="n">
        <v>15</v>
      </c>
      <c r="B47" s="10" t="s">
        <v>426</v>
      </c>
      <c r="C47" s="10"/>
      <c r="D47" s="10" t="s">
        <v>156</v>
      </c>
      <c r="E47" s="38" t="n">
        <v>4</v>
      </c>
      <c r="F47" s="10" t="s">
        <v>411</v>
      </c>
      <c r="G47" s="49"/>
      <c r="H47" s="28" t="n">
        <f aca="false">E47*G47</f>
        <v>0</v>
      </c>
      <c r="I47" s="50"/>
      <c r="J47" s="50"/>
      <c r="K47" s="50"/>
      <c r="L47" s="50"/>
      <c r="M47" s="28" t="n">
        <f aca="false">$H47*IF(SUM($I47:$L47)=0,I$4,I47)</f>
        <v>0</v>
      </c>
      <c r="N47" s="28" t="n">
        <f aca="false">$H47*IF(SUM($I47:$L47)=0,J$4,J47)</f>
        <v>0</v>
      </c>
      <c r="O47" s="28" t="n">
        <f aca="false">$H47*IF(SUM($I47:$L47)=0,K$4,K47)</f>
        <v>0</v>
      </c>
      <c r="P47" s="28" t="n">
        <f aca="false">$H47*IF(SUM($I47:$L47)=0,L$4,L47)</f>
        <v>0</v>
      </c>
      <c r="Q47" s="51" t="str">
        <f aca="false">IF($H47=0,"",IF(ABS(SUM(M47:P47)-$H47)&lt;0.01,"OK","CHECK"))</f>
        <v/>
      </c>
    </row>
    <row r="48" customFormat="false" ht="15" hidden="false" customHeight="false" outlineLevel="0" collapsed="false">
      <c r="A48" s="18" t="n">
        <v>16</v>
      </c>
      <c r="B48" s="10" t="s">
        <v>427</v>
      </c>
      <c r="C48" s="10"/>
      <c r="D48" s="10" t="s">
        <v>156</v>
      </c>
      <c r="E48" s="38" t="n">
        <v>12</v>
      </c>
      <c r="F48" s="10" t="s">
        <v>411</v>
      </c>
      <c r="G48" s="49"/>
      <c r="H48" s="28" t="n">
        <f aca="false">E48*G48</f>
        <v>0</v>
      </c>
      <c r="I48" s="50"/>
      <c r="J48" s="50"/>
      <c r="K48" s="50"/>
      <c r="L48" s="50"/>
      <c r="M48" s="28" t="n">
        <f aca="false">$H48*IF(SUM($I48:$L48)=0,I$4,I48)</f>
        <v>0</v>
      </c>
      <c r="N48" s="28" t="n">
        <f aca="false">$H48*IF(SUM($I48:$L48)=0,J$4,J48)</f>
        <v>0</v>
      </c>
      <c r="O48" s="28" t="n">
        <f aca="false">$H48*IF(SUM($I48:$L48)=0,K$4,K48)</f>
        <v>0</v>
      </c>
      <c r="P48" s="28" t="n">
        <f aca="false">$H48*IF(SUM($I48:$L48)=0,L$4,L48)</f>
        <v>0</v>
      </c>
      <c r="Q48" s="51" t="str">
        <f aca="false">IF($H48=0,"",IF(ABS(SUM(M48:P48)-$H48)&lt;0.01,"OK","CHECK"))</f>
        <v/>
      </c>
    </row>
    <row r="49" customFormat="false" ht="15" hidden="false" customHeight="false" outlineLevel="0" collapsed="false">
      <c r="A49" s="18" t="n">
        <v>17</v>
      </c>
      <c r="B49" s="10" t="s">
        <v>428</v>
      </c>
      <c r="C49" s="10"/>
      <c r="D49" s="10" t="s">
        <v>156</v>
      </c>
      <c r="E49" s="53" t="n">
        <f aca="false">MAX(INPUTS!$C$21,INPUTS!$C$22)</f>
        <v>24</v>
      </c>
      <c r="F49" s="10" t="s">
        <v>411</v>
      </c>
      <c r="G49" s="49"/>
      <c r="H49" s="28" t="n">
        <f aca="false">E49*G49</f>
        <v>0</v>
      </c>
      <c r="I49" s="50"/>
      <c r="J49" s="50"/>
      <c r="K49" s="50"/>
      <c r="L49" s="50"/>
      <c r="M49" s="28" t="n">
        <f aca="false">$H49*IF(SUM($I49:$L49)=0,I$4,I49)</f>
        <v>0</v>
      </c>
      <c r="N49" s="28" t="n">
        <f aca="false">$H49*IF(SUM($I49:$L49)=0,J$4,J49)</f>
        <v>0</v>
      </c>
      <c r="O49" s="28" t="n">
        <f aca="false">$H49*IF(SUM($I49:$L49)=0,K$4,K49)</f>
        <v>0</v>
      </c>
      <c r="P49" s="28" t="n">
        <f aca="false">$H49*IF(SUM($I49:$L49)=0,L$4,L49)</f>
        <v>0</v>
      </c>
      <c r="Q49" s="51" t="str">
        <f aca="false">IF($H49=0,"",IF(ABS(SUM(M49:P49)-$H49)&lt;0.01,"OK","CHECK"))</f>
        <v/>
      </c>
    </row>
    <row r="50" customFormat="false" ht="15" hidden="false" customHeight="false" outlineLevel="0" collapsed="false">
      <c r="A50" s="18" t="n">
        <v>18</v>
      </c>
      <c r="B50" s="10" t="s">
        <v>429</v>
      </c>
      <c r="C50" s="10"/>
      <c r="D50" s="10" t="s">
        <v>156</v>
      </c>
      <c r="E50" s="53" t="n">
        <f aca="false">MAX(INPUTS!$C$21,INPUTS!$C$22)</f>
        <v>24</v>
      </c>
      <c r="F50" s="10" t="s">
        <v>411</v>
      </c>
      <c r="G50" s="49"/>
      <c r="H50" s="28" t="n">
        <f aca="false">E50*G50</f>
        <v>0</v>
      </c>
      <c r="I50" s="50"/>
      <c r="J50" s="50"/>
      <c r="K50" s="50"/>
      <c r="L50" s="50"/>
      <c r="M50" s="28" t="n">
        <f aca="false">$H50*IF(SUM($I50:$L50)=0,I$4,I50)</f>
        <v>0</v>
      </c>
      <c r="N50" s="28" t="n">
        <f aca="false">$H50*IF(SUM($I50:$L50)=0,J$4,J50)</f>
        <v>0</v>
      </c>
      <c r="O50" s="28" t="n">
        <f aca="false">$H50*IF(SUM($I50:$L50)=0,K$4,K50)</f>
        <v>0</v>
      </c>
      <c r="P50" s="28" t="n">
        <f aca="false">$H50*IF(SUM($I50:$L50)=0,L$4,L50)</f>
        <v>0</v>
      </c>
      <c r="Q50" s="51" t="str">
        <f aca="false">IF($H50=0,"",IF(ABS(SUM(M50:P50)-$H50)&lt;0.01,"OK","CHECK"))</f>
        <v/>
      </c>
    </row>
    <row r="51" customFormat="false" ht="15" hidden="false" customHeight="false" outlineLevel="0" collapsed="false">
      <c r="A51" s="18" t="n">
        <v>19</v>
      </c>
      <c r="B51" s="10" t="s">
        <v>430</v>
      </c>
      <c r="C51" s="10"/>
      <c r="D51" s="10" t="s">
        <v>155</v>
      </c>
      <c r="E51" s="38" t="n">
        <v>1</v>
      </c>
      <c r="F51" s="10" t="s">
        <v>276</v>
      </c>
      <c r="G51" s="55" t="n">
        <f aca="false">ROUNDUP(INPUTS!$C$27*(SUMIFS('PLUMBING EST'!$L$7:$L$156,'PLUMBING EST'!$B$7:$B$156,"P",'PLUMBING EST'!$C$7:$C$156,INPUTS!$B$72)+SUMIFS('HVAC EST'!$L$7:$L$156,'HVAC EST'!$B$7:$B$156,"P",'HVAC EST'!$C$7:$C$156,INPUTS!$B$72)),-2)</f>
        <v>0</v>
      </c>
      <c r="H51" s="28" t="n">
        <f aca="false">E51*G51</f>
        <v>0</v>
      </c>
      <c r="I51" s="50" t="n">
        <v>1</v>
      </c>
      <c r="J51" s="50"/>
      <c r="K51" s="50"/>
      <c r="L51" s="50"/>
      <c r="M51" s="28" t="n">
        <f aca="false">$H51*IF(SUM($I51:$L51)=0,I$4,I51)</f>
        <v>0</v>
      </c>
      <c r="N51" s="28" t="n">
        <f aca="false">$H51*IF(SUM($I51:$L51)=0,J$4,J51)</f>
        <v>0</v>
      </c>
      <c r="O51" s="28" t="n">
        <f aca="false">$H51*IF(SUM($I51:$L51)=0,K$4,K51)</f>
        <v>0</v>
      </c>
      <c r="P51" s="28" t="n">
        <f aca="false">$H51*IF(SUM($I51:$L51)=0,L$4,L51)</f>
        <v>0</v>
      </c>
      <c r="Q51" s="51" t="str">
        <f aca="false">IF($H51=0,"",IF(ABS(SUM(M51:P51)-$H51)&lt;0.01,"OK","CHECK"))</f>
        <v/>
      </c>
    </row>
    <row r="52" customFormat="false" ht="15" hidden="false" customHeight="false" outlineLevel="0" collapsed="false">
      <c r="A52" s="18" t="n">
        <v>20</v>
      </c>
      <c r="B52" s="10" t="s">
        <v>431</v>
      </c>
      <c r="C52" s="10"/>
      <c r="D52" s="10" t="s">
        <v>155</v>
      </c>
      <c r="E52" s="38" t="n">
        <v>1</v>
      </c>
      <c r="F52" s="10" t="s">
        <v>276</v>
      </c>
      <c r="G52" s="55" t="n">
        <f aca="false">ROUNDUP(INPUTS!$C$27*(SUMIFS('PLUMBING EST'!$L$7:$L$156,'PLUMBING EST'!$B$7:$B$156,"H",'PLUMBING EST'!$C$7:$C$156,INPUTS!$B$72)+SUMIFS('HVAC EST'!$L$7:$L$156,'HVAC EST'!$B$7:$B$156,"H",'HVAC EST'!$C$7:$C$156,INPUTS!$B$72)),-2)</f>
        <v>0</v>
      </c>
      <c r="H52" s="28" t="n">
        <f aca="false">E52*G52</f>
        <v>0</v>
      </c>
      <c r="I52" s="50"/>
      <c r="J52" s="50" t="n">
        <v>1</v>
      </c>
      <c r="K52" s="50"/>
      <c r="L52" s="50"/>
      <c r="M52" s="28" t="n">
        <f aca="false">$H52*IF(SUM($I52:$L52)=0,I$4,I52)</f>
        <v>0</v>
      </c>
      <c r="N52" s="28" t="n">
        <f aca="false">$H52*IF(SUM($I52:$L52)=0,J$4,J52)</f>
        <v>0</v>
      </c>
      <c r="O52" s="28" t="n">
        <f aca="false">$H52*IF(SUM($I52:$L52)=0,K$4,K52)</f>
        <v>0</v>
      </c>
      <c r="P52" s="28" t="n">
        <f aca="false">$H52*IF(SUM($I52:$L52)=0,L$4,L52)</f>
        <v>0</v>
      </c>
      <c r="Q52" s="51" t="str">
        <f aca="false">IF($H52=0,"",IF(ABS(SUM(M52:P52)-$H52)&lt;0.01,"OK","CHECK"))</f>
        <v/>
      </c>
    </row>
    <row r="53" customFormat="false" ht="15" hidden="false" customHeight="false" outlineLevel="0" collapsed="false">
      <c r="A53" s="18" t="n">
        <v>21</v>
      </c>
      <c r="B53" s="10" t="s">
        <v>432</v>
      </c>
      <c r="C53" s="10"/>
      <c r="D53" s="10" t="s">
        <v>155</v>
      </c>
      <c r="E53" s="38" t="n">
        <v>1</v>
      </c>
      <c r="F53" s="10" t="s">
        <v>276</v>
      </c>
      <c r="G53" s="55" t="n">
        <f aca="false">ROUNDUP(INPUTS!$C$27*(SUMIFS('PLUMBING EST'!$L$7:$L$156,'PLUMBING EST'!$B$7:$B$156,"V",'PLUMBING EST'!$C$7:$C$156,INPUTS!$B$72)+SUMIFS('HVAC EST'!$L$7:$L$156,'HVAC EST'!$B$7:$B$156,"V",'HVAC EST'!$C$7:$C$156,INPUTS!$B$72)),-2)</f>
        <v>0</v>
      </c>
      <c r="H53" s="28" t="n">
        <f aca="false">E53*G53</f>
        <v>0</v>
      </c>
      <c r="I53" s="50"/>
      <c r="J53" s="50"/>
      <c r="K53" s="50" t="n">
        <v>1</v>
      </c>
      <c r="L53" s="50"/>
      <c r="M53" s="28" t="n">
        <f aca="false">$H53*IF(SUM($I53:$L53)=0,I$4,I53)</f>
        <v>0</v>
      </c>
      <c r="N53" s="28" t="n">
        <f aca="false">$H53*IF(SUM($I53:$L53)=0,J$4,J53)</f>
        <v>0</v>
      </c>
      <c r="O53" s="28" t="n">
        <f aca="false">$H53*IF(SUM($I53:$L53)=0,K$4,K53)</f>
        <v>0</v>
      </c>
      <c r="P53" s="28" t="n">
        <f aca="false">$H53*IF(SUM($I53:$L53)=0,L$4,L53)</f>
        <v>0</v>
      </c>
      <c r="Q53" s="51" t="str">
        <f aca="false">IF($H53=0,"",IF(ABS(SUM(M53:P53)-$H53)&lt;0.01,"OK","CHECK"))</f>
        <v/>
      </c>
    </row>
    <row r="54" customFormat="false" ht="15" hidden="false" customHeight="false" outlineLevel="0" collapsed="false">
      <c r="A54" s="18" t="n">
        <v>22</v>
      </c>
      <c r="B54" s="10" t="s">
        <v>433</v>
      </c>
      <c r="C54" s="10"/>
      <c r="D54" s="10" t="s">
        <v>155</v>
      </c>
      <c r="E54" s="38" t="n">
        <v>1</v>
      </c>
      <c r="F54" s="10" t="s">
        <v>276</v>
      </c>
      <c r="G54" s="55" t="n">
        <f aca="false">ROUNDUP(INPUTS!$C$27*(SUMIFS('PLUMBING EST'!$L$7:$L$156,'PLUMBING EST'!$B$7:$B$156,"AC",'PLUMBING EST'!$C$7:$C$156,INPUTS!$B$72)+SUMIFS('HVAC EST'!$L$7:$L$156,'HVAC EST'!$B$7:$B$156,"AC",'HVAC EST'!$C$7:$C$156,INPUTS!$B$72)),-2)</f>
        <v>0</v>
      </c>
      <c r="H54" s="28" t="n">
        <f aca="false">E54*G54</f>
        <v>0</v>
      </c>
      <c r="I54" s="50"/>
      <c r="J54" s="50"/>
      <c r="K54" s="50"/>
      <c r="L54" s="50" t="n">
        <v>1</v>
      </c>
      <c r="M54" s="28" t="n">
        <f aca="false">$H54*IF(SUM($I54:$L54)=0,I$4,I54)</f>
        <v>0</v>
      </c>
      <c r="N54" s="28" t="n">
        <f aca="false">$H54*IF(SUM($I54:$L54)=0,J$4,J54)</f>
        <v>0</v>
      </c>
      <c r="O54" s="28" t="n">
        <f aca="false">$H54*IF(SUM($I54:$L54)=0,K$4,K54)</f>
        <v>0</v>
      </c>
      <c r="P54" s="28" t="n">
        <f aca="false">$H54*IF(SUM($I54:$L54)=0,L$4,L54)</f>
        <v>0</v>
      </c>
      <c r="Q54" s="51" t="str">
        <f aca="false">IF($H54=0,"",IF(ABS(SUM(M54:P54)-$H54)&lt;0.01,"OK","CHECK"))</f>
        <v/>
      </c>
    </row>
    <row r="55" customFormat="false" ht="15" hidden="false" customHeight="false" outlineLevel="0" collapsed="false">
      <c r="A55" s="18" t="n">
        <v>23</v>
      </c>
      <c r="B55" s="10"/>
      <c r="C55" s="10"/>
      <c r="D55" s="10"/>
      <c r="E55" s="38"/>
      <c r="F55" s="10"/>
      <c r="G55" s="49"/>
      <c r="H55" s="28" t="n">
        <f aca="false">E55*G55</f>
        <v>0</v>
      </c>
      <c r="I55" s="50"/>
      <c r="J55" s="50"/>
      <c r="K55" s="50"/>
      <c r="L55" s="50"/>
      <c r="M55" s="28" t="n">
        <f aca="false">$H55*IF(SUM($I55:$L55)=0,I$4,I55)</f>
        <v>0</v>
      </c>
      <c r="N55" s="28" t="n">
        <f aca="false">$H55*IF(SUM($I55:$L55)=0,J$4,J55)</f>
        <v>0</v>
      </c>
      <c r="O55" s="28" t="n">
        <f aca="false">$H55*IF(SUM($I55:$L55)=0,K$4,K55)</f>
        <v>0</v>
      </c>
      <c r="P55" s="28" t="n">
        <f aca="false">$H55*IF(SUM($I55:$L55)=0,L$4,L55)</f>
        <v>0</v>
      </c>
      <c r="Q55" s="51" t="str">
        <f aca="false">IF($H55=0,"",IF(ABS(SUM(M55:P55)-$H55)&lt;0.01,"OK","CHECK"))</f>
        <v/>
      </c>
    </row>
    <row r="56" customFormat="false" ht="15" hidden="false" customHeight="false" outlineLevel="0" collapsed="false">
      <c r="A56" s="18" t="n">
        <v>24</v>
      </c>
      <c r="B56" s="10"/>
      <c r="C56" s="10"/>
      <c r="D56" s="10"/>
      <c r="E56" s="38"/>
      <c r="F56" s="10"/>
      <c r="G56" s="49"/>
      <c r="H56" s="28" t="n">
        <f aca="false">E56*G56</f>
        <v>0</v>
      </c>
      <c r="I56" s="50"/>
      <c r="J56" s="50"/>
      <c r="K56" s="50"/>
      <c r="L56" s="50"/>
      <c r="M56" s="28" t="n">
        <f aca="false">$H56*IF(SUM($I56:$L56)=0,I$4,I56)</f>
        <v>0</v>
      </c>
      <c r="N56" s="28" t="n">
        <f aca="false">$H56*IF(SUM($I56:$L56)=0,J$4,J56)</f>
        <v>0</v>
      </c>
      <c r="O56" s="28" t="n">
        <f aca="false">$H56*IF(SUM($I56:$L56)=0,K$4,K56)</f>
        <v>0</v>
      </c>
      <c r="P56" s="28" t="n">
        <f aca="false">$H56*IF(SUM($I56:$L56)=0,L$4,L56)</f>
        <v>0</v>
      </c>
      <c r="Q56" s="51" t="str">
        <f aca="false">IF($H56=0,"",IF(ABS(SUM(M56:P56)-$H56)&lt;0.01,"OK","CHECK"))</f>
        <v/>
      </c>
    </row>
    <row r="57" customFormat="false" ht="15" hidden="false" customHeight="false" outlineLevel="0" collapsed="false">
      <c r="A57" s="18" t="n">
        <v>25</v>
      </c>
      <c r="B57" s="10"/>
      <c r="C57" s="10"/>
      <c r="D57" s="10"/>
      <c r="E57" s="38"/>
      <c r="F57" s="10"/>
      <c r="G57" s="49"/>
      <c r="H57" s="28" t="n">
        <f aca="false">E57*G57</f>
        <v>0</v>
      </c>
      <c r="I57" s="50"/>
      <c r="J57" s="50"/>
      <c r="K57" s="50"/>
      <c r="L57" s="50"/>
      <c r="M57" s="28" t="n">
        <f aca="false">$H57*IF(SUM($I57:$L57)=0,I$4,I57)</f>
        <v>0</v>
      </c>
      <c r="N57" s="28" t="n">
        <f aca="false">$H57*IF(SUM($I57:$L57)=0,J$4,J57)</f>
        <v>0</v>
      </c>
      <c r="O57" s="28" t="n">
        <f aca="false">$H57*IF(SUM($I57:$L57)=0,K$4,K57)</f>
        <v>0</v>
      </c>
      <c r="P57" s="28" t="n">
        <f aca="false">$H57*IF(SUM($I57:$L57)=0,L$4,L57)</f>
        <v>0</v>
      </c>
      <c r="Q57" s="51" t="str">
        <f aca="false">IF($H57=0,"",IF(ABS(SUM(M57:P57)-$H57)&lt;0.01,"OK","CHECK"))</f>
        <v/>
      </c>
    </row>
    <row r="58" customFormat="false" ht="15" hidden="false" customHeight="false" outlineLevel="0" collapsed="false">
      <c r="A58" s="18" t="n">
        <v>26</v>
      </c>
      <c r="B58" s="10"/>
      <c r="C58" s="10"/>
      <c r="D58" s="10"/>
      <c r="E58" s="38"/>
      <c r="F58" s="10"/>
      <c r="G58" s="49"/>
      <c r="H58" s="28" t="n">
        <f aca="false">E58*G58</f>
        <v>0</v>
      </c>
      <c r="I58" s="50"/>
      <c r="J58" s="50"/>
      <c r="K58" s="50"/>
      <c r="L58" s="50"/>
      <c r="M58" s="28" t="n">
        <f aca="false">$H58*IF(SUM($I58:$L58)=0,I$4,I58)</f>
        <v>0</v>
      </c>
      <c r="N58" s="28" t="n">
        <f aca="false">$H58*IF(SUM($I58:$L58)=0,J$4,J58)</f>
        <v>0</v>
      </c>
      <c r="O58" s="28" t="n">
        <f aca="false">$H58*IF(SUM($I58:$L58)=0,K$4,K58)</f>
        <v>0</v>
      </c>
      <c r="P58" s="28" t="n">
        <f aca="false">$H58*IF(SUM($I58:$L58)=0,L$4,L58)</f>
        <v>0</v>
      </c>
      <c r="Q58" s="51" t="str">
        <f aca="false">IF($H58=0,"",IF(ABS(SUM(M58:P58)-$H58)&lt;0.01,"OK","CHECK"))</f>
        <v/>
      </c>
    </row>
    <row r="59" customFormat="false" ht="15" hidden="false" customHeight="false" outlineLevel="0" collapsed="false">
      <c r="A59" s="18" t="n">
        <v>27</v>
      </c>
      <c r="B59" s="10"/>
      <c r="C59" s="10"/>
      <c r="D59" s="10"/>
      <c r="E59" s="38"/>
      <c r="F59" s="10"/>
      <c r="G59" s="49"/>
      <c r="H59" s="28" t="n">
        <f aca="false">E59*G59</f>
        <v>0</v>
      </c>
      <c r="I59" s="50"/>
      <c r="J59" s="50"/>
      <c r="K59" s="50"/>
      <c r="L59" s="50"/>
      <c r="M59" s="28" t="n">
        <f aca="false">$H59*IF(SUM($I59:$L59)=0,I$4,I59)</f>
        <v>0</v>
      </c>
      <c r="N59" s="28" t="n">
        <f aca="false">$H59*IF(SUM($I59:$L59)=0,J$4,J59)</f>
        <v>0</v>
      </c>
      <c r="O59" s="28" t="n">
        <f aca="false">$H59*IF(SUM($I59:$L59)=0,K$4,K59)</f>
        <v>0</v>
      </c>
      <c r="P59" s="28" t="n">
        <f aca="false">$H59*IF(SUM($I59:$L59)=0,L$4,L59)</f>
        <v>0</v>
      </c>
      <c r="Q59" s="51" t="str">
        <f aca="false">IF($H59=0,"",IF(ABS(SUM(M59:P59)-$H59)&lt;0.01,"OK","CHECK"))</f>
        <v/>
      </c>
    </row>
    <row r="60" customFormat="false" ht="15" hidden="false" customHeight="false" outlineLevel="0" collapsed="false">
      <c r="A60" s="18" t="n">
        <v>28</v>
      </c>
      <c r="B60" s="10"/>
      <c r="C60" s="10"/>
      <c r="D60" s="10"/>
      <c r="E60" s="38"/>
      <c r="F60" s="10"/>
      <c r="G60" s="49"/>
      <c r="H60" s="28" t="n">
        <f aca="false">E60*G60</f>
        <v>0</v>
      </c>
      <c r="I60" s="50"/>
      <c r="J60" s="50"/>
      <c r="K60" s="50"/>
      <c r="L60" s="50"/>
      <c r="M60" s="28" t="n">
        <f aca="false">$H60*IF(SUM($I60:$L60)=0,I$4,I60)</f>
        <v>0</v>
      </c>
      <c r="N60" s="28" t="n">
        <f aca="false">$H60*IF(SUM($I60:$L60)=0,J$4,J60)</f>
        <v>0</v>
      </c>
      <c r="O60" s="28" t="n">
        <f aca="false">$H60*IF(SUM($I60:$L60)=0,K$4,K60)</f>
        <v>0</v>
      </c>
      <c r="P60" s="28" t="n">
        <f aca="false">$H60*IF(SUM($I60:$L60)=0,L$4,L60)</f>
        <v>0</v>
      </c>
      <c r="Q60" s="51" t="str">
        <f aca="false">IF($H60=0,"",IF(ABS(SUM(M60:P60)-$H60)&lt;0.01,"OK","CHECK"))</f>
        <v/>
      </c>
    </row>
    <row r="61" customFormat="false" ht="15" hidden="false" customHeight="false" outlineLevel="0" collapsed="false">
      <c r="B61" s="4" t="s">
        <v>434</v>
      </c>
      <c r="H61" s="52" t="n">
        <f aca="false">SUM(H33:H60)</f>
        <v>180000</v>
      </c>
      <c r="M61" s="52" t="n">
        <f aca="false">SUM(M33:M60)</f>
        <v>180000</v>
      </c>
      <c r="N61" s="52" t="n">
        <f aca="false">SUM(N33:N60)</f>
        <v>0</v>
      </c>
      <c r="O61" s="52" t="n">
        <f aca="false">SUM(O33:O60)</f>
        <v>0</v>
      </c>
      <c r="P61" s="52" t="n">
        <f aca="false">SUM(P33:P60)</f>
        <v>0</v>
      </c>
    </row>
  </sheetData>
  <conditionalFormatting sqref="Q7:Q6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dataValidations count="1">
    <dataValidation allowBlank="true" errorStyle="stop" operator="between" showDropDown="false" showErrorMessage="false" showInputMessage="false" sqref="D7:D28 D33:D60" type="list">
      <formula1>INPUTS!$B$67:$B$75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T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4" min="13" style="0" width="15"/>
    <col collapsed="false" customWidth="true" hidden="false" outlineLevel="0" max="15" min="15" style="0" width="14"/>
    <col collapsed="false" customWidth="true" hidden="false" outlineLevel="0" max="17" min="16" style="0" width="9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9"/>
  </cols>
  <sheetData>
    <row r="1" customFormat="false" ht="17.35" hidden="false" customHeight="false" outlineLevel="0" collapsed="false">
      <c r="A1" s="1" t="s">
        <v>435</v>
      </c>
    </row>
    <row r="2" customFormat="false" ht="15" hidden="false" customHeight="false" outlineLevel="0" collapsed="false">
      <c r="A2" s="9" t="str">
        <f aca="false">IF(INPUTS!C4="","(enter project name on INPUTS)",INPUTS!C4)&amp;"  |  "&amp;INPUTS!C11&amp;", "&amp;INPUTS!C12</f>
        <v>(enter project name on INPUTS)  |  2650 East 41st Ave, Vancouver</v>
      </c>
      <c r="K2" s="56" t="s">
        <v>436</v>
      </c>
      <c r="L2" s="57" t="str">
        <f aca="false">I37</f>
        <v>OK</v>
      </c>
    </row>
    <row r="5" customFormat="false" ht="30" hidden="false" customHeight="true" outlineLevel="0" collapsed="false">
      <c r="A5" s="17" t="s">
        <v>90</v>
      </c>
      <c r="B5" s="17" t="s">
        <v>89</v>
      </c>
      <c r="C5" s="17" t="s">
        <v>178</v>
      </c>
      <c r="D5" s="17" t="s">
        <v>228</v>
      </c>
      <c r="E5" s="17" t="s">
        <v>229</v>
      </c>
      <c r="F5" s="17" t="s">
        <v>227</v>
      </c>
      <c r="G5" s="17" t="s">
        <v>437</v>
      </c>
      <c r="H5" s="17" t="s">
        <v>438</v>
      </c>
      <c r="I5" s="17" t="s">
        <v>439</v>
      </c>
      <c r="J5" s="17" t="s">
        <v>440</v>
      </c>
      <c r="K5" s="17" t="s">
        <v>230</v>
      </c>
      <c r="L5" s="17" t="s">
        <v>441</v>
      </c>
      <c r="M5" s="17" t="s">
        <v>442</v>
      </c>
      <c r="N5" s="17" t="s">
        <v>443</v>
      </c>
      <c r="O5" s="17" t="s">
        <v>444</v>
      </c>
      <c r="P5" s="17" t="s">
        <v>445</v>
      </c>
      <c r="Q5" s="17" t="s">
        <v>446</v>
      </c>
      <c r="R5" s="17" t="s">
        <v>447</v>
      </c>
      <c r="S5" s="17" t="s">
        <v>448</v>
      </c>
      <c r="T5" s="17" t="s">
        <v>449</v>
      </c>
    </row>
    <row r="6" customFormat="false" ht="15" hidden="false" customHeight="false" outlineLevel="0" collapsed="false">
      <c r="A6" s="58" t="str">
        <f aca="false">INPUTS!C33</f>
        <v>P</v>
      </c>
      <c r="B6" s="59" t="str">
        <f aca="false">INPUTS!B33</f>
        <v>Plumbing</v>
      </c>
      <c r="C6" s="13" t="n">
        <f aca="false">SUMIFS('PLUMBING EST'!$M$7:$M$156,'PLUMBING EST'!$B$7:$B$156,$A6)+SUMIFS('HVAC EST'!$M$7:$M$156,'HVAC EST'!$B$7:$B$156,$A6)</f>
        <v>1476</v>
      </c>
      <c r="D6" s="28" t="n">
        <f aca="false">SUMIFS('PLUMBING EST'!$N$7:$N$156,'PLUMBING EST'!$B$7:$B$156,$A6)+SUMIFS('HVAC EST'!$N$7:$N$156,'HVAC EST'!$B$7:$B$156,$A6)</f>
        <v>95563.62</v>
      </c>
      <c r="E6" s="28" t="n">
        <f aca="false">SUMIFS('PLUMBING EST'!$O$7:$O$156,'PLUMBING EST'!$B$7:$B$156,$A6)+SUMIFS('HVAC EST'!$O$7:$O$156,'HVAC EST'!$B$7:$B$156,$A6)</f>
        <v>32472</v>
      </c>
      <c r="F6" s="28" t="n">
        <f aca="false">SUMIFS('PLUMBING EST'!$L$7:$L$156,'PLUMBING EST'!$B$7:$B$156,$A6)+SUMIFS('HVAC EST'!$L$7:$L$156,'HVAC EST'!$B$7:$B$156,$A6)</f>
        <v>105288</v>
      </c>
      <c r="G6" s="28" t="n">
        <f aca="false">F6*INPUTS!$C$25</f>
        <v>2105.76</v>
      </c>
      <c r="H6" s="60" t="n">
        <f aca="false">'SUBS &amp; GC'!M29</f>
        <v>0</v>
      </c>
      <c r="I6" s="60" t="n">
        <f aca="false">'SUBS &amp; GC'!M61</f>
        <v>180000</v>
      </c>
      <c r="J6" s="28" t="n">
        <f aca="false">SUM(D6:I6)*INPUTS!$C$26</f>
        <v>0</v>
      </c>
      <c r="K6" s="36" t="n">
        <f aca="false">SUM(D6:J6)</f>
        <v>415429.38</v>
      </c>
      <c r="L6" s="30" t="n">
        <f aca="false">INPUTS!D33</f>
        <v>0.15</v>
      </c>
      <c r="M6" s="28" t="n">
        <f aca="false">IFERROR(K6/(1-L6),0)</f>
        <v>488740.447058824</v>
      </c>
      <c r="N6" s="36" t="n">
        <f aca="false">IF(M6&lt;=0,0,CEILING(M6,INPUTS!$C$28))</f>
        <v>488800</v>
      </c>
      <c r="O6" s="28" t="n">
        <f aca="false">N6-K6</f>
        <v>73370.62</v>
      </c>
      <c r="P6" s="19" t="n">
        <f aca="false">IFERROR(O6/N6,0)</f>
        <v>0.150103559738134</v>
      </c>
      <c r="Q6" s="19" t="n">
        <f aca="false">IFERROR(O6/K6,0)</f>
        <v>0.176613940978368</v>
      </c>
      <c r="R6" s="28" t="n">
        <f aca="false">IFERROR(N6/INPUTS!$C$18,0)</f>
        <v>3973.9837398374</v>
      </c>
      <c r="S6" s="27" t="n">
        <f aca="false">IFERROR(N6/INPUTS!$C$17,0)</f>
        <v>0</v>
      </c>
      <c r="T6" s="41" t="n">
        <f aca="false">IFERROR(C6/INPUTS!$C$18,0)</f>
        <v>12</v>
      </c>
    </row>
    <row r="7" customFormat="false" ht="15" hidden="false" customHeight="false" outlineLevel="0" collapsed="false">
      <c r="A7" s="58" t="str">
        <f aca="false">INPUTS!C34</f>
        <v>H</v>
      </c>
      <c r="B7" s="59" t="str">
        <f aca="false">INPUTS!B34</f>
        <v>Hydronic</v>
      </c>
      <c r="C7" s="13" t="n">
        <f aca="false">SUMIFS('PLUMBING EST'!$M$7:$M$156,'PLUMBING EST'!$B$7:$B$156,$A7)+SUMIFS('HVAC EST'!$M$7:$M$156,'HVAC EST'!$B$7:$B$156,$A7)</f>
        <v>0</v>
      </c>
      <c r="D7" s="28" t="n">
        <f aca="false">SUMIFS('PLUMBING EST'!$N$7:$N$156,'PLUMBING EST'!$B$7:$B$156,$A7)+SUMIFS('HVAC EST'!$N$7:$N$156,'HVAC EST'!$B$7:$B$156,$A7)</f>
        <v>0</v>
      </c>
      <c r="E7" s="28" t="n">
        <f aca="false">SUMIFS('PLUMBING EST'!$O$7:$O$156,'PLUMBING EST'!$B$7:$B$156,$A7)+SUMIFS('HVAC EST'!$O$7:$O$156,'HVAC EST'!$B$7:$B$156,$A7)</f>
        <v>0</v>
      </c>
      <c r="F7" s="28" t="n">
        <f aca="false">SUMIFS('PLUMBING EST'!$L$7:$L$156,'PLUMBING EST'!$B$7:$B$156,$A7)+SUMIFS('HVAC EST'!$L$7:$L$156,'HVAC EST'!$B$7:$B$156,$A7)</f>
        <v>0</v>
      </c>
      <c r="G7" s="28" t="n">
        <f aca="false">F7*INPUTS!$C$25</f>
        <v>0</v>
      </c>
      <c r="H7" s="60" t="n">
        <f aca="false">'SUBS &amp; GC'!N29</f>
        <v>0</v>
      </c>
      <c r="I7" s="60" t="n">
        <f aca="false">'SUBS &amp; GC'!N61</f>
        <v>0</v>
      </c>
      <c r="J7" s="28" t="n">
        <f aca="false">SUM(D7:I7)*INPUTS!$C$26</f>
        <v>0</v>
      </c>
      <c r="K7" s="36" t="n">
        <f aca="false">SUM(D7:J7)</f>
        <v>0</v>
      </c>
      <c r="L7" s="30" t="n">
        <f aca="false">INPUTS!D34</f>
        <v>0.15</v>
      </c>
      <c r="M7" s="28" t="n">
        <f aca="false">IFERROR(K7/(1-L7),0)</f>
        <v>0</v>
      </c>
      <c r="N7" s="36" t="n">
        <f aca="false">IF(M7&lt;=0,0,CEILING(M7,INPUTS!$C$28))</f>
        <v>0</v>
      </c>
      <c r="O7" s="28" t="n">
        <f aca="false">N7-K7</f>
        <v>0</v>
      </c>
      <c r="P7" s="19" t="n">
        <f aca="false">IFERROR(O7/N7,0)</f>
        <v>0</v>
      </c>
      <c r="Q7" s="19" t="n">
        <f aca="false">IFERROR(O7/K7,0)</f>
        <v>0</v>
      </c>
      <c r="R7" s="28" t="n">
        <f aca="false">IFERROR(N7/INPUTS!$C$18,0)</f>
        <v>0</v>
      </c>
      <c r="S7" s="27" t="n">
        <f aca="false">IFERROR(N7/INPUTS!$C$17,0)</f>
        <v>0</v>
      </c>
      <c r="T7" s="41" t="n">
        <f aca="false">IFERROR(C7/INPUTS!$C$18,0)</f>
        <v>0</v>
      </c>
    </row>
    <row r="8" customFormat="false" ht="15" hidden="false" customHeight="false" outlineLevel="0" collapsed="false">
      <c r="A8" s="58" t="str">
        <f aca="false">INPUTS!C35</f>
        <v>V</v>
      </c>
      <c r="B8" s="59" t="str">
        <f aca="false">INPUTS!B35</f>
        <v>Ventilation</v>
      </c>
      <c r="C8" s="13" t="n">
        <f aca="false">SUMIFS('PLUMBING EST'!$M$7:$M$156,'PLUMBING EST'!$B$7:$B$156,$A8)+SUMIFS('HVAC EST'!$M$7:$M$156,'HVAC EST'!$B$7:$B$156,$A8)</f>
        <v>0</v>
      </c>
      <c r="D8" s="28" t="n">
        <f aca="false">SUMIFS('PLUMBING EST'!$N$7:$N$156,'PLUMBING EST'!$B$7:$B$156,$A8)+SUMIFS('HVAC EST'!$N$7:$N$156,'HVAC EST'!$B$7:$B$156,$A8)</f>
        <v>0</v>
      </c>
      <c r="E8" s="28" t="n">
        <f aca="false">SUMIFS('PLUMBING EST'!$O$7:$O$156,'PLUMBING EST'!$B$7:$B$156,$A8)+SUMIFS('HVAC EST'!$O$7:$O$156,'HVAC EST'!$B$7:$B$156,$A8)</f>
        <v>0</v>
      </c>
      <c r="F8" s="28" t="n">
        <f aca="false">SUMIFS('PLUMBING EST'!$L$7:$L$156,'PLUMBING EST'!$B$7:$B$156,$A8)+SUMIFS('HVAC EST'!$L$7:$L$156,'HVAC EST'!$B$7:$B$156,$A8)</f>
        <v>0</v>
      </c>
      <c r="G8" s="28" t="n">
        <f aca="false">F8*INPUTS!$C$25</f>
        <v>0</v>
      </c>
      <c r="H8" s="60" t="n">
        <f aca="false">'SUBS &amp; GC'!O29</f>
        <v>0</v>
      </c>
      <c r="I8" s="60" t="n">
        <f aca="false">'SUBS &amp; GC'!O61</f>
        <v>0</v>
      </c>
      <c r="J8" s="28" t="n">
        <f aca="false">SUM(D8:I8)*INPUTS!$C$26</f>
        <v>0</v>
      </c>
      <c r="K8" s="36" t="n">
        <f aca="false">SUM(D8:J8)</f>
        <v>0</v>
      </c>
      <c r="L8" s="30" t="n">
        <f aca="false">INPUTS!D35</f>
        <v>0.15</v>
      </c>
      <c r="M8" s="28" t="n">
        <f aca="false">IFERROR(K8/(1-L8),0)</f>
        <v>0</v>
      </c>
      <c r="N8" s="36" t="n">
        <f aca="false">IF(M8&lt;=0,0,CEILING(M8,INPUTS!$C$28))</f>
        <v>0</v>
      </c>
      <c r="O8" s="28" t="n">
        <f aca="false">N8-K8</f>
        <v>0</v>
      </c>
      <c r="P8" s="19" t="n">
        <f aca="false">IFERROR(O8/N8,0)</f>
        <v>0</v>
      </c>
      <c r="Q8" s="19" t="n">
        <f aca="false">IFERROR(O8/K8,0)</f>
        <v>0</v>
      </c>
      <c r="R8" s="28" t="n">
        <f aca="false">IFERROR(N8/INPUTS!$C$18,0)</f>
        <v>0</v>
      </c>
      <c r="S8" s="27" t="n">
        <f aca="false">IFERROR(N8/INPUTS!$C$17,0)</f>
        <v>0</v>
      </c>
      <c r="T8" s="41" t="n">
        <f aca="false">IFERROR(C8/INPUTS!$C$18,0)</f>
        <v>0</v>
      </c>
    </row>
    <row r="9" customFormat="false" ht="15" hidden="false" customHeight="false" outlineLevel="0" collapsed="false">
      <c r="A9" s="58" t="str">
        <f aca="false">INPUTS!C36</f>
        <v>AC</v>
      </c>
      <c r="B9" s="59" t="str">
        <f aca="false">INPUTS!B36</f>
        <v>Air Conditioning</v>
      </c>
      <c r="C9" s="13" t="n">
        <f aca="false">SUMIFS('PLUMBING EST'!$M$7:$M$156,'PLUMBING EST'!$B$7:$B$156,$A9)+SUMIFS('HVAC EST'!$M$7:$M$156,'HVAC EST'!$B$7:$B$156,$A9)</f>
        <v>0</v>
      </c>
      <c r="D9" s="28" t="n">
        <f aca="false">SUMIFS('PLUMBING EST'!$N$7:$N$156,'PLUMBING EST'!$B$7:$B$156,$A9)+SUMIFS('HVAC EST'!$N$7:$N$156,'HVAC EST'!$B$7:$B$156,$A9)</f>
        <v>0</v>
      </c>
      <c r="E9" s="28" t="n">
        <f aca="false">SUMIFS('PLUMBING EST'!$O$7:$O$156,'PLUMBING EST'!$B$7:$B$156,$A9)+SUMIFS('HVAC EST'!$O$7:$O$156,'HVAC EST'!$B$7:$B$156,$A9)</f>
        <v>0</v>
      </c>
      <c r="F9" s="28" t="n">
        <f aca="false">SUMIFS('PLUMBING EST'!$L$7:$L$156,'PLUMBING EST'!$B$7:$B$156,$A9)+SUMIFS('HVAC EST'!$L$7:$L$156,'HVAC EST'!$B$7:$B$156,$A9)</f>
        <v>0</v>
      </c>
      <c r="G9" s="28" t="n">
        <f aca="false">F9*INPUTS!$C$25</f>
        <v>0</v>
      </c>
      <c r="H9" s="60" t="n">
        <f aca="false">'SUBS &amp; GC'!P29</f>
        <v>0</v>
      </c>
      <c r="I9" s="60" t="n">
        <f aca="false">'SUBS &amp; GC'!P61</f>
        <v>0</v>
      </c>
      <c r="J9" s="28" t="n">
        <f aca="false">SUM(D9:I9)*INPUTS!$C$26</f>
        <v>0</v>
      </c>
      <c r="K9" s="36" t="n">
        <f aca="false">SUM(D9:J9)</f>
        <v>0</v>
      </c>
      <c r="L9" s="30" t="n">
        <f aca="false">INPUTS!D36</f>
        <v>0.15</v>
      </c>
      <c r="M9" s="28" t="n">
        <f aca="false">IFERROR(K9/(1-L9),0)</f>
        <v>0</v>
      </c>
      <c r="N9" s="36" t="n">
        <f aca="false">IF(M9&lt;=0,0,CEILING(M9,INPUTS!$C$28))</f>
        <v>0</v>
      </c>
      <c r="O9" s="28" t="n">
        <f aca="false">N9-K9</f>
        <v>0</v>
      </c>
      <c r="P9" s="19" t="n">
        <f aca="false">IFERROR(O9/N9,0)</f>
        <v>0</v>
      </c>
      <c r="Q9" s="19" t="n">
        <f aca="false">IFERROR(O9/K9,0)</f>
        <v>0</v>
      </c>
      <c r="R9" s="28" t="n">
        <f aca="false">IFERROR(N9/INPUTS!$C$18,0)</f>
        <v>0</v>
      </c>
      <c r="S9" s="27" t="n">
        <f aca="false">IFERROR(N9/INPUTS!$C$17,0)</f>
        <v>0</v>
      </c>
      <c r="T9" s="41" t="n">
        <f aca="false">IFERROR(C9/INPUTS!$C$18,0)</f>
        <v>0</v>
      </c>
    </row>
    <row r="10" customFormat="false" ht="15" hidden="false" customHeight="false" outlineLevel="0" collapsed="false">
      <c r="B10" s="4" t="s">
        <v>450</v>
      </c>
      <c r="C10" s="61" t="n">
        <f aca="false">SUM(C6:C9)</f>
        <v>1476</v>
      </c>
      <c r="D10" s="52" t="n">
        <f aca="false">SUM(D6:D9)</f>
        <v>95563.62</v>
      </c>
      <c r="E10" s="52" t="n">
        <f aca="false">SUM(E6:E9)</f>
        <v>32472</v>
      </c>
      <c r="F10" s="52" t="n">
        <f aca="false">SUM(F6:F9)</f>
        <v>105288</v>
      </c>
      <c r="G10" s="52" t="n">
        <f aca="false">SUM(G6:G9)</f>
        <v>2105.76</v>
      </c>
      <c r="H10" s="52" t="n">
        <f aca="false">SUM(H6:H9)</f>
        <v>0</v>
      </c>
      <c r="I10" s="52" t="n">
        <f aca="false">SUM(I6:I9)</f>
        <v>180000</v>
      </c>
      <c r="J10" s="52" t="n">
        <f aca="false">SUM(J6:J9)</f>
        <v>0</v>
      </c>
      <c r="K10" s="52" t="n">
        <f aca="false">SUM(K6:K9)</f>
        <v>415429.38</v>
      </c>
      <c r="M10" s="52" t="n">
        <f aca="false">SUM(M6:M9)</f>
        <v>488740.447058824</v>
      </c>
      <c r="N10" s="52" t="n">
        <f aca="false">SUM(N6:N9)</f>
        <v>488800</v>
      </c>
      <c r="O10" s="52" t="n">
        <f aca="false">SUM(O6:O9)</f>
        <v>73370.62</v>
      </c>
      <c r="P10" s="22" t="n">
        <f aca="false">IFERROR(O10/N10,0)</f>
        <v>0.150103559738134</v>
      </c>
      <c r="Q10" s="22" t="n">
        <f aca="false">IFERROR(O10/K10,0)</f>
        <v>0.176613940978368</v>
      </c>
      <c r="R10" s="32" t="n">
        <f aca="false">IFERROR(N10/INPUTS!$C$18,0)</f>
        <v>3973.9837398374</v>
      </c>
      <c r="S10" s="62" t="n">
        <f aca="false">IFERROR(N10/INPUTS!$C$17,0)</f>
        <v>0</v>
      </c>
      <c r="T10" s="63" t="n">
        <f aca="false">IFERROR(C10/INPUTS!$C$18,0)</f>
        <v>12</v>
      </c>
    </row>
    <row r="11" customFormat="false" ht="15" hidden="false" customHeight="false" outlineLevel="0" collapsed="false">
      <c r="M11" s="2" t="s">
        <v>451</v>
      </c>
      <c r="N11" s="64" t="n">
        <f aca="false">N10*INPUTS!$C$24</f>
        <v>24440</v>
      </c>
    </row>
    <row r="12" customFormat="false" ht="15" hidden="false" customHeight="false" outlineLevel="0" collapsed="false">
      <c r="M12" s="2" t="s">
        <v>452</v>
      </c>
      <c r="N12" s="65" t="n">
        <f aca="false">N10+N11</f>
        <v>513240</v>
      </c>
    </row>
    <row r="14" customFormat="false" ht="15" hidden="false" customHeight="false" outlineLevel="0" collapsed="false">
      <c r="B14" s="3" t="s">
        <v>453</v>
      </c>
    </row>
    <row r="15" customFormat="false" ht="30" hidden="false" customHeight="true" outlineLevel="0" collapsed="false">
      <c r="B15" s="17" t="s">
        <v>158</v>
      </c>
      <c r="C15" s="17"/>
      <c r="D15" s="17" t="s">
        <v>454</v>
      </c>
      <c r="E15" s="17" t="s">
        <v>455</v>
      </c>
      <c r="F15" s="17" t="s">
        <v>456</v>
      </c>
      <c r="G15" s="17" t="s">
        <v>457</v>
      </c>
      <c r="H15" s="17" t="s">
        <v>458</v>
      </c>
      <c r="I15" s="17" t="s">
        <v>459</v>
      </c>
    </row>
    <row r="16" customFormat="false" ht="15" hidden="false" customHeight="false" outlineLevel="0" collapsed="false">
      <c r="B16" s="24" t="s">
        <v>160</v>
      </c>
      <c r="C16" s="24"/>
      <c r="D16" s="28" t="n">
        <f aca="false">D10</f>
        <v>95563.62</v>
      </c>
      <c r="E16" s="19" t="n">
        <f aca="false">IFERROR(D16/$N$10,0)</f>
        <v>0.195506587561375</v>
      </c>
      <c r="F16" s="19" t="n">
        <f aca="false">IFERROR(D16/$K$10,0)</f>
        <v>0.230035776477822</v>
      </c>
      <c r="G16" s="66" t="n">
        <f aca="false">'KNOWIFY REVIEW'!G14</f>
        <v>0.293906621642355</v>
      </c>
      <c r="H16" s="30" t="str">
        <f aca="false">IF(INPUTS!C79="","",INPUTS!C79)</f>
        <v/>
      </c>
      <c r="I16" s="19" t="str">
        <f aca="false">IF(H16="","",F16-H16)</f>
        <v/>
      </c>
      <c r="K16" s="2" t="s">
        <v>460</v>
      </c>
    </row>
    <row r="17" customFormat="false" ht="15" hidden="false" customHeight="false" outlineLevel="0" collapsed="false">
      <c r="B17" s="24" t="s">
        <v>162</v>
      </c>
      <c r="C17" s="24"/>
      <c r="D17" s="28" t="n">
        <f aca="false">E10</f>
        <v>32472</v>
      </c>
      <c r="E17" s="19" t="n">
        <f aca="false">IFERROR(D17/$N$10,0)</f>
        <v>0.0664320785597381</v>
      </c>
      <c r="F17" s="19" t="n">
        <f aca="false">IFERROR(D17/$K$10,0)</f>
        <v>0.078164909761558</v>
      </c>
      <c r="G17" s="66" t="str">
        <f aca="false">"not tracked"</f>
        <v>not tracked</v>
      </c>
      <c r="H17" s="30" t="str">
        <f aca="false">IF(INPUTS!C80="","",INPUTS!C80)</f>
        <v/>
      </c>
      <c r="I17" s="19" t="str">
        <f aca="false">IF(H17="","",F17-H17)</f>
        <v/>
      </c>
      <c r="K17" s="2" t="s">
        <v>461</v>
      </c>
    </row>
    <row r="18" customFormat="false" ht="15" hidden="false" customHeight="false" outlineLevel="0" collapsed="false">
      <c r="B18" s="24" t="s">
        <v>462</v>
      </c>
      <c r="C18" s="24"/>
      <c r="D18" s="28" t="n">
        <f aca="false">F10+G10-(SUMIFS('PLUMBING EST'!$L$7:$L$156,'PLUMBING EST'!$C$7:$C$156,INPUTS!$B$72)+SUMIFS('HVAC EST'!$L$7:$L$156,'HVAC EST'!$C$7:$C$156,INPUTS!$B$72))</f>
        <v>107393.76</v>
      </c>
      <c r="E18" s="19" t="n">
        <f aca="false">IFERROR(D18/$N$10,0)</f>
        <v>0.219709001636661</v>
      </c>
      <c r="F18" s="19" t="n">
        <f aca="false">IFERROR(D18/$K$10,0)</f>
        <v>0.258512674284135</v>
      </c>
      <c r="G18" s="66" t="n">
        <f aca="false">'KNOWIFY REVIEW'!G10</f>
        <v>0.258752132103747</v>
      </c>
      <c r="H18" s="30" t="n">
        <f aca="false">IF(INPUTS!C81="","",INPUTS!C81)</f>
        <v>0.26</v>
      </c>
      <c r="I18" s="19" t="n">
        <f aca="false">IF(H18="","",F18-H18)</f>
        <v>-0.00148732571586535</v>
      </c>
      <c r="K18" s="2" t="s">
        <v>463</v>
      </c>
    </row>
    <row r="19" customFormat="false" ht="15" hidden="false" customHeight="false" outlineLevel="0" collapsed="false">
      <c r="B19" s="24" t="s">
        <v>165</v>
      </c>
      <c r="C19" s="24"/>
      <c r="D19" s="28" t="n">
        <f aca="false">SUMIFS('PLUMBING EST'!$L$7:$L$156,'PLUMBING EST'!$C$7:$C$156,INPUTS!$B$72)+SUMIFS('HVAC EST'!$L$7:$L$156,'HVAC EST'!$C$7:$C$156,INPUTS!$B$72)</f>
        <v>0</v>
      </c>
      <c r="E19" s="19" t="n">
        <f aca="false">IFERROR(D19/$N$10,0)</f>
        <v>0</v>
      </c>
      <c r="F19" s="19" t="n">
        <f aca="false">IFERROR(D19/$K$10,0)</f>
        <v>0</v>
      </c>
      <c r="G19" s="66" t="n">
        <f aca="false">'KNOWIFY REVIEW'!G12</f>
        <v>0.203804286415039</v>
      </c>
      <c r="H19" s="30" t="str">
        <f aca="false">IF(INPUTS!C82="","",INPUTS!C82)</f>
        <v/>
      </c>
      <c r="I19" s="19" t="str">
        <f aca="false">IF(H19="","",F19-H19)</f>
        <v/>
      </c>
    </row>
    <row r="20" customFormat="false" ht="15" hidden="false" customHeight="false" outlineLevel="0" collapsed="false">
      <c r="B20" s="24" t="s">
        <v>167</v>
      </c>
      <c r="C20" s="24"/>
      <c r="D20" s="28" t="n">
        <f aca="false">H10</f>
        <v>0</v>
      </c>
      <c r="E20" s="19" t="n">
        <f aca="false">IFERROR(D20/$N$10,0)</f>
        <v>0</v>
      </c>
      <c r="F20" s="19" t="n">
        <f aca="false">IFERROR(D20/$K$10,0)</f>
        <v>0</v>
      </c>
      <c r="G20" s="66" t="n">
        <f aca="false">'KNOWIFY REVIEW'!G16</f>
        <v>0.243297859060625</v>
      </c>
      <c r="H20" s="30" t="str">
        <f aca="false">IF(INPUTS!C83="","",INPUTS!C83)</f>
        <v/>
      </c>
      <c r="I20" s="19" t="str">
        <f aca="false">IF(H20="","",F20-H20)</f>
        <v/>
      </c>
    </row>
    <row r="21" customFormat="false" ht="15" hidden="false" customHeight="false" outlineLevel="0" collapsed="false">
      <c r="B21" s="24" t="s">
        <v>168</v>
      </c>
      <c r="C21" s="24"/>
      <c r="D21" s="28" t="n">
        <f aca="false">I10</f>
        <v>180000</v>
      </c>
      <c r="E21" s="19" t="n">
        <f aca="false">IFERROR(D21/$N$10,0)</f>
        <v>0.368248772504092</v>
      </c>
      <c r="F21" s="19" t="n">
        <f aca="false">IFERROR(D21/$K$10,0)</f>
        <v>0.433286639476486</v>
      </c>
      <c r="G21" s="66" t="n">
        <f aca="false">'KNOWIFY REVIEW'!G17</f>
        <v>0.00023910077823379</v>
      </c>
      <c r="H21" s="30" t="str">
        <f aca="false">IF(INPUTS!C84="","",INPUTS!C84)</f>
        <v/>
      </c>
      <c r="I21" s="19" t="str">
        <f aca="false">IF(H21="","",F21-H21)</f>
        <v/>
      </c>
    </row>
    <row r="22" customFormat="false" ht="15" hidden="false" customHeight="false" outlineLevel="0" collapsed="false">
      <c r="B22" s="24" t="s">
        <v>169</v>
      </c>
      <c r="C22" s="24"/>
      <c r="D22" s="28" t="n">
        <f aca="false">J10</f>
        <v>0</v>
      </c>
      <c r="E22" s="19" t="n">
        <f aca="false">IFERROR(D22/$N$10,0)</f>
        <v>0</v>
      </c>
      <c r="F22" s="19" t="n">
        <f aca="false">IFERROR(D22/$K$10,0)</f>
        <v>0</v>
      </c>
      <c r="G22" s="66" t="str">
        <f aca="false">""</f>
        <v/>
      </c>
      <c r="H22" s="30" t="str">
        <f aca="false">IF(INPUTS!C85="","",INPUTS!C85)</f>
        <v/>
      </c>
      <c r="I22" s="19" t="str">
        <f aca="false">IF(H22="","",F22-H22)</f>
        <v/>
      </c>
    </row>
    <row r="23" customFormat="false" ht="15" hidden="false" customHeight="false" outlineLevel="0" collapsed="false">
      <c r="B23" s="24" t="s">
        <v>464</v>
      </c>
      <c r="C23" s="24"/>
      <c r="D23" s="28" t="n">
        <f aca="false">O10</f>
        <v>73370.62</v>
      </c>
      <c r="E23" s="19" t="n">
        <f aca="false">IFERROR(D23/$N$10,0)</f>
        <v>0.150103559738134</v>
      </c>
    </row>
    <row r="24" customFormat="false" ht="15" hidden="false" customHeight="false" outlineLevel="0" collapsed="false">
      <c r="B24" s="4" t="s">
        <v>144</v>
      </c>
      <c r="D24" s="32" t="n">
        <f aca="false">SUM(D16:D23)</f>
        <v>488800</v>
      </c>
      <c r="E24" s="22" t="n">
        <f aca="false">SUM(E16:E23)</f>
        <v>1</v>
      </c>
      <c r="F24" s="22" t="n">
        <f aca="false">SUM(F16:F22)</f>
        <v>1</v>
      </c>
    </row>
    <row r="26" customFormat="false" ht="15" hidden="false" customHeight="false" outlineLevel="0" collapsed="false">
      <c r="B26" s="3" t="s">
        <v>465</v>
      </c>
    </row>
    <row r="27" customFormat="false" ht="15" hidden="false" customHeight="false" outlineLevel="0" collapsed="false">
      <c r="B27" s="24" t="s">
        <v>466</v>
      </c>
      <c r="C27" s="24"/>
      <c r="D27" s="24"/>
      <c r="E27" s="24"/>
      <c r="F27" s="24"/>
      <c r="G27" s="24"/>
      <c r="H27" s="24"/>
      <c r="I27" s="67" t="str">
        <f aca="false">'LABOUR RATES'!C14</f>
        <v>OK</v>
      </c>
    </row>
    <row r="28" customFormat="false" ht="15" hidden="false" customHeight="false" outlineLevel="0" collapsed="false">
      <c r="B28" s="24" t="s">
        <v>467</v>
      </c>
      <c r="C28" s="24"/>
      <c r="D28" s="24"/>
      <c r="E28" s="24"/>
      <c r="F28" s="24"/>
      <c r="G28" s="24"/>
      <c r="H28" s="24"/>
      <c r="I28" s="67" t="str">
        <f aca="false">'LABOUR RATES'!C29</f>
        <v>OK</v>
      </c>
    </row>
    <row r="29" customFormat="false" ht="15" hidden="false" customHeight="false" outlineLevel="0" collapsed="false">
      <c r="B29" s="24" t="s">
        <v>468</v>
      </c>
      <c r="C29" s="24"/>
      <c r="D29" s="24"/>
      <c r="E29" s="24"/>
      <c r="F29" s="24"/>
      <c r="G29" s="24"/>
      <c r="H29" s="24"/>
      <c r="I29" s="67" t="str">
        <f aca="false">IF(ABS(D6+D7-'LABOUR RATES'!G11)&lt;1,"OK","CHECK")</f>
        <v>OK</v>
      </c>
    </row>
    <row r="30" customFormat="false" ht="15" hidden="false" customHeight="false" outlineLevel="0" collapsed="false">
      <c r="B30" s="24" t="s">
        <v>469</v>
      </c>
      <c r="C30" s="24"/>
      <c r="D30" s="24"/>
      <c r="E30" s="24"/>
      <c r="F30" s="24"/>
      <c r="G30" s="24"/>
      <c r="H30" s="24"/>
      <c r="I30" s="67" t="str">
        <f aca="false">IF(ABS(D8+D9-'LABOUR RATES'!G26)&lt;1,"OK","CHECK")</f>
        <v>OK</v>
      </c>
    </row>
    <row r="31" customFormat="false" ht="15" hidden="false" customHeight="false" outlineLevel="0" collapsed="false">
      <c r="B31" s="24" t="s">
        <v>470</v>
      </c>
      <c r="C31" s="24"/>
      <c r="D31" s="24"/>
      <c r="E31" s="24"/>
      <c r="F31" s="24"/>
      <c r="G31" s="24"/>
      <c r="H31" s="24"/>
      <c r="I31" s="67" t="str">
        <f aca="false">IF(SUMPRODUCT(('PLUMBING EST'!$P$7:$P$156&lt;&gt;0)*(ISNA(MATCH('PLUMBING EST'!$B$7:$B$156,INPUTS!$C$33:$C$36,0))+ISNA(MATCH('PLUMBING EST'!$C$7:$C$156,INPUTS!$B$67:$B$75,0))))+SUMPRODUCT(('HVAC EST'!$P$7:$P$156&lt;&gt;0)*(ISNA(MATCH('HVAC EST'!$B$7:$B$156,INPUTS!$C$33:$C$36,0))+ISNA(MATCH('HVAC EST'!$C$7:$C$156,INPUTS!$B$67:$B$75,0))))=0,"OK","CHECK")</f>
        <v>OK</v>
      </c>
    </row>
    <row r="32" customFormat="false" ht="15" hidden="false" customHeight="false" outlineLevel="0" collapsed="false">
      <c r="B32" s="24" t="s">
        <v>471</v>
      </c>
      <c r="C32" s="24"/>
      <c r="D32" s="24"/>
      <c r="E32" s="24"/>
      <c r="F32" s="24"/>
      <c r="G32" s="24"/>
      <c r="H32" s="24"/>
      <c r="I32" s="67" t="str">
        <f aca="false">IF(ABS('SUBS &amp; GC'!H29-SUM('SUBS &amp; GC'!M29:P29))&lt;1,"OK","CHECK")</f>
        <v>OK</v>
      </c>
    </row>
    <row r="33" customFormat="false" ht="15" hidden="false" customHeight="false" outlineLevel="0" collapsed="false">
      <c r="B33" s="24" t="s">
        <v>472</v>
      </c>
      <c r="C33" s="24"/>
      <c r="D33" s="24"/>
      <c r="E33" s="24"/>
      <c r="F33" s="24"/>
      <c r="G33" s="24"/>
      <c r="H33" s="24"/>
      <c r="I33" s="67" t="str">
        <f aca="false">IF(ABS('SUBS &amp; GC'!H61-SUM('SUBS &amp; GC'!M61:P61))&lt;1,"OK","CHECK")</f>
        <v>OK</v>
      </c>
    </row>
    <row r="34" customFormat="false" ht="15" hidden="false" customHeight="false" outlineLevel="0" collapsed="false">
      <c r="B34" s="24" t="s">
        <v>473</v>
      </c>
      <c r="C34" s="24"/>
      <c r="D34" s="24"/>
      <c r="E34" s="24"/>
      <c r="F34" s="24"/>
      <c r="G34" s="24"/>
      <c r="H34" s="24"/>
      <c r="I34" s="67" t="str">
        <f aca="false">INPUTS!F64</f>
        <v>OK</v>
      </c>
    </row>
    <row r="35" customFormat="false" ht="15" hidden="false" customHeight="false" outlineLevel="0" collapsed="false">
      <c r="B35" s="24" t="s">
        <v>474</v>
      </c>
      <c r="C35" s="24"/>
      <c r="D35" s="24"/>
      <c r="E35" s="24"/>
      <c r="F35" s="24"/>
      <c r="G35" s="24"/>
      <c r="H35" s="24"/>
      <c r="I35" s="67" t="str">
        <f aca="false">IF(ABS(BUDGET!J11-K10)&lt;1,"OK","CHECK")</f>
        <v>OK</v>
      </c>
    </row>
    <row r="36" customFormat="false" ht="15" hidden="false" customHeight="false" outlineLevel="0" collapsed="false">
      <c r="B36" s="24" t="s">
        <v>475</v>
      </c>
      <c r="C36" s="24"/>
      <c r="D36" s="24"/>
      <c r="E36" s="24"/>
      <c r="F36" s="24"/>
      <c r="G36" s="24"/>
      <c r="H36" s="24"/>
      <c r="I36" s="67" t="str">
        <f aca="false">IF(ABS('SCHEDULE OF VALUES'!C5-N10)&lt;1,"OK","CHECK")</f>
        <v>OK</v>
      </c>
    </row>
    <row r="37" customFormat="false" ht="15" hidden="false" customHeight="false" outlineLevel="0" collapsed="false">
      <c r="B37" s="4" t="s">
        <v>476</v>
      </c>
      <c r="I37" s="67" t="str">
        <f aca="false">IF(COUNTIF(I27:I36,"OK")=10,"OK","CHECK")</f>
        <v>OK</v>
      </c>
    </row>
  </sheetData>
  <mergeCells count="19"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</mergeCells>
  <conditionalFormatting sqref="I27:I3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L2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L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477</v>
      </c>
    </row>
    <row r="2" customFormat="false" ht="15" hidden="false" customHeight="false" outlineLevel="0" collapsed="false">
      <c r="B2" s="9" t="str">
        <f aca="false">IF(INPUTS!C4="","",INPUTS!C4)&amp;"   Quote: "&amp;INPUTS!C5</f>
        <v>   Quote: </v>
      </c>
    </row>
    <row r="4" customFormat="false" ht="15" hidden="false" customHeight="false" outlineLevel="0" collapsed="false">
      <c r="B4" s="3" t="s">
        <v>478</v>
      </c>
    </row>
    <row r="5" customFormat="false" ht="30" hidden="false" customHeight="true" outlineLevel="0" collapsed="false">
      <c r="B5" s="17" t="s">
        <v>89</v>
      </c>
      <c r="C5" s="17" t="s">
        <v>178</v>
      </c>
      <c r="D5" s="17" t="s">
        <v>479</v>
      </c>
      <c r="E5" s="17" t="s">
        <v>229</v>
      </c>
      <c r="F5" s="17" t="s">
        <v>480</v>
      </c>
      <c r="G5" s="17" t="s">
        <v>438</v>
      </c>
      <c r="H5" s="17" t="s">
        <v>439</v>
      </c>
      <c r="I5" s="17" t="s">
        <v>440</v>
      </c>
      <c r="J5" s="17" t="s">
        <v>230</v>
      </c>
      <c r="K5" s="17" t="s">
        <v>481</v>
      </c>
      <c r="L5" s="17" t="s">
        <v>482</v>
      </c>
    </row>
    <row r="6" customFormat="false" ht="15" hidden="false" customHeight="false" outlineLevel="0" collapsed="false">
      <c r="B6" s="59" t="str">
        <f aca="false">'BID SUMMARY'!B6</f>
        <v>Plumbing</v>
      </c>
      <c r="C6" s="35" t="n">
        <f aca="false">'BID SUMMARY'!C6</f>
        <v>1476</v>
      </c>
      <c r="D6" s="60" t="n">
        <f aca="false">'BID SUMMARY'!D6</f>
        <v>95563.62</v>
      </c>
      <c r="E6" s="60" t="n">
        <f aca="false">'BID SUMMARY'!E6</f>
        <v>32472</v>
      </c>
      <c r="F6" s="60" t="n">
        <f aca="false">'BID SUMMARY'!F6+'BID SUMMARY'!G6</f>
        <v>107393.76</v>
      </c>
      <c r="G6" s="60" t="n">
        <f aca="false">'BID SUMMARY'!H6</f>
        <v>0</v>
      </c>
      <c r="H6" s="60" t="n">
        <f aca="false">'BID SUMMARY'!I6</f>
        <v>180000</v>
      </c>
      <c r="I6" s="60" t="n">
        <f aca="false">'BID SUMMARY'!J6</f>
        <v>0</v>
      </c>
      <c r="J6" s="68" t="n">
        <f aca="false">'BID SUMMARY'!K6</f>
        <v>415429.38</v>
      </c>
      <c r="K6" s="60" t="n">
        <f aca="false">'BID SUMMARY'!O6</f>
        <v>73370.62</v>
      </c>
      <c r="L6" s="68" t="n">
        <f aca="false">'BID SUMMARY'!N6</f>
        <v>488800</v>
      </c>
    </row>
    <row r="7" customFormat="false" ht="15" hidden="false" customHeight="false" outlineLevel="0" collapsed="false">
      <c r="B7" s="59" t="str">
        <f aca="false">'BID SUMMARY'!B7</f>
        <v>Hydronic</v>
      </c>
      <c r="C7" s="35" t="n">
        <f aca="false">'BID SUMMARY'!C7</f>
        <v>0</v>
      </c>
      <c r="D7" s="60" t="n">
        <f aca="false">'BID SUMMARY'!D7</f>
        <v>0</v>
      </c>
      <c r="E7" s="60" t="n">
        <f aca="false">'BID SUMMARY'!E7</f>
        <v>0</v>
      </c>
      <c r="F7" s="60" t="n">
        <f aca="false">'BID SUMMARY'!F7+'BID SUMMARY'!G7</f>
        <v>0</v>
      </c>
      <c r="G7" s="60" t="n">
        <f aca="false">'BID SUMMARY'!H7</f>
        <v>0</v>
      </c>
      <c r="H7" s="60" t="n">
        <f aca="false">'BID SUMMARY'!I7</f>
        <v>0</v>
      </c>
      <c r="I7" s="60" t="n">
        <f aca="false">'BID SUMMARY'!J7</f>
        <v>0</v>
      </c>
      <c r="J7" s="68" t="n">
        <f aca="false">'BID SUMMARY'!K7</f>
        <v>0</v>
      </c>
      <c r="K7" s="60" t="n">
        <f aca="false">'BID SUMMARY'!O7</f>
        <v>0</v>
      </c>
      <c r="L7" s="68" t="n">
        <f aca="false">'BID SUMMARY'!N7</f>
        <v>0</v>
      </c>
    </row>
    <row r="8" customFormat="false" ht="15" hidden="false" customHeight="false" outlineLevel="0" collapsed="false">
      <c r="B8" s="59" t="str">
        <f aca="false">'BID SUMMARY'!B8</f>
        <v>Ventilation</v>
      </c>
      <c r="C8" s="35" t="n">
        <f aca="false">'BID SUMMARY'!C8</f>
        <v>0</v>
      </c>
      <c r="D8" s="60" t="n">
        <f aca="false">'BID SUMMARY'!D8</f>
        <v>0</v>
      </c>
      <c r="E8" s="60" t="n">
        <f aca="false">'BID SUMMARY'!E8</f>
        <v>0</v>
      </c>
      <c r="F8" s="60" t="n">
        <f aca="false">'BID SUMMARY'!F8+'BID SUMMARY'!G8</f>
        <v>0</v>
      </c>
      <c r="G8" s="60" t="n">
        <f aca="false">'BID SUMMARY'!H8</f>
        <v>0</v>
      </c>
      <c r="H8" s="60" t="n">
        <f aca="false">'BID SUMMARY'!I8</f>
        <v>0</v>
      </c>
      <c r="I8" s="60" t="n">
        <f aca="false">'BID SUMMARY'!J8</f>
        <v>0</v>
      </c>
      <c r="J8" s="68" t="n">
        <f aca="false">'BID SUMMARY'!K8</f>
        <v>0</v>
      </c>
      <c r="K8" s="60" t="n">
        <f aca="false">'BID SUMMARY'!O8</f>
        <v>0</v>
      </c>
      <c r="L8" s="68" t="n">
        <f aca="false">'BID SUMMARY'!N8</f>
        <v>0</v>
      </c>
    </row>
    <row r="9" customFormat="false" ht="15" hidden="false" customHeight="false" outlineLevel="0" collapsed="false">
      <c r="B9" s="59" t="str">
        <f aca="false">'BID SUMMARY'!B9</f>
        <v>Air Conditioning</v>
      </c>
      <c r="C9" s="35" t="n">
        <f aca="false">'BID SUMMARY'!C9</f>
        <v>0</v>
      </c>
      <c r="D9" s="60" t="n">
        <f aca="false">'BID SUMMARY'!D9</f>
        <v>0</v>
      </c>
      <c r="E9" s="60" t="n">
        <f aca="false">'BID SUMMARY'!E9</f>
        <v>0</v>
      </c>
      <c r="F9" s="60" t="n">
        <f aca="false">'BID SUMMARY'!F9+'BID SUMMARY'!G9</f>
        <v>0</v>
      </c>
      <c r="G9" s="60" t="n">
        <f aca="false">'BID SUMMARY'!H9</f>
        <v>0</v>
      </c>
      <c r="H9" s="60" t="n">
        <f aca="false">'BID SUMMARY'!I9</f>
        <v>0</v>
      </c>
      <c r="I9" s="60" t="n">
        <f aca="false">'BID SUMMARY'!J9</f>
        <v>0</v>
      </c>
      <c r="J9" s="68" t="n">
        <f aca="false">'BID SUMMARY'!K9</f>
        <v>0</v>
      </c>
      <c r="K9" s="60" t="n">
        <f aca="false">'BID SUMMARY'!O9</f>
        <v>0</v>
      </c>
      <c r="L9" s="68" t="n">
        <f aca="false">'BID SUMMARY'!N9</f>
        <v>0</v>
      </c>
    </row>
    <row r="10" customFormat="false" ht="15" hidden="false" customHeight="false" outlineLevel="0" collapsed="false">
      <c r="B10" s="4" t="s">
        <v>144</v>
      </c>
      <c r="C10" s="21" t="n">
        <f aca="false">SUM(C6:C9)</f>
        <v>1476</v>
      </c>
      <c r="D10" s="32" t="n">
        <f aca="false">SUM(D6:D9)</f>
        <v>95563.62</v>
      </c>
      <c r="E10" s="32" t="n">
        <f aca="false">SUM(E6:E9)</f>
        <v>32472</v>
      </c>
      <c r="F10" s="32" t="n">
        <f aca="false">SUM(F6:F9)</f>
        <v>107393.76</v>
      </c>
      <c r="G10" s="32" t="n">
        <f aca="false">SUM(G6:G9)</f>
        <v>0</v>
      </c>
      <c r="H10" s="32" t="n">
        <f aca="false">SUM(H6:H9)</f>
        <v>180000</v>
      </c>
      <c r="I10" s="32" t="n">
        <f aca="false">SUM(I6:I9)</f>
        <v>0</v>
      </c>
      <c r="J10" s="32" t="n">
        <f aca="false">SUM(J6:J9)</f>
        <v>415429.38</v>
      </c>
      <c r="K10" s="32" t="n">
        <f aca="false">SUM(K6:K9)</f>
        <v>73370.62</v>
      </c>
      <c r="L10" s="32" t="n">
        <f aca="false">SUM(L6:L9)</f>
        <v>488800</v>
      </c>
    </row>
    <row r="11" customFormat="false" ht="15" hidden="false" customHeight="false" outlineLevel="0" collapsed="false">
      <c r="B11" s="2" t="s">
        <v>483</v>
      </c>
      <c r="J11" s="65" t="n">
        <f aca="false">J27+J46+J65+J84</f>
        <v>415429.38</v>
      </c>
      <c r="K11" s="23" t="str">
        <f aca="false">IF(ABS(J11-J10)&lt;1,"OK","CHECK")</f>
        <v>OK</v>
      </c>
    </row>
    <row r="12" customFormat="false" ht="15" hidden="false" customHeight="false" outlineLevel="0" collapsed="false">
      <c r="B12" s="2" t="s">
        <v>484</v>
      </c>
    </row>
    <row r="14" customFormat="false" ht="15" hidden="false" customHeight="false" outlineLevel="0" collapsed="false">
      <c r="B14" s="69" t="str">
        <f aca="false">UPPER(INPUTS!B33)&amp;" (P)"</f>
        <v>PLUMBING (P)</v>
      </c>
      <c r="C14" s="70"/>
      <c r="D14" s="70"/>
      <c r="E14" s="70"/>
      <c r="F14" s="70"/>
      <c r="G14" s="70"/>
      <c r="H14" s="70"/>
      <c r="I14" s="70"/>
      <c r="J14" s="70"/>
      <c r="K14" s="70"/>
    </row>
    <row r="15" customFormat="false" ht="30" hidden="false" customHeight="true" outlineLevel="0" collapsed="false">
      <c r="B15" s="17" t="s">
        <v>218</v>
      </c>
      <c r="C15" s="17" t="s">
        <v>178</v>
      </c>
      <c r="D15" s="17" t="s">
        <v>479</v>
      </c>
      <c r="E15" s="17" t="s">
        <v>229</v>
      </c>
      <c r="F15" s="17" t="s">
        <v>485</v>
      </c>
      <c r="G15" s="17" t="s">
        <v>438</v>
      </c>
      <c r="H15" s="17" t="s">
        <v>439</v>
      </c>
      <c r="I15" s="17"/>
      <c r="J15" s="17" t="s">
        <v>486</v>
      </c>
      <c r="K15" s="17" t="s">
        <v>487</v>
      </c>
    </row>
    <row r="16" customFormat="false" ht="15" hidden="false" customHeight="false" outlineLevel="0" collapsed="false">
      <c r="B16" s="59" t="str">
        <f aca="false">INPUTS!$B$67</f>
        <v>01 Shop Drawings, Permits &amp; Mobilization</v>
      </c>
      <c r="C16" s="13" t="n">
        <f aca="false">SUMIFS('PLUMBING EST'!$M$7:$M$156,'PLUMBING EST'!$B$7:$B$156,"P",'PLUMBING EST'!$C$7:$C$156,INPUTS!$B$67)+SUMIFS('HVAC EST'!$M$7:$M$156,'HVAC EST'!$B$7:$B$156,"P",'HVAC EST'!$C$7:$C$156,INPUTS!$B$67)</f>
        <v>0</v>
      </c>
      <c r="D16" s="28" t="n">
        <f aca="false">SUMIFS('PLUMBING EST'!$N$7:$N$156,'PLUMBING EST'!$B$7:$B$156,"P",'PLUMBING EST'!$C$7:$C$156,INPUTS!$B$67)+SUMIFS('HVAC EST'!$N$7:$N$156,'HVAC EST'!$B$7:$B$156,"P",'HVAC EST'!$C$7:$C$156,INPUTS!$B$67)</f>
        <v>0</v>
      </c>
      <c r="E16" s="28" t="n">
        <f aca="false">SUMIFS('PLUMBING EST'!$O$7:$O$156,'PLUMBING EST'!$B$7:$B$156,"P",'PLUMBING EST'!$C$7:$C$156,INPUTS!$B$67)+SUMIFS('HVAC EST'!$O$7:$O$156,'HVAC EST'!$B$7:$B$156,"P",'HVAC EST'!$C$7:$C$156,INPUTS!$B$67)</f>
        <v>0</v>
      </c>
      <c r="F16" s="28" t="n">
        <f aca="false">SUMIFS('PLUMBING EST'!$L$7:$L$156,'PLUMBING EST'!$B$7:$B$156,"P",'PLUMBING EST'!$C$7:$C$156,INPUTS!$B$67)+SUMIFS('HVAC EST'!$L$7:$L$156,'HVAC EST'!$B$7:$B$156,"P",'HVAC EST'!$C$7:$C$156,INPUTS!$B$67)</f>
        <v>0</v>
      </c>
      <c r="G16" s="28" t="n">
        <f aca="false">SUMIFS('SUBS &amp; GC'!$M$7:$M$28,'SUBS &amp; GC'!$D$7:$D$28,INPUTS!$B$67)</f>
        <v>0</v>
      </c>
      <c r="H16" s="28" t="n">
        <f aca="false">SUMIFS('SUBS &amp; GC'!$M$33:$M$60,'SUBS &amp; GC'!$D$33:$D$60,INPUTS!$B$67)</f>
        <v>0</v>
      </c>
      <c r="I16" s="24"/>
      <c r="J16" s="42" t="n">
        <f aca="false">SUM(D16:H16)</f>
        <v>0</v>
      </c>
      <c r="K16" s="19" t="n">
        <f aca="false">IFERROR(J16/$J$27,0)</f>
        <v>0</v>
      </c>
    </row>
    <row r="17" customFormat="false" ht="15" hidden="false" customHeight="false" outlineLevel="0" collapsed="false">
      <c r="B17" s="59" t="str">
        <f aca="false">INPUTS!$B$68</f>
        <v>02 Foundation &amp; Underground</v>
      </c>
      <c r="C17" s="13" t="n">
        <f aca="false">SUMIFS('PLUMBING EST'!$M$7:$M$156,'PLUMBING EST'!$B$7:$B$156,"P",'PLUMBING EST'!$C$7:$C$156,INPUTS!$B$68)+SUMIFS('HVAC EST'!$M$7:$M$156,'HVAC EST'!$B$7:$B$156,"P",'HVAC EST'!$C$7:$C$156,INPUTS!$B$68)</f>
        <v>0</v>
      </c>
      <c r="D17" s="28" t="n">
        <f aca="false">SUMIFS('PLUMBING EST'!$N$7:$N$156,'PLUMBING EST'!$B$7:$B$156,"P",'PLUMBING EST'!$C$7:$C$156,INPUTS!$B$68)+SUMIFS('HVAC EST'!$N$7:$N$156,'HVAC EST'!$B$7:$B$156,"P",'HVAC EST'!$C$7:$C$156,INPUTS!$B$68)</f>
        <v>0</v>
      </c>
      <c r="E17" s="28" t="n">
        <f aca="false">SUMIFS('PLUMBING EST'!$O$7:$O$156,'PLUMBING EST'!$B$7:$B$156,"P",'PLUMBING EST'!$C$7:$C$156,INPUTS!$B$68)+SUMIFS('HVAC EST'!$O$7:$O$156,'HVAC EST'!$B$7:$B$156,"P",'HVAC EST'!$C$7:$C$156,INPUTS!$B$68)</f>
        <v>0</v>
      </c>
      <c r="F17" s="28" t="n">
        <f aca="false">SUMIFS('PLUMBING EST'!$L$7:$L$156,'PLUMBING EST'!$B$7:$B$156,"P",'PLUMBING EST'!$C$7:$C$156,INPUTS!$B$68)+SUMIFS('HVAC EST'!$L$7:$L$156,'HVAC EST'!$B$7:$B$156,"P",'HVAC EST'!$C$7:$C$156,INPUTS!$B$68)</f>
        <v>0</v>
      </c>
      <c r="G17" s="28" t="n">
        <f aca="false">SUMIFS('SUBS &amp; GC'!$M$7:$M$28,'SUBS &amp; GC'!$D$7:$D$28,INPUTS!$B$68)</f>
        <v>0</v>
      </c>
      <c r="H17" s="28" t="n">
        <f aca="false">SUMIFS('SUBS &amp; GC'!$M$33:$M$60,'SUBS &amp; GC'!$D$33:$D$60,INPUTS!$B$68)</f>
        <v>0</v>
      </c>
      <c r="I17" s="24"/>
      <c r="J17" s="42" t="n">
        <f aca="false">SUM(D17:H17)</f>
        <v>0</v>
      </c>
      <c r="K17" s="19" t="n">
        <f aca="false">IFERROR(J17/$J$27,0)</f>
        <v>0</v>
      </c>
    </row>
    <row r="18" customFormat="false" ht="15" hidden="false" customHeight="false" outlineLevel="0" collapsed="false">
      <c r="B18" s="59" t="str">
        <f aca="false">INPUTS!$B$69</f>
        <v>03 Rough-in (Labour)</v>
      </c>
      <c r="C18" s="13" t="n">
        <f aca="false">SUMIFS('PLUMBING EST'!$M$7:$M$156,'PLUMBING EST'!$B$7:$B$156,"P",'PLUMBING EST'!$C$7:$C$156,INPUTS!$B$69)+SUMIFS('HVAC EST'!$M$7:$M$156,'HVAC EST'!$B$7:$B$156,"P",'HVAC EST'!$C$7:$C$156,INPUTS!$B$69)</f>
        <v>1476</v>
      </c>
      <c r="D18" s="28" t="n">
        <f aca="false">SUMIFS('PLUMBING EST'!$N$7:$N$156,'PLUMBING EST'!$B$7:$B$156,"P",'PLUMBING EST'!$C$7:$C$156,INPUTS!$B$69)+SUMIFS('HVAC EST'!$N$7:$N$156,'HVAC EST'!$B$7:$B$156,"P",'HVAC EST'!$C$7:$C$156,INPUTS!$B$69)</f>
        <v>95563.62</v>
      </c>
      <c r="E18" s="28" t="n">
        <f aca="false">SUMIFS('PLUMBING EST'!$O$7:$O$156,'PLUMBING EST'!$B$7:$B$156,"P",'PLUMBING EST'!$C$7:$C$156,INPUTS!$B$69)+SUMIFS('HVAC EST'!$O$7:$O$156,'HVAC EST'!$B$7:$B$156,"P",'HVAC EST'!$C$7:$C$156,INPUTS!$B$69)</f>
        <v>32472</v>
      </c>
      <c r="F18" s="28" t="n">
        <f aca="false">0</f>
        <v>0</v>
      </c>
      <c r="G18" s="28" t="n">
        <f aca="false">SUMIFS('SUBS &amp; GC'!$M$7:$M$28,'SUBS &amp; GC'!$D$7:$D$28,INPUTS!$B$69)</f>
        <v>0</v>
      </c>
      <c r="H18" s="28" t="n">
        <f aca="false">SUMIFS('SUBS &amp; GC'!$M$33:$M$60,'SUBS &amp; GC'!$D$33:$D$60,INPUTS!$B$69)</f>
        <v>0</v>
      </c>
      <c r="I18" s="24"/>
      <c r="J18" s="42" t="n">
        <f aca="false">SUM(D18:H18)</f>
        <v>128035.62</v>
      </c>
      <c r="K18" s="19" t="n">
        <f aca="false">IFERROR(J18/$J$27,0)</f>
        <v>0.30820068623938</v>
      </c>
    </row>
    <row r="19" customFormat="false" ht="15" hidden="false" customHeight="false" outlineLevel="0" collapsed="false">
      <c r="B19" s="59" t="str">
        <f aca="false">INPUTS!$B$70</f>
        <v>04 Finishing (Labour)</v>
      </c>
      <c r="C19" s="13" t="n">
        <f aca="false">SUMIFS('PLUMBING EST'!$M$7:$M$156,'PLUMBING EST'!$B$7:$B$156,"P",'PLUMBING EST'!$C$7:$C$156,INPUTS!$B$70)+SUMIFS('HVAC EST'!$M$7:$M$156,'HVAC EST'!$B$7:$B$156,"P",'HVAC EST'!$C$7:$C$156,INPUTS!$B$70)</f>
        <v>0</v>
      </c>
      <c r="D19" s="28" t="n">
        <f aca="false">SUMIFS('PLUMBING EST'!$N$7:$N$156,'PLUMBING EST'!$B$7:$B$156,"P",'PLUMBING EST'!$C$7:$C$156,INPUTS!$B$70)+SUMIFS('HVAC EST'!$N$7:$N$156,'HVAC EST'!$B$7:$B$156,"P",'HVAC EST'!$C$7:$C$156,INPUTS!$B$70)</f>
        <v>0</v>
      </c>
      <c r="E19" s="28" t="n">
        <f aca="false">SUMIFS('PLUMBING EST'!$O$7:$O$156,'PLUMBING EST'!$B$7:$B$156,"P",'PLUMBING EST'!$C$7:$C$156,INPUTS!$B$70)+SUMIFS('HVAC EST'!$O$7:$O$156,'HVAC EST'!$B$7:$B$156,"P",'HVAC EST'!$C$7:$C$156,INPUTS!$B$70)</f>
        <v>0</v>
      </c>
      <c r="F19" s="28" t="n">
        <f aca="false">0</f>
        <v>0</v>
      </c>
      <c r="G19" s="28" t="n">
        <f aca="false">SUMIFS('SUBS &amp; GC'!$M$7:$M$28,'SUBS &amp; GC'!$D$7:$D$28,INPUTS!$B$70)</f>
        <v>0</v>
      </c>
      <c r="H19" s="28" t="n">
        <f aca="false">SUMIFS('SUBS &amp; GC'!$M$33:$M$60,'SUBS &amp; GC'!$D$33:$D$60,INPUTS!$B$70)</f>
        <v>0</v>
      </c>
      <c r="I19" s="24"/>
      <c r="J19" s="42" t="n">
        <f aca="false">SUM(D19:H19)</f>
        <v>0</v>
      </c>
      <c r="K19" s="19" t="n">
        <f aca="false">IFERROR(J19/$J$27,0)</f>
        <v>0</v>
      </c>
    </row>
    <row r="20" customFormat="false" ht="15" hidden="false" customHeight="false" outlineLevel="0" collapsed="false">
      <c r="B20" s="59" t="str">
        <f aca="false">INPUTS!$B$71</f>
        <v>05 Material Supply</v>
      </c>
      <c r="C20" s="13" t="n">
        <f aca="false">SUMIFS('PLUMBING EST'!$M$7:$M$156,'PLUMBING EST'!$B$7:$B$156,"P",'PLUMBING EST'!$C$7:$C$156,INPUTS!$B$71)+SUMIFS('HVAC EST'!$M$7:$M$156,'HVAC EST'!$B$7:$B$156,"P",'HVAC EST'!$C$7:$C$156,INPUTS!$B$71)</f>
        <v>0</v>
      </c>
      <c r="D20" s="28" t="n">
        <f aca="false">SUMIFS('PLUMBING EST'!$N$7:$N$156,'PLUMBING EST'!$B$7:$B$156,"P",'PLUMBING EST'!$C$7:$C$156,INPUTS!$B$71)+SUMIFS('HVAC EST'!$N$7:$N$156,'HVAC EST'!$B$7:$B$156,"P",'HVAC EST'!$C$7:$C$156,INPUTS!$B$71)</f>
        <v>0</v>
      </c>
      <c r="E20" s="28" t="n">
        <f aca="false">SUMIFS('PLUMBING EST'!$O$7:$O$156,'PLUMBING EST'!$B$7:$B$156,"P",'PLUMBING EST'!$C$7:$C$156,INPUTS!$B$71)+SUMIFS('HVAC EST'!$O$7:$O$156,'HVAC EST'!$B$7:$B$156,"P",'HVAC EST'!$C$7:$C$156,INPUTS!$B$71)</f>
        <v>0</v>
      </c>
      <c r="F20" s="28" t="n">
        <f aca="false">SUMIFS('PLUMBING EST'!$L$7:$L$156,'PLUMBING EST'!$B$7:$B$156,"P",'PLUMBING EST'!$C$7:$C$156,INPUTS!$B$71)+SUMIFS('HVAC EST'!$L$7:$L$156,'HVAC EST'!$B$7:$B$156,"P",'HVAC EST'!$C$7:$C$156,INPUTS!$B$71)+SUMIFS('PLUMBING EST'!$L$7:$L$156,'PLUMBING EST'!$B$7:$B$156,"P",'PLUMBING EST'!$C$7:$C$156,INPUTS!$B$69)+SUMIFS('HVAC EST'!$L$7:$L$156,'HVAC EST'!$B$7:$B$156,"P",'HVAC EST'!$C$7:$C$156,INPUTS!$B$69)+SUMIFS('PLUMBING EST'!$L$7:$L$156,'PLUMBING EST'!$B$7:$B$156,"P",'PLUMBING EST'!$C$7:$C$156,INPUTS!$B$70)+SUMIFS('HVAC EST'!$L$7:$L$156,'HVAC EST'!$B$7:$B$156,"P",'HVAC EST'!$C$7:$C$156,INPUTS!$B$70)</f>
        <v>105288</v>
      </c>
      <c r="G20" s="28" t="n">
        <f aca="false">SUMIFS('SUBS &amp; GC'!$M$7:$M$28,'SUBS &amp; GC'!$D$7:$D$28,INPUTS!$B$71)</f>
        <v>0</v>
      </c>
      <c r="H20" s="28" t="n">
        <f aca="false">SUMIFS('SUBS &amp; GC'!$M$33:$M$60,'SUBS &amp; GC'!$D$33:$D$60,INPUTS!$B$71)</f>
        <v>0</v>
      </c>
      <c r="I20" s="24"/>
      <c r="J20" s="42" t="n">
        <f aca="false">SUM(D20:H20)</f>
        <v>105288</v>
      </c>
      <c r="K20" s="19" t="n">
        <f aca="false">IFERROR(J20/$J$27,0)</f>
        <v>0.253443798317779</v>
      </c>
    </row>
    <row r="21" customFormat="false" ht="15" hidden="false" customHeight="false" outlineLevel="0" collapsed="false">
      <c r="B21" s="59" t="str">
        <f aca="false">INPUTS!$B$72</f>
        <v>06 Fixtures &amp; Equipment Supply</v>
      </c>
      <c r="C21" s="13" t="n">
        <f aca="false">SUMIFS('PLUMBING EST'!$M$7:$M$156,'PLUMBING EST'!$B$7:$B$156,"P",'PLUMBING EST'!$C$7:$C$156,INPUTS!$B$72)+SUMIFS('HVAC EST'!$M$7:$M$156,'HVAC EST'!$B$7:$B$156,"P",'HVAC EST'!$C$7:$C$156,INPUTS!$B$72)</f>
        <v>0</v>
      </c>
      <c r="D21" s="28" t="n">
        <f aca="false">SUMIFS('PLUMBING EST'!$N$7:$N$156,'PLUMBING EST'!$B$7:$B$156,"P",'PLUMBING EST'!$C$7:$C$156,INPUTS!$B$72)+SUMIFS('HVAC EST'!$N$7:$N$156,'HVAC EST'!$B$7:$B$156,"P",'HVAC EST'!$C$7:$C$156,INPUTS!$B$72)</f>
        <v>0</v>
      </c>
      <c r="E21" s="28" t="n">
        <f aca="false">SUMIFS('PLUMBING EST'!$O$7:$O$156,'PLUMBING EST'!$B$7:$B$156,"P",'PLUMBING EST'!$C$7:$C$156,INPUTS!$B$72)+SUMIFS('HVAC EST'!$O$7:$O$156,'HVAC EST'!$B$7:$B$156,"P",'HVAC EST'!$C$7:$C$156,INPUTS!$B$72)</f>
        <v>0</v>
      </c>
      <c r="F21" s="28" t="n">
        <f aca="false">SUMIFS('PLUMBING EST'!$L$7:$L$156,'PLUMBING EST'!$B$7:$B$156,"P",'PLUMBING EST'!$C$7:$C$156,INPUTS!$B$72)+SUMIFS('HVAC EST'!$L$7:$L$156,'HVAC EST'!$B$7:$B$156,"P",'HVAC EST'!$C$7:$C$156,INPUTS!$B$72)</f>
        <v>0</v>
      </c>
      <c r="G21" s="28" t="n">
        <f aca="false">SUMIFS('SUBS &amp; GC'!$M$7:$M$28,'SUBS &amp; GC'!$D$7:$D$28,INPUTS!$B$72)</f>
        <v>0</v>
      </c>
      <c r="H21" s="28" t="n">
        <f aca="false">SUMIFS('SUBS &amp; GC'!$M$33:$M$60,'SUBS &amp; GC'!$D$33:$D$60,INPUTS!$B$72)</f>
        <v>0</v>
      </c>
      <c r="I21" s="24"/>
      <c r="J21" s="42" t="n">
        <f aca="false">SUM(D21:H21)</f>
        <v>0</v>
      </c>
      <c r="K21" s="19" t="n">
        <f aca="false">IFERROR(J21/$J$27,0)</f>
        <v>0</v>
      </c>
    </row>
    <row r="22" customFormat="false" ht="15" hidden="false" customHeight="false" outlineLevel="0" collapsed="false">
      <c r="B22" s="59" t="str">
        <f aca="false">INPUTS!$B$73</f>
        <v>07 Testing, TAB &amp; Commissioning</v>
      </c>
      <c r="C22" s="13" t="n">
        <f aca="false">SUMIFS('PLUMBING EST'!$M$7:$M$156,'PLUMBING EST'!$B$7:$B$156,"P",'PLUMBING EST'!$C$7:$C$156,INPUTS!$B$73)+SUMIFS('HVAC EST'!$M$7:$M$156,'HVAC EST'!$B$7:$B$156,"P",'HVAC EST'!$C$7:$C$156,INPUTS!$B$73)</f>
        <v>0</v>
      </c>
      <c r="D22" s="28" t="n">
        <f aca="false">SUMIFS('PLUMBING EST'!$N$7:$N$156,'PLUMBING EST'!$B$7:$B$156,"P",'PLUMBING EST'!$C$7:$C$156,INPUTS!$B$73)+SUMIFS('HVAC EST'!$N$7:$N$156,'HVAC EST'!$B$7:$B$156,"P",'HVAC EST'!$C$7:$C$156,INPUTS!$B$73)</f>
        <v>0</v>
      </c>
      <c r="E22" s="28" t="n">
        <f aca="false">SUMIFS('PLUMBING EST'!$O$7:$O$156,'PLUMBING EST'!$B$7:$B$156,"P",'PLUMBING EST'!$C$7:$C$156,INPUTS!$B$73)+SUMIFS('HVAC EST'!$O$7:$O$156,'HVAC EST'!$B$7:$B$156,"P",'HVAC EST'!$C$7:$C$156,INPUTS!$B$73)</f>
        <v>0</v>
      </c>
      <c r="F22" s="28" t="n">
        <f aca="false">SUMIFS('PLUMBING EST'!$L$7:$L$156,'PLUMBING EST'!$B$7:$B$156,"P",'PLUMBING EST'!$C$7:$C$156,INPUTS!$B$73)+SUMIFS('HVAC EST'!$L$7:$L$156,'HVAC EST'!$B$7:$B$156,"P",'HVAC EST'!$C$7:$C$156,INPUTS!$B$73)</f>
        <v>0</v>
      </c>
      <c r="G22" s="28" t="n">
        <f aca="false">SUMIFS('SUBS &amp; GC'!$M$7:$M$28,'SUBS &amp; GC'!$D$7:$D$28,INPUTS!$B$73)</f>
        <v>0</v>
      </c>
      <c r="H22" s="28" t="n">
        <f aca="false">SUMIFS('SUBS &amp; GC'!$M$33:$M$60,'SUBS &amp; GC'!$D$33:$D$60,INPUTS!$B$73)</f>
        <v>0</v>
      </c>
      <c r="I22" s="24"/>
      <c r="J22" s="42" t="n">
        <f aca="false">SUM(D22:H22)</f>
        <v>0</v>
      </c>
      <c r="K22" s="19" t="n">
        <f aca="false">IFERROR(J22/$J$27,0)</f>
        <v>0</v>
      </c>
    </row>
    <row r="23" customFormat="false" ht="15" hidden="false" customHeight="false" outlineLevel="0" collapsed="false">
      <c r="B23" s="59" t="str">
        <f aca="false">INPUTS!$B$74</f>
        <v>08 Completion &amp; Final Documents</v>
      </c>
      <c r="C23" s="13" t="n">
        <f aca="false">SUMIFS('PLUMBING EST'!$M$7:$M$156,'PLUMBING EST'!$B$7:$B$156,"P",'PLUMBING EST'!$C$7:$C$156,INPUTS!$B$74)+SUMIFS('HVAC EST'!$M$7:$M$156,'HVAC EST'!$B$7:$B$156,"P",'HVAC EST'!$C$7:$C$156,INPUTS!$B$74)</f>
        <v>0</v>
      </c>
      <c r="D23" s="28" t="n">
        <f aca="false">SUMIFS('PLUMBING EST'!$N$7:$N$156,'PLUMBING EST'!$B$7:$B$156,"P",'PLUMBING EST'!$C$7:$C$156,INPUTS!$B$74)+SUMIFS('HVAC EST'!$N$7:$N$156,'HVAC EST'!$B$7:$B$156,"P",'HVAC EST'!$C$7:$C$156,INPUTS!$B$74)</f>
        <v>0</v>
      </c>
      <c r="E23" s="28" t="n">
        <f aca="false">SUMIFS('PLUMBING EST'!$O$7:$O$156,'PLUMBING EST'!$B$7:$B$156,"P",'PLUMBING EST'!$C$7:$C$156,INPUTS!$B$74)+SUMIFS('HVAC EST'!$O$7:$O$156,'HVAC EST'!$B$7:$B$156,"P",'HVAC EST'!$C$7:$C$156,INPUTS!$B$74)</f>
        <v>0</v>
      </c>
      <c r="F23" s="28" t="n">
        <f aca="false">SUMIFS('PLUMBING EST'!$L$7:$L$156,'PLUMBING EST'!$B$7:$B$156,"P",'PLUMBING EST'!$C$7:$C$156,INPUTS!$B$74)+SUMIFS('HVAC EST'!$L$7:$L$156,'HVAC EST'!$B$7:$B$156,"P",'HVAC EST'!$C$7:$C$156,INPUTS!$B$74)</f>
        <v>0</v>
      </c>
      <c r="G23" s="28" t="n">
        <f aca="false">SUMIFS('SUBS &amp; GC'!$M$7:$M$28,'SUBS &amp; GC'!$D$7:$D$28,INPUTS!$B$74)</f>
        <v>0</v>
      </c>
      <c r="H23" s="28" t="n">
        <f aca="false">SUMIFS('SUBS &amp; GC'!$M$33:$M$60,'SUBS &amp; GC'!$D$33:$D$60,INPUTS!$B$74)</f>
        <v>0</v>
      </c>
      <c r="I23" s="24"/>
      <c r="J23" s="42" t="n">
        <f aca="false">SUM(D23:H23)</f>
        <v>0</v>
      </c>
      <c r="K23" s="19" t="n">
        <f aca="false">IFERROR(J23/$J$27,0)</f>
        <v>0</v>
      </c>
    </row>
    <row r="24" customFormat="false" ht="15" hidden="false" customHeight="false" outlineLevel="0" collapsed="false">
      <c r="B24" s="59" t="str">
        <f aca="false">INPUTS!$B$75</f>
        <v>09 Office, Supervision &amp; General</v>
      </c>
      <c r="C24" s="13" t="n">
        <f aca="false">SUMIFS('PLUMBING EST'!$M$7:$M$156,'PLUMBING EST'!$B$7:$B$156,"P",'PLUMBING EST'!$C$7:$C$156,INPUTS!$B$75)+SUMIFS('HVAC EST'!$M$7:$M$156,'HVAC EST'!$B$7:$B$156,"P",'HVAC EST'!$C$7:$C$156,INPUTS!$B$75)</f>
        <v>0</v>
      </c>
      <c r="D24" s="28" t="n">
        <f aca="false">SUMIFS('PLUMBING EST'!$N$7:$N$156,'PLUMBING EST'!$B$7:$B$156,"P",'PLUMBING EST'!$C$7:$C$156,INPUTS!$B$75)+SUMIFS('HVAC EST'!$N$7:$N$156,'HVAC EST'!$B$7:$B$156,"P",'HVAC EST'!$C$7:$C$156,INPUTS!$B$75)</f>
        <v>0</v>
      </c>
      <c r="E24" s="28" t="n">
        <f aca="false">SUMIFS('PLUMBING EST'!$O$7:$O$156,'PLUMBING EST'!$B$7:$B$156,"P",'PLUMBING EST'!$C$7:$C$156,INPUTS!$B$75)+SUMIFS('HVAC EST'!$O$7:$O$156,'HVAC EST'!$B$7:$B$156,"P",'HVAC EST'!$C$7:$C$156,INPUTS!$B$75)</f>
        <v>0</v>
      </c>
      <c r="F24" s="28" t="n">
        <f aca="false">SUMIFS('PLUMBING EST'!$L$7:$L$156,'PLUMBING EST'!$B$7:$B$156,"P",'PLUMBING EST'!$C$7:$C$156,INPUTS!$B$75)+SUMIFS('HVAC EST'!$L$7:$L$156,'HVAC EST'!$B$7:$B$156,"P",'HVAC EST'!$C$7:$C$156,INPUTS!$B$75)</f>
        <v>0</v>
      </c>
      <c r="G24" s="28" t="n">
        <f aca="false">SUMIFS('SUBS &amp; GC'!$M$7:$M$28,'SUBS &amp; GC'!$D$7:$D$28,INPUTS!$B$75)</f>
        <v>0</v>
      </c>
      <c r="H24" s="28" t="n">
        <f aca="false">SUMIFS('SUBS &amp; GC'!$M$33:$M$60,'SUBS &amp; GC'!$D$33:$D$60,INPUTS!$B$75)</f>
        <v>180000</v>
      </c>
      <c r="I24" s="24"/>
      <c r="J24" s="42" t="n">
        <f aca="false">SUM(D24:H24)</f>
        <v>180000</v>
      </c>
      <c r="K24" s="19" t="n">
        <f aca="false">IFERROR(J24/$J$27,0)</f>
        <v>0.433286639476486</v>
      </c>
    </row>
    <row r="25" customFormat="false" ht="15" hidden="false" customHeight="false" outlineLevel="0" collapsed="false">
      <c r="B25" s="24" t="s">
        <v>488</v>
      </c>
      <c r="F25" s="60" t="n">
        <f aca="false">'BID SUMMARY'!G6</f>
        <v>2105.76</v>
      </c>
      <c r="J25" s="42" t="n">
        <f aca="false">F25</f>
        <v>2105.76</v>
      </c>
      <c r="K25" s="19" t="n">
        <f aca="false">IFERROR(J25/$J$27,0)</f>
        <v>0.00506887596635558</v>
      </c>
    </row>
    <row r="26" customFormat="false" ht="15" hidden="false" customHeight="false" outlineLevel="0" collapsed="false">
      <c r="B26" s="24" t="s">
        <v>169</v>
      </c>
      <c r="J26" s="71" t="n">
        <f aca="false">'BID SUMMARY'!J6</f>
        <v>0</v>
      </c>
      <c r="K26" s="19" t="n">
        <f aca="false">IFERROR(J26/$J$27,0)</f>
        <v>0</v>
      </c>
    </row>
    <row r="27" customFormat="false" ht="15" hidden="false" customHeight="false" outlineLevel="0" collapsed="false">
      <c r="B27" s="4" t="s">
        <v>489</v>
      </c>
      <c r="C27" s="21" t="n">
        <f aca="false">SUM(C16:C26)</f>
        <v>1476</v>
      </c>
      <c r="D27" s="32" t="n">
        <f aca="false">SUM(D16:D26)</f>
        <v>95563.62</v>
      </c>
      <c r="E27" s="32" t="n">
        <f aca="false">SUM(E16:E26)</f>
        <v>32472</v>
      </c>
      <c r="F27" s="32" t="n">
        <f aca="false">SUM(F16:F26)</f>
        <v>107393.76</v>
      </c>
      <c r="G27" s="32" t="n">
        <f aca="false">SUM(G16:G26)</f>
        <v>0</v>
      </c>
      <c r="H27" s="32" t="n">
        <f aca="false">SUM(H16:H26)</f>
        <v>180000</v>
      </c>
      <c r="J27" s="52" t="n">
        <f aca="false">SUM(J16:J26)</f>
        <v>415429.38</v>
      </c>
    </row>
    <row r="28" customFormat="false" ht="15" hidden="false" customHeight="false" outlineLevel="0" collapsed="false">
      <c r="B28" s="7" t="s">
        <v>490</v>
      </c>
      <c r="J28" s="47" t="n">
        <f aca="false">'BID SUMMARY'!O6</f>
        <v>73370.62</v>
      </c>
    </row>
    <row r="29" customFormat="false" ht="15" hidden="false" customHeight="false" outlineLevel="0" collapsed="false">
      <c r="B29" s="4" t="s">
        <v>491</v>
      </c>
      <c r="J29" s="52" t="n">
        <f aca="false">J27+J28</f>
        <v>488800</v>
      </c>
    </row>
    <row r="33" customFormat="false" ht="15" hidden="false" customHeight="false" outlineLevel="0" collapsed="false">
      <c r="B33" s="69" t="str">
        <f aca="false">UPPER(INPUTS!B34)&amp;" (H)"</f>
        <v>HYDRONIC (H)</v>
      </c>
      <c r="C33" s="70"/>
      <c r="D33" s="70"/>
      <c r="E33" s="70"/>
      <c r="F33" s="70"/>
      <c r="G33" s="70"/>
      <c r="H33" s="70"/>
      <c r="I33" s="70"/>
      <c r="J33" s="70"/>
      <c r="K33" s="70"/>
    </row>
    <row r="34" customFormat="false" ht="30" hidden="false" customHeight="true" outlineLevel="0" collapsed="false">
      <c r="B34" s="17" t="s">
        <v>218</v>
      </c>
      <c r="C34" s="17" t="s">
        <v>178</v>
      </c>
      <c r="D34" s="17" t="s">
        <v>479</v>
      </c>
      <c r="E34" s="17" t="s">
        <v>229</v>
      </c>
      <c r="F34" s="17" t="s">
        <v>485</v>
      </c>
      <c r="G34" s="17" t="s">
        <v>438</v>
      </c>
      <c r="H34" s="17" t="s">
        <v>439</v>
      </c>
      <c r="I34" s="17"/>
      <c r="J34" s="17" t="s">
        <v>486</v>
      </c>
      <c r="K34" s="17" t="s">
        <v>487</v>
      </c>
    </row>
    <row r="35" customFormat="false" ht="15" hidden="false" customHeight="false" outlineLevel="0" collapsed="false">
      <c r="B35" s="59" t="str">
        <f aca="false">INPUTS!$B$67</f>
        <v>01 Shop Drawings, Permits &amp; Mobilization</v>
      </c>
      <c r="C35" s="13" t="n">
        <f aca="false">SUMIFS('PLUMBING EST'!$M$7:$M$156,'PLUMBING EST'!$B$7:$B$156,"H",'PLUMBING EST'!$C$7:$C$156,INPUTS!$B$67)+SUMIFS('HVAC EST'!$M$7:$M$156,'HVAC EST'!$B$7:$B$156,"H",'HVAC EST'!$C$7:$C$156,INPUTS!$B$67)</f>
        <v>0</v>
      </c>
      <c r="D35" s="28" t="n">
        <f aca="false">SUMIFS('PLUMBING EST'!$N$7:$N$156,'PLUMBING EST'!$B$7:$B$156,"H",'PLUMBING EST'!$C$7:$C$156,INPUTS!$B$67)+SUMIFS('HVAC EST'!$N$7:$N$156,'HVAC EST'!$B$7:$B$156,"H",'HVAC EST'!$C$7:$C$156,INPUTS!$B$67)</f>
        <v>0</v>
      </c>
      <c r="E35" s="28" t="n">
        <f aca="false">SUMIFS('PLUMBING EST'!$O$7:$O$156,'PLUMBING EST'!$B$7:$B$156,"H",'PLUMBING EST'!$C$7:$C$156,INPUTS!$B$67)+SUMIFS('HVAC EST'!$O$7:$O$156,'HVAC EST'!$B$7:$B$156,"H",'HVAC EST'!$C$7:$C$156,INPUTS!$B$67)</f>
        <v>0</v>
      </c>
      <c r="F35" s="28" t="n">
        <f aca="false">SUMIFS('PLUMBING EST'!$L$7:$L$156,'PLUMBING EST'!$B$7:$B$156,"H",'PLUMBING EST'!$C$7:$C$156,INPUTS!$B$67)+SUMIFS('HVAC EST'!$L$7:$L$156,'HVAC EST'!$B$7:$B$156,"H",'HVAC EST'!$C$7:$C$156,INPUTS!$B$67)</f>
        <v>0</v>
      </c>
      <c r="G35" s="28" t="n">
        <f aca="false">SUMIFS('SUBS &amp; GC'!$N$7:$N$28,'SUBS &amp; GC'!$D$7:$D$28,INPUTS!$B$67)</f>
        <v>0</v>
      </c>
      <c r="H35" s="28" t="n">
        <f aca="false">SUMIFS('SUBS &amp; GC'!$N$33:$N$60,'SUBS &amp; GC'!$D$33:$D$60,INPUTS!$B$67)</f>
        <v>0</v>
      </c>
      <c r="I35" s="24"/>
      <c r="J35" s="42" t="n">
        <f aca="false">SUM(D35:H35)</f>
        <v>0</v>
      </c>
      <c r="K35" s="19" t="n">
        <f aca="false">IFERROR(J35/$J$46,0)</f>
        <v>0</v>
      </c>
    </row>
    <row r="36" customFormat="false" ht="15" hidden="false" customHeight="false" outlineLevel="0" collapsed="false">
      <c r="B36" s="59" t="str">
        <f aca="false">INPUTS!$B$68</f>
        <v>02 Foundation &amp; Underground</v>
      </c>
      <c r="C36" s="13" t="n">
        <f aca="false">SUMIFS('PLUMBING EST'!$M$7:$M$156,'PLUMBING EST'!$B$7:$B$156,"H",'PLUMBING EST'!$C$7:$C$156,INPUTS!$B$68)+SUMIFS('HVAC EST'!$M$7:$M$156,'HVAC EST'!$B$7:$B$156,"H",'HVAC EST'!$C$7:$C$156,INPUTS!$B$68)</f>
        <v>0</v>
      </c>
      <c r="D36" s="28" t="n">
        <f aca="false">SUMIFS('PLUMBING EST'!$N$7:$N$156,'PLUMBING EST'!$B$7:$B$156,"H",'PLUMBING EST'!$C$7:$C$156,INPUTS!$B$68)+SUMIFS('HVAC EST'!$N$7:$N$156,'HVAC EST'!$B$7:$B$156,"H",'HVAC EST'!$C$7:$C$156,INPUTS!$B$68)</f>
        <v>0</v>
      </c>
      <c r="E36" s="28" t="n">
        <f aca="false">SUMIFS('PLUMBING EST'!$O$7:$O$156,'PLUMBING EST'!$B$7:$B$156,"H",'PLUMBING EST'!$C$7:$C$156,INPUTS!$B$68)+SUMIFS('HVAC EST'!$O$7:$O$156,'HVAC EST'!$B$7:$B$156,"H",'HVAC EST'!$C$7:$C$156,INPUTS!$B$68)</f>
        <v>0</v>
      </c>
      <c r="F36" s="28" t="n">
        <f aca="false">SUMIFS('PLUMBING EST'!$L$7:$L$156,'PLUMBING EST'!$B$7:$B$156,"H",'PLUMBING EST'!$C$7:$C$156,INPUTS!$B$68)+SUMIFS('HVAC EST'!$L$7:$L$156,'HVAC EST'!$B$7:$B$156,"H",'HVAC EST'!$C$7:$C$156,INPUTS!$B$68)</f>
        <v>0</v>
      </c>
      <c r="G36" s="28" t="n">
        <f aca="false">SUMIFS('SUBS &amp; GC'!$N$7:$N$28,'SUBS &amp; GC'!$D$7:$D$28,INPUTS!$B$68)</f>
        <v>0</v>
      </c>
      <c r="H36" s="28" t="n">
        <f aca="false">SUMIFS('SUBS &amp; GC'!$N$33:$N$60,'SUBS &amp; GC'!$D$33:$D$60,INPUTS!$B$68)</f>
        <v>0</v>
      </c>
      <c r="I36" s="24"/>
      <c r="J36" s="42" t="n">
        <f aca="false">SUM(D36:H36)</f>
        <v>0</v>
      </c>
      <c r="K36" s="19" t="n">
        <f aca="false">IFERROR(J36/$J$46,0)</f>
        <v>0</v>
      </c>
    </row>
    <row r="37" customFormat="false" ht="15" hidden="false" customHeight="false" outlineLevel="0" collapsed="false">
      <c r="B37" s="59" t="str">
        <f aca="false">INPUTS!$B$69</f>
        <v>03 Rough-in (Labour)</v>
      </c>
      <c r="C37" s="13" t="n">
        <f aca="false">SUMIFS('PLUMBING EST'!$M$7:$M$156,'PLUMBING EST'!$B$7:$B$156,"H",'PLUMBING EST'!$C$7:$C$156,INPUTS!$B$69)+SUMIFS('HVAC EST'!$M$7:$M$156,'HVAC EST'!$B$7:$B$156,"H",'HVAC EST'!$C$7:$C$156,INPUTS!$B$69)</f>
        <v>0</v>
      </c>
      <c r="D37" s="28" t="n">
        <f aca="false">SUMIFS('PLUMBING EST'!$N$7:$N$156,'PLUMBING EST'!$B$7:$B$156,"H",'PLUMBING EST'!$C$7:$C$156,INPUTS!$B$69)+SUMIFS('HVAC EST'!$N$7:$N$156,'HVAC EST'!$B$7:$B$156,"H",'HVAC EST'!$C$7:$C$156,INPUTS!$B$69)</f>
        <v>0</v>
      </c>
      <c r="E37" s="28" t="n">
        <f aca="false">SUMIFS('PLUMBING EST'!$O$7:$O$156,'PLUMBING EST'!$B$7:$B$156,"H",'PLUMBING EST'!$C$7:$C$156,INPUTS!$B$69)+SUMIFS('HVAC EST'!$O$7:$O$156,'HVAC EST'!$B$7:$B$156,"H",'HVAC EST'!$C$7:$C$156,INPUTS!$B$69)</f>
        <v>0</v>
      </c>
      <c r="F37" s="28" t="n">
        <f aca="false">0</f>
        <v>0</v>
      </c>
      <c r="G37" s="28" t="n">
        <f aca="false">SUMIFS('SUBS &amp; GC'!$N$7:$N$28,'SUBS &amp; GC'!$D$7:$D$28,INPUTS!$B$69)</f>
        <v>0</v>
      </c>
      <c r="H37" s="28" t="n">
        <f aca="false">SUMIFS('SUBS &amp; GC'!$N$33:$N$60,'SUBS &amp; GC'!$D$33:$D$60,INPUTS!$B$69)</f>
        <v>0</v>
      </c>
      <c r="I37" s="24"/>
      <c r="J37" s="42" t="n">
        <f aca="false">SUM(D37:H37)</f>
        <v>0</v>
      </c>
      <c r="K37" s="19" t="n">
        <f aca="false">IFERROR(J37/$J$46,0)</f>
        <v>0</v>
      </c>
    </row>
    <row r="38" customFormat="false" ht="15" hidden="false" customHeight="false" outlineLevel="0" collapsed="false">
      <c r="B38" s="59" t="str">
        <f aca="false">INPUTS!$B$70</f>
        <v>04 Finishing (Labour)</v>
      </c>
      <c r="C38" s="13" t="n">
        <f aca="false">SUMIFS('PLUMBING EST'!$M$7:$M$156,'PLUMBING EST'!$B$7:$B$156,"H",'PLUMBING EST'!$C$7:$C$156,INPUTS!$B$70)+SUMIFS('HVAC EST'!$M$7:$M$156,'HVAC EST'!$B$7:$B$156,"H",'HVAC EST'!$C$7:$C$156,INPUTS!$B$70)</f>
        <v>0</v>
      </c>
      <c r="D38" s="28" t="n">
        <f aca="false">SUMIFS('PLUMBING EST'!$N$7:$N$156,'PLUMBING EST'!$B$7:$B$156,"H",'PLUMBING EST'!$C$7:$C$156,INPUTS!$B$70)+SUMIFS('HVAC EST'!$N$7:$N$156,'HVAC EST'!$B$7:$B$156,"H",'HVAC EST'!$C$7:$C$156,INPUTS!$B$70)</f>
        <v>0</v>
      </c>
      <c r="E38" s="28" t="n">
        <f aca="false">SUMIFS('PLUMBING EST'!$O$7:$O$156,'PLUMBING EST'!$B$7:$B$156,"H",'PLUMBING EST'!$C$7:$C$156,INPUTS!$B$70)+SUMIFS('HVAC EST'!$O$7:$O$156,'HVAC EST'!$B$7:$B$156,"H",'HVAC EST'!$C$7:$C$156,INPUTS!$B$70)</f>
        <v>0</v>
      </c>
      <c r="F38" s="28" t="n">
        <f aca="false">0</f>
        <v>0</v>
      </c>
      <c r="G38" s="28" t="n">
        <f aca="false">SUMIFS('SUBS &amp; GC'!$N$7:$N$28,'SUBS &amp; GC'!$D$7:$D$28,INPUTS!$B$70)</f>
        <v>0</v>
      </c>
      <c r="H38" s="28" t="n">
        <f aca="false">SUMIFS('SUBS &amp; GC'!$N$33:$N$60,'SUBS &amp; GC'!$D$33:$D$60,INPUTS!$B$70)</f>
        <v>0</v>
      </c>
      <c r="I38" s="24"/>
      <c r="J38" s="42" t="n">
        <f aca="false">SUM(D38:H38)</f>
        <v>0</v>
      </c>
      <c r="K38" s="19" t="n">
        <f aca="false">IFERROR(J38/$J$46,0)</f>
        <v>0</v>
      </c>
    </row>
    <row r="39" customFormat="false" ht="15" hidden="false" customHeight="false" outlineLevel="0" collapsed="false">
      <c r="B39" s="59" t="str">
        <f aca="false">INPUTS!$B$71</f>
        <v>05 Material Supply</v>
      </c>
      <c r="C39" s="13" t="n">
        <f aca="false">SUMIFS('PLUMBING EST'!$M$7:$M$156,'PLUMBING EST'!$B$7:$B$156,"H",'PLUMBING EST'!$C$7:$C$156,INPUTS!$B$71)+SUMIFS('HVAC EST'!$M$7:$M$156,'HVAC EST'!$B$7:$B$156,"H",'HVAC EST'!$C$7:$C$156,INPUTS!$B$71)</f>
        <v>0</v>
      </c>
      <c r="D39" s="28" t="n">
        <f aca="false">SUMIFS('PLUMBING EST'!$N$7:$N$156,'PLUMBING EST'!$B$7:$B$156,"H",'PLUMBING EST'!$C$7:$C$156,INPUTS!$B$71)+SUMIFS('HVAC EST'!$N$7:$N$156,'HVAC EST'!$B$7:$B$156,"H",'HVAC EST'!$C$7:$C$156,INPUTS!$B$71)</f>
        <v>0</v>
      </c>
      <c r="E39" s="28" t="n">
        <f aca="false">SUMIFS('PLUMBING EST'!$O$7:$O$156,'PLUMBING EST'!$B$7:$B$156,"H",'PLUMBING EST'!$C$7:$C$156,INPUTS!$B$71)+SUMIFS('HVAC EST'!$O$7:$O$156,'HVAC EST'!$B$7:$B$156,"H",'HVAC EST'!$C$7:$C$156,INPUTS!$B$71)</f>
        <v>0</v>
      </c>
      <c r="F39" s="28" t="n">
        <f aca="false">SUMIFS('PLUMBING EST'!$L$7:$L$156,'PLUMBING EST'!$B$7:$B$156,"H",'PLUMBING EST'!$C$7:$C$156,INPUTS!$B$71)+SUMIFS('HVAC EST'!$L$7:$L$156,'HVAC EST'!$B$7:$B$156,"H",'HVAC EST'!$C$7:$C$156,INPUTS!$B$71)+SUMIFS('PLUMBING EST'!$L$7:$L$156,'PLUMBING EST'!$B$7:$B$156,"H",'PLUMBING EST'!$C$7:$C$156,INPUTS!$B$69)+SUMIFS('HVAC EST'!$L$7:$L$156,'HVAC EST'!$B$7:$B$156,"H",'HVAC EST'!$C$7:$C$156,INPUTS!$B$69)+SUMIFS('PLUMBING EST'!$L$7:$L$156,'PLUMBING EST'!$B$7:$B$156,"H",'PLUMBING EST'!$C$7:$C$156,INPUTS!$B$70)+SUMIFS('HVAC EST'!$L$7:$L$156,'HVAC EST'!$B$7:$B$156,"H",'HVAC EST'!$C$7:$C$156,INPUTS!$B$70)</f>
        <v>0</v>
      </c>
      <c r="G39" s="28" t="n">
        <f aca="false">SUMIFS('SUBS &amp; GC'!$N$7:$N$28,'SUBS &amp; GC'!$D$7:$D$28,INPUTS!$B$71)</f>
        <v>0</v>
      </c>
      <c r="H39" s="28" t="n">
        <f aca="false">SUMIFS('SUBS &amp; GC'!$N$33:$N$60,'SUBS &amp; GC'!$D$33:$D$60,INPUTS!$B$71)</f>
        <v>0</v>
      </c>
      <c r="I39" s="24"/>
      <c r="J39" s="42" t="n">
        <f aca="false">SUM(D39:H39)</f>
        <v>0</v>
      </c>
      <c r="K39" s="19" t="n">
        <f aca="false">IFERROR(J39/$J$46,0)</f>
        <v>0</v>
      </c>
    </row>
    <row r="40" customFormat="false" ht="15" hidden="false" customHeight="false" outlineLevel="0" collapsed="false">
      <c r="B40" s="59" t="str">
        <f aca="false">INPUTS!$B$72</f>
        <v>06 Fixtures &amp; Equipment Supply</v>
      </c>
      <c r="C40" s="13" t="n">
        <f aca="false">SUMIFS('PLUMBING EST'!$M$7:$M$156,'PLUMBING EST'!$B$7:$B$156,"H",'PLUMBING EST'!$C$7:$C$156,INPUTS!$B$72)+SUMIFS('HVAC EST'!$M$7:$M$156,'HVAC EST'!$B$7:$B$156,"H",'HVAC EST'!$C$7:$C$156,INPUTS!$B$72)</f>
        <v>0</v>
      </c>
      <c r="D40" s="28" t="n">
        <f aca="false">SUMIFS('PLUMBING EST'!$N$7:$N$156,'PLUMBING EST'!$B$7:$B$156,"H",'PLUMBING EST'!$C$7:$C$156,INPUTS!$B$72)+SUMIFS('HVAC EST'!$N$7:$N$156,'HVAC EST'!$B$7:$B$156,"H",'HVAC EST'!$C$7:$C$156,INPUTS!$B$72)</f>
        <v>0</v>
      </c>
      <c r="E40" s="28" t="n">
        <f aca="false">SUMIFS('PLUMBING EST'!$O$7:$O$156,'PLUMBING EST'!$B$7:$B$156,"H",'PLUMBING EST'!$C$7:$C$156,INPUTS!$B$72)+SUMIFS('HVAC EST'!$O$7:$O$156,'HVAC EST'!$B$7:$B$156,"H",'HVAC EST'!$C$7:$C$156,INPUTS!$B$72)</f>
        <v>0</v>
      </c>
      <c r="F40" s="28" t="n">
        <f aca="false">SUMIFS('PLUMBING EST'!$L$7:$L$156,'PLUMBING EST'!$B$7:$B$156,"H",'PLUMBING EST'!$C$7:$C$156,INPUTS!$B$72)+SUMIFS('HVAC EST'!$L$7:$L$156,'HVAC EST'!$B$7:$B$156,"H",'HVAC EST'!$C$7:$C$156,INPUTS!$B$72)</f>
        <v>0</v>
      </c>
      <c r="G40" s="28" t="n">
        <f aca="false">SUMIFS('SUBS &amp; GC'!$N$7:$N$28,'SUBS &amp; GC'!$D$7:$D$28,INPUTS!$B$72)</f>
        <v>0</v>
      </c>
      <c r="H40" s="28" t="n">
        <f aca="false">SUMIFS('SUBS &amp; GC'!$N$33:$N$60,'SUBS &amp; GC'!$D$33:$D$60,INPUTS!$B$72)</f>
        <v>0</v>
      </c>
      <c r="I40" s="24"/>
      <c r="J40" s="42" t="n">
        <f aca="false">SUM(D40:H40)</f>
        <v>0</v>
      </c>
      <c r="K40" s="19" t="n">
        <f aca="false">IFERROR(J40/$J$46,0)</f>
        <v>0</v>
      </c>
    </row>
    <row r="41" customFormat="false" ht="15" hidden="false" customHeight="false" outlineLevel="0" collapsed="false">
      <c r="B41" s="59" t="str">
        <f aca="false">INPUTS!$B$73</f>
        <v>07 Testing, TAB &amp; Commissioning</v>
      </c>
      <c r="C41" s="13" t="n">
        <f aca="false">SUMIFS('PLUMBING EST'!$M$7:$M$156,'PLUMBING EST'!$B$7:$B$156,"H",'PLUMBING EST'!$C$7:$C$156,INPUTS!$B$73)+SUMIFS('HVAC EST'!$M$7:$M$156,'HVAC EST'!$B$7:$B$156,"H",'HVAC EST'!$C$7:$C$156,INPUTS!$B$73)</f>
        <v>0</v>
      </c>
      <c r="D41" s="28" t="n">
        <f aca="false">SUMIFS('PLUMBING EST'!$N$7:$N$156,'PLUMBING EST'!$B$7:$B$156,"H",'PLUMBING EST'!$C$7:$C$156,INPUTS!$B$73)+SUMIFS('HVAC EST'!$N$7:$N$156,'HVAC EST'!$B$7:$B$156,"H",'HVAC EST'!$C$7:$C$156,INPUTS!$B$73)</f>
        <v>0</v>
      </c>
      <c r="E41" s="28" t="n">
        <f aca="false">SUMIFS('PLUMBING EST'!$O$7:$O$156,'PLUMBING EST'!$B$7:$B$156,"H",'PLUMBING EST'!$C$7:$C$156,INPUTS!$B$73)+SUMIFS('HVAC EST'!$O$7:$O$156,'HVAC EST'!$B$7:$B$156,"H",'HVAC EST'!$C$7:$C$156,INPUTS!$B$73)</f>
        <v>0</v>
      </c>
      <c r="F41" s="28" t="n">
        <f aca="false">SUMIFS('PLUMBING EST'!$L$7:$L$156,'PLUMBING EST'!$B$7:$B$156,"H",'PLUMBING EST'!$C$7:$C$156,INPUTS!$B$73)+SUMIFS('HVAC EST'!$L$7:$L$156,'HVAC EST'!$B$7:$B$156,"H",'HVAC EST'!$C$7:$C$156,INPUTS!$B$73)</f>
        <v>0</v>
      </c>
      <c r="G41" s="28" t="n">
        <f aca="false">SUMIFS('SUBS &amp; GC'!$N$7:$N$28,'SUBS &amp; GC'!$D$7:$D$28,INPUTS!$B$73)</f>
        <v>0</v>
      </c>
      <c r="H41" s="28" t="n">
        <f aca="false">SUMIFS('SUBS &amp; GC'!$N$33:$N$60,'SUBS &amp; GC'!$D$33:$D$60,INPUTS!$B$73)</f>
        <v>0</v>
      </c>
      <c r="I41" s="24"/>
      <c r="J41" s="42" t="n">
        <f aca="false">SUM(D41:H41)</f>
        <v>0</v>
      </c>
      <c r="K41" s="19" t="n">
        <f aca="false">IFERROR(J41/$J$46,0)</f>
        <v>0</v>
      </c>
    </row>
    <row r="42" customFormat="false" ht="15" hidden="false" customHeight="false" outlineLevel="0" collapsed="false">
      <c r="B42" s="59" t="str">
        <f aca="false">INPUTS!$B$74</f>
        <v>08 Completion &amp; Final Documents</v>
      </c>
      <c r="C42" s="13" t="n">
        <f aca="false">SUMIFS('PLUMBING EST'!$M$7:$M$156,'PLUMBING EST'!$B$7:$B$156,"H",'PLUMBING EST'!$C$7:$C$156,INPUTS!$B$74)+SUMIFS('HVAC EST'!$M$7:$M$156,'HVAC EST'!$B$7:$B$156,"H",'HVAC EST'!$C$7:$C$156,INPUTS!$B$74)</f>
        <v>0</v>
      </c>
      <c r="D42" s="28" t="n">
        <f aca="false">SUMIFS('PLUMBING EST'!$N$7:$N$156,'PLUMBING EST'!$B$7:$B$156,"H",'PLUMBING EST'!$C$7:$C$156,INPUTS!$B$74)+SUMIFS('HVAC EST'!$N$7:$N$156,'HVAC EST'!$B$7:$B$156,"H",'HVAC EST'!$C$7:$C$156,INPUTS!$B$74)</f>
        <v>0</v>
      </c>
      <c r="E42" s="28" t="n">
        <f aca="false">SUMIFS('PLUMBING EST'!$O$7:$O$156,'PLUMBING EST'!$B$7:$B$156,"H",'PLUMBING EST'!$C$7:$C$156,INPUTS!$B$74)+SUMIFS('HVAC EST'!$O$7:$O$156,'HVAC EST'!$B$7:$B$156,"H",'HVAC EST'!$C$7:$C$156,INPUTS!$B$74)</f>
        <v>0</v>
      </c>
      <c r="F42" s="28" t="n">
        <f aca="false">SUMIFS('PLUMBING EST'!$L$7:$L$156,'PLUMBING EST'!$B$7:$B$156,"H",'PLUMBING EST'!$C$7:$C$156,INPUTS!$B$74)+SUMIFS('HVAC EST'!$L$7:$L$156,'HVAC EST'!$B$7:$B$156,"H",'HVAC EST'!$C$7:$C$156,INPUTS!$B$74)</f>
        <v>0</v>
      </c>
      <c r="G42" s="28" t="n">
        <f aca="false">SUMIFS('SUBS &amp; GC'!$N$7:$N$28,'SUBS &amp; GC'!$D$7:$D$28,INPUTS!$B$74)</f>
        <v>0</v>
      </c>
      <c r="H42" s="28" t="n">
        <f aca="false">SUMIFS('SUBS &amp; GC'!$N$33:$N$60,'SUBS &amp; GC'!$D$33:$D$60,INPUTS!$B$74)</f>
        <v>0</v>
      </c>
      <c r="I42" s="24"/>
      <c r="J42" s="42" t="n">
        <f aca="false">SUM(D42:H42)</f>
        <v>0</v>
      </c>
      <c r="K42" s="19" t="n">
        <f aca="false">IFERROR(J42/$J$46,0)</f>
        <v>0</v>
      </c>
    </row>
    <row r="43" customFormat="false" ht="15" hidden="false" customHeight="false" outlineLevel="0" collapsed="false">
      <c r="B43" s="59" t="str">
        <f aca="false">INPUTS!$B$75</f>
        <v>09 Office, Supervision &amp; General</v>
      </c>
      <c r="C43" s="13" t="n">
        <f aca="false">SUMIFS('PLUMBING EST'!$M$7:$M$156,'PLUMBING EST'!$B$7:$B$156,"H",'PLUMBING EST'!$C$7:$C$156,INPUTS!$B$75)+SUMIFS('HVAC EST'!$M$7:$M$156,'HVAC EST'!$B$7:$B$156,"H",'HVAC EST'!$C$7:$C$156,INPUTS!$B$75)</f>
        <v>0</v>
      </c>
      <c r="D43" s="28" t="n">
        <f aca="false">SUMIFS('PLUMBING EST'!$N$7:$N$156,'PLUMBING EST'!$B$7:$B$156,"H",'PLUMBING EST'!$C$7:$C$156,INPUTS!$B$75)+SUMIFS('HVAC EST'!$N$7:$N$156,'HVAC EST'!$B$7:$B$156,"H",'HVAC EST'!$C$7:$C$156,INPUTS!$B$75)</f>
        <v>0</v>
      </c>
      <c r="E43" s="28" t="n">
        <f aca="false">SUMIFS('PLUMBING EST'!$O$7:$O$156,'PLUMBING EST'!$B$7:$B$156,"H",'PLUMBING EST'!$C$7:$C$156,INPUTS!$B$75)+SUMIFS('HVAC EST'!$O$7:$O$156,'HVAC EST'!$B$7:$B$156,"H",'HVAC EST'!$C$7:$C$156,INPUTS!$B$75)</f>
        <v>0</v>
      </c>
      <c r="F43" s="28" t="n">
        <f aca="false">SUMIFS('PLUMBING EST'!$L$7:$L$156,'PLUMBING EST'!$B$7:$B$156,"H",'PLUMBING EST'!$C$7:$C$156,INPUTS!$B$75)+SUMIFS('HVAC EST'!$L$7:$L$156,'HVAC EST'!$B$7:$B$156,"H",'HVAC EST'!$C$7:$C$156,INPUTS!$B$75)</f>
        <v>0</v>
      </c>
      <c r="G43" s="28" t="n">
        <f aca="false">SUMIFS('SUBS &amp; GC'!$N$7:$N$28,'SUBS &amp; GC'!$D$7:$D$28,INPUTS!$B$75)</f>
        <v>0</v>
      </c>
      <c r="H43" s="28" t="n">
        <f aca="false">SUMIFS('SUBS &amp; GC'!$N$33:$N$60,'SUBS &amp; GC'!$D$33:$D$60,INPUTS!$B$75)</f>
        <v>0</v>
      </c>
      <c r="I43" s="24"/>
      <c r="J43" s="42" t="n">
        <f aca="false">SUM(D43:H43)</f>
        <v>0</v>
      </c>
      <c r="K43" s="19" t="n">
        <f aca="false">IFERROR(J43/$J$46,0)</f>
        <v>0</v>
      </c>
    </row>
    <row r="44" customFormat="false" ht="15" hidden="false" customHeight="false" outlineLevel="0" collapsed="false">
      <c r="B44" s="24" t="s">
        <v>488</v>
      </c>
      <c r="F44" s="60" t="n">
        <f aca="false">'BID SUMMARY'!G7</f>
        <v>0</v>
      </c>
      <c r="J44" s="42" t="n">
        <f aca="false">F44</f>
        <v>0</v>
      </c>
      <c r="K44" s="19" t="n">
        <f aca="false">IFERROR(J44/$J$46,0)</f>
        <v>0</v>
      </c>
    </row>
    <row r="45" customFormat="false" ht="15" hidden="false" customHeight="false" outlineLevel="0" collapsed="false">
      <c r="B45" s="24" t="s">
        <v>169</v>
      </c>
      <c r="J45" s="71" t="n">
        <f aca="false">'BID SUMMARY'!J7</f>
        <v>0</v>
      </c>
      <c r="K45" s="19" t="n">
        <f aca="false">IFERROR(J45/$J$46,0)</f>
        <v>0</v>
      </c>
    </row>
    <row r="46" customFormat="false" ht="15" hidden="false" customHeight="false" outlineLevel="0" collapsed="false">
      <c r="B46" s="4" t="s">
        <v>489</v>
      </c>
      <c r="C46" s="21" t="n">
        <f aca="false">SUM(C35:C45)</f>
        <v>0</v>
      </c>
      <c r="D46" s="32" t="n">
        <f aca="false">SUM(D35:D45)</f>
        <v>0</v>
      </c>
      <c r="E46" s="32" t="n">
        <f aca="false">SUM(E35:E45)</f>
        <v>0</v>
      </c>
      <c r="F46" s="32" t="n">
        <f aca="false">SUM(F35:F45)</f>
        <v>0</v>
      </c>
      <c r="G46" s="32" t="n">
        <f aca="false">SUM(G35:G45)</f>
        <v>0</v>
      </c>
      <c r="H46" s="32" t="n">
        <f aca="false">SUM(H35:H45)</f>
        <v>0</v>
      </c>
      <c r="J46" s="52" t="n">
        <f aca="false">SUM(J35:J45)</f>
        <v>0</v>
      </c>
    </row>
    <row r="47" customFormat="false" ht="15" hidden="false" customHeight="false" outlineLevel="0" collapsed="false">
      <c r="B47" s="7" t="s">
        <v>490</v>
      </c>
      <c r="J47" s="47" t="n">
        <f aca="false">'BID SUMMARY'!O7</f>
        <v>0</v>
      </c>
    </row>
    <row r="48" customFormat="false" ht="15" hidden="false" customHeight="false" outlineLevel="0" collapsed="false">
      <c r="B48" s="4" t="s">
        <v>491</v>
      </c>
      <c r="J48" s="52" t="n">
        <f aca="false">J46+J47</f>
        <v>0</v>
      </c>
    </row>
    <row r="52" customFormat="false" ht="15" hidden="false" customHeight="false" outlineLevel="0" collapsed="false">
      <c r="B52" s="69" t="str">
        <f aca="false">UPPER(INPUTS!B35)&amp;" (V)"</f>
        <v>VENTILATION (V)</v>
      </c>
      <c r="C52" s="70"/>
      <c r="D52" s="70"/>
      <c r="E52" s="70"/>
      <c r="F52" s="70"/>
      <c r="G52" s="70"/>
      <c r="H52" s="70"/>
      <c r="I52" s="70"/>
      <c r="J52" s="70"/>
      <c r="K52" s="70"/>
    </row>
    <row r="53" customFormat="false" ht="30" hidden="false" customHeight="true" outlineLevel="0" collapsed="false">
      <c r="B53" s="17" t="s">
        <v>218</v>
      </c>
      <c r="C53" s="17" t="s">
        <v>178</v>
      </c>
      <c r="D53" s="17" t="s">
        <v>479</v>
      </c>
      <c r="E53" s="17" t="s">
        <v>229</v>
      </c>
      <c r="F53" s="17" t="s">
        <v>485</v>
      </c>
      <c r="G53" s="17" t="s">
        <v>438</v>
      </c>
      <c r="H53" s="17" t="s">
        <v>439</v>
      </c>
      <c r="I53" s="17"/>
      <c r="J53" s="17" t="s">
        <v>486</v>
      </c>
      <c r="K53" s="17" t="s">
        <v>487</v>
      </c>
    </row>
    <row r="54" customFormat="false" ht="15" hidden="false" customHeight="false" outlineLevel="0" collapsed="false">
      <c r="B54" s="59" t="str">
        <f aca="false">INPUTS!$B$67</f>
        <v>01 Shop Drawings, Permits &amp; Mobilization</v>
      </c>
      <c r="C54" s="13" t="n">
        <f aca="false">SUMIFS('PLUMBING EST'!$M$7:$M$156,'PLUMBING EST'!$B$7:$B$156,"V",'PLUMBING EST'!$C$7:$C$156,INPUTS!$B$67)+SUMIFS('HVAC EST'!$M$7:$M$156,'HVAC EST'!$B$7:$B$156,"V",'HVAC EST'!$C$7:$C$156,INPUTS!$B$67)</f>
        <v>0</v>
      </c>
      <c r="D54" s="28" t="n">
        <f aca="false">SUMIFS('PLUMBING EST'!$N$7:$N$156,'PLUMBING EST'!$B$7:$B$156,"V",'PLUMBING EST'!$C$7:$C$156,INPUTS!$B$67)+SUMIFS('HVAC EST'!$N$7:$N$156,'HVAC EST'!$B$7:$B$156,"V",'HVAC EST'!$C$7:$C$156,INPUTS!$B$67)</f>
        <v>0</v>
      </c>
      <c r="E54" s="28" t="n">
        <f aca="false">SUMIFS('PLUMBING EST'!$O$7:$O$156,'PLUMBING EST'!$B$7:$B$156,"V",'PLUMBING EST'!$C$7:$C$156,INPUTS!$B$67)+SUMIFS('HVAC EST'!$O$7:$O$156,'HVAC EST'!$B$7:$B$156,"V",'HVAC EST'!$C$7:$C$156,INPUTS!$B$67)</f>
        <v>0</v>
      </c>
      <c r="F54" s="28" t="n">
        <f aca="false">SUMIFS('PLUMBING EST'!$L$7:$L$156,'PLUMBING EST'!$B$7:$B$156,"V",'PLUMBING EST'!$C$7:$C$156,INPUTS!$B$67)+SUMIFS('HVAC EST'!$L$7:$L$156,'HVAC EST'!$B$7:$B$156,"V",'HVAC EST'!$C$7:$C$156,INPUTS!$B$67)</f>
        <v>0</v>
      </c>
      <c r="G54" s="28" t="n">
        <f aca="false">SUMIFS('SUBS &amp; GC'!$O$7:$O$28,'SUBS &amp; GC'!$D$7:$D$28,INPUTS!$B$67)</f>
        <v>0</v>
      </c>
      <c r="H54" s="28" t="n">
        <f aca="false">SUMIFS('SUBS &amp; GC'!$O$33:$O$60,'SUBS &amp; GC'!$D$33:$D$60,INPUTS!$B$67)</f>
        <v>0</v>
      </c>
      <c r="I54" s="24"/>
      <c r="J54" s="42" t="n">
        <f aca="false">SUM(D54:H54)</f>
        <v>0</v>
      </c>
      <c r="K54" s="19" t="n">
        <f aca="false">IFERROR(J54/$J$65,0)</f>
        <v>0</v>
      </c>
    </row>
    <row r="55" customFormat="false" ht="15" hidden="false" customHeight="false" outlineLevel="0" collapsed="false">
      <c r="B55" s="59" t="str">
        <f aca="false">INPUTS!$B$68</f>
        <v>02 Foundation &amp; Underground</v>
      </c>
      <c r="C55" s="13" t="n">
        <f aca="false">SUMIFS('PLUMBING EST'!$M$7:$M$156,'PLUMBING EST'!$B$7:$B$156,"V",'PLUMBING EST'!$C$7:$C$156,INPUTS!$B$68)+SUMIFS('HVAC EST'!$M$7:$M$156,'HVAC EST'!$B$7:$B$156,"V",'HVAC EST'!$C$7:$C$156,INPUTS!$B$68)</f>
        <v>0</v>
      </c>
      <c r="D55" s="28" t="n">
        <f aca="false">SUMIFS('PLUMBING EST'!$N$7:$N$156,'PLUMBING EST'!$B$7:$B$156,"V",'PLUMBING EST'!$C$7:$C$156,INPUTS!$B$68)+SUMIFS('HVAC EST'!$N$7:$N$156,'HVAC EST'!$B$7:$B$156,"V",'HVAC EST'!$C$7:$C$156,INPUTS!$B$68)</f>
        <v>0</v>
      </c>
      <c r="E55" s="28" t="n">
        <f aca="false">SUMIFS('PLUMBING EST'!$O$7:$O$156,'PLUMBING EST'!$B$7:$B$156,"V",'PLUMBING EST'!$C$7:$C$156,INPUTS!$B$68)+SUMIFS('HVAC EST'!$O$7:$O$156,'HVAC EST'!$B$7:$B$156,"V",'HVAC EST'!$C$7:$C$156,INPUTS!$B$68)</f>
        <v>0</v>
      </c>
      <c r="F55" s="28" t="n">
        <f aca="false">SUMIFS('PLUMBING EST'!$L$7:$L$156,'PLUMBING EST'!$B$7:$B$156,"V",'PLUMBING EST'!$C$7:$C$156,INPUTS!$B$68)+SUMIFS('HVAC EST'!$L$7:$L$156,'HVAC EST'!$B$7:$B$156,"V",'HVAC EST'!$C$7:$C$156,INPUTS!$B$68)</f>
        <v>0</v>
      </c>
      <c r="G55" s="28" t="n">
        <f aca="false">SUMIFS('SUBS &amp; GC'!$O$7:$O$28,'SUBS &amp; GC'!$D$7:$D$28,INPUTS!$B$68)</f>
        <v>0</v>
      </c>
      <c r="H55" s="28" t="n">
        <f aca="false">SUMIFS('SUBS &amp; GC'!$O$33:$O$60,'SUBS &amp; GC'!$D$33:$D$60,INPUTS!$B$68)</f>
        <v>0</v>
      </c>
      <c r="I55" s="24"/>
      <c r="J55" s="42" t="n">
        <f aca="false">SUM(D55:H55)</f>
        <v>0</v>
      </c>
      <c r="K55" s="19" t="n">
        <f aca="false">IFERROR(J55/$J$65,0)</f>
        <v>0</v>
      </c>
    </row>
    <row r="56" customFormat="false" ht="15" hidden="false" customHeight="false" outlineLevel="0" collapsed="false">
      <c r="B56" s="59" t="str">
        <f aca="false">INPUTS!$B$69</f>
        <v>03 Rough-in (Labour)</v>
      </c>
      <c r="C56" s="13" t="n">
        <f aca="false">SUMIFS('PLUMBING EST'!$M$7:$M$156,'PLUMBING EST'!$B$7:$B$156,"V",'PLUMBING EST'!$C$7:$C$156,INPUTS!$B$69)+SUMIFS('HVAC EST'!$M$7:$M$156,'HVAC EST'!$B$7:$B$156,"V",'HVAC EST'!$C$7:$C$156,INPUTS!$B$69)</f>
        <v>0</v>
      </c>
      <c r="D56" s="28" t="n">
        <f aca="false">SUMIFS('PLUMBING EST'!$N$7:$N$156,'PLUMBING EST'!$B$7:$B$156,"V",'PLUMBING EST'!$C$7:$C$156,INPUTS!$B$69)+SUMIFS('HVAC EST'!$N$7:$N$156,'HVAC EST'!$B$7:$B$156,"V",'HVAC EST'!$C$7:$C$156,INPUTS!$B$69)</f>
        <v>0</v>
      </c>
      <c r="E56" s="28" t="n">
        <f aca="false">SUMIFS('PLUMBING EST'!$O$7:$O$156,'PLUMBING EST'!$B$7:$B$156,"V",'PLUMBING EST'!$C$7:$C$156,INPUTS!$B$69)+SUMIFS('HVAC EST'!$O$7:$O$156,'HVAC EST'!$B$7:$B$156,"V",'HVAC EST'!$C$7:$C$156,INPUTS!$B$69)</f>
        <v>0</v>
      </c>
      <c r="F56" s="28" t="n">
        <f aca="false">0</f>
        <v>0</v>
      </c>
      <c r="G56" s="28" t="n">
        <f aca="false">SUMIFS('SUBS &amp; GC'!$O$7:$O$28,'SUBS &amp; GC'!$D$7:$D$28,INPUTS!$B$69)</f>
        <v>0</v>
      </c>
      <c r="H56" s="28" t="n">
        <f aca="false">SUMIFS('SUBS &amp; GC'!$O$33:$O$60,'SUBS &amp; GC'!$D$33:$D$60,INPUTS!$B$69)</f>
        <v>0</v>
      </c>
      <c r="I56" s="24"/>
      <c r="J56" s="42" t="n">
        <f aca="false">SUM(D56:H56)</f>
        <v>0</v>
      </c>
      <c r="K56" s="19" t="n">
        <f aca="false">IFERROR(J56/$J$65,0)</f>
        <v>0</v>
      </c>
    </row>
    <row r="57" customFormat="false" ht="15" hidden="false" customHeight="false" outlineLevel="0" collapsed="false">
      <c r="B57" s="59" t="str">
        <f aca="false">INPUTS!$B$70</f>
        <v>04 Finishing (Labour)</v>
      </c>
      <c r="C57" s="13" t="n">
        <f aca="false">SUMIFS('PLUMBING EST'!$M$7:$M$156,'PLUMBING EST'!$B$7:$B$156,"V",'PLUMBING EST'!$C$7:$C$156,INPUTS!$B$70)+SUMIFS('HVAC EST'!$M$7:$M$156,'HVAC EST'!$B$7:$B$156,"V",'HVAC EST'!$C$7:$C$156,INPUTS!$B$70)</f>
        <v>0</v>
      </c>
      <c r="D57" s="28" t="n">
        <f aca="false">SUMIFS('PLUMBING EST'!$N$7:$N$156,'PLUMBING EST'!$B$7:$B$156,"V",'PLUMBING EST'!$C$7:$C$156,INPUTS!$B$70)+SUMIFS('HVAC EST'!$N$7:$N$156,'HVAC EST'!$B$7:$B$156,"V",'HVAC EST'!$C$7:$C$156,INPUTS!$B$70)</f>
        <v>0</v>
      </c>
      <c r="E57" s="28" t="n">
        <f aca="false">SUMIFS('PLUMBING EST'!$O$7:$O$156,'PLUMBING EST'!$B$7:$B$156,"V",'PLUMBING EST'!$C$7:$C$156,INPUTS!$B$70)+SUMIFS('HVAC EST'!$O$7:$O$156,'HVAC EST'!$B$7:$B$156,"V",'HVAC EST'!$C$7:$C$156,INPUTS!$B$70)</f>
        <v>0</v>
      </c>
      <c r="F57" s="28" t="n">
        <f aca="false">0</f>
        <v>0</v>
      </c>
      <c r="G57" s="28" t="n">
        <f aca="false">SUMIFS('SUBS &amp; GC'!$O$7:$O$28,'SUBS &amp; GC'!$D$7:$D$28,INPUTS!$B$70)</f>
        <v>0</v>
      </c>
      <c r="H57" s="28" t="n">
        <f aca="false">SUMIFS('SUBS &amp; GC'!$O$33:$O$60,'SUBS &amp; GC'!$D$33:$D$60,INPUTS!$B$70)</f>
        <v>0</v>
      </c>
      <c r="I57" s="24"/>
      <c r="J57" s="42" t="n">
        <f aca="false">SUM(D57:H57)</f>
        <v>0</v>
      </c>
      <c r="K57" s="19" t="n">
        <f aca="false">IFERROR(J57/$J$65,0)</f>
        <v>0</v>
      </c>
    </row>
    <row r="58" customFormat="false" ht="15" hidden="false" customHeight="false" outlineLevel="0" collapsed="false">
      <c r="B58" s="59" t="str">
        <f aca="false">INPUTS!$B$71</f>
        <v>05 Material Supply</v>
      </c>
      <c r="C58" s="13" t="n">
        <f aca="false">SUMIFS('PLUMBING EST'!$M$7:$M$156,'PLUMBING EST'!$B$7:$B$156,"V",'PLUMBING EST'!$C$7:$C$156,INPUTS!$B$71)+SUMIFS('HVAC EST'!$M$7:$M$156,'HVAC EST'!$B$7:$B$156,"V",'HVAC EST'!$C$7:$C$156,INPUTS!$B$71)</f>
        <v>0</v>
      </c>
      <c r="D58" s="28" t="n">
        <f aca="false">SUMIFS('PLUMBING EST'!$N$7:$N$156,'PLUMBING EST'!$B$7:$B$156,"V",'PLUMBING EST'!$C$7:$C$156,INPUTS!$B$71)+SUMIFS('HVAC EST'!$N$7:$N$156,'HVAC EST'!$B$7:$B$156,"V",'HVAC EST'!$C$7:$C$156,INPUTS!$B$71)</f>
        <v>0</v>
      </c>
      <c r="E58" s="28" t="n">
        <f aca="false">SUMIFS('PLUMBING EST'!$O$7:$O$156,'PLUMBING EST'!$B$7:$B$156,"V",'PLUMBING EST'!$C$7:$C$156,INPUTS!$B$71)+SUMIFS('HVAC EST'!$O$7:$O$156,'HVAC EST'!$B$7:$B$156,"V",'HVAC EST'!$C$7:$C$156,INPUTS!$B$71)</f>
        <v>0</v>
      </c>
      <c r="F58" s="28" t="n">
        <f aca="false">SUMIFS('PLUMBING EST'!$L$7:$L$156,'PLUMBING EST'!$B$7:$B$156,"V",'PLUMBING EST'!$C$7:$C$156,INPUTS!$B$71)+SUMIFS('HVAC EST'!$L$7:$L$156,'HVAC EST'!$B$7:$B$156,"V",'HVAC EST'!$C$7:$C$156,INPUTS!$B$71)+SUMIFS('PLUMBING EST'!$L$7:$L$156,'PLUMBING EST'!$B$7:$B$156,"V",'PLUMBING EST'!$C$7:$C$156,INPUTS!$B$69)+SUMIFS('HVAC EST'!$L$7:$L$156,'HVAC EST'!$B$7:$B$156,"V",'HVAC EST'!$C$7:$C$156,INPUTS!$B$69)+SUMIFS('PLUMBING EST'!$L$7:$L$156,'PLUMBING EST'!$B$7:$B$156,"V",'PLUMBING EST'!$C$7:$C$156,INPUTS!$B$70)+SUMIFS('HVAC EST'!$L$7:$L$156,'HVAC EST'!$B$7:$B$156,"V",'HVAC EST'!$C$7:$C$156,INPUTS!$B$70)</f>
        <v>0</v>
      </c>
      <c r="G58" s="28" t="n">
        <f aca="false">SUMIFS('SUBS &amp; GC'!$O$7:$O$28,'SUBS &amp; GC'!$D$7:$D$28,INPUTS!$B$71)</f>
        <v>0</v>
      </c>
      <c r="H58" s="28" t="n">
        <f aca="false">SUMIFS('SUBS &amp; GC'!$O$33:$O$60,'SUBS &amp; GC'!$D$33:$D$60,INPUTS!$B$71)</f>
        <v>0</v>
      </c>
      <c r="I58" s="24"/>
      <c r="J58" s="42" t="n">
        <f aca="false">SUM(D58:H58)</f>
        <v>0</v>
      </c>
      <c r="K58" s="19" t="n">
        <f aca="false">IFERROR(J58/$J$65,0)</f>
        <v>0</v>
      </c>
    </row>
    <row r="59" customFormat="false" ht="15" hidden="false" customHeight="false" outlineLevel="0" collapsed="false">
      <c r="B59" s="59" t="str">
        <f aca="false">INPUTS!$B$72</f>
        <v>06 Fixtures &amp; Equipment Supply</v>
      </c>
      <c r="C59" s="13" t="n">
        <f aca="false">SUMIFS('PLUMBING EST'!$M$7:$M$156,'PLUMBING EST'!$B$7:$B$156,"V",'PLUMBING EST'!$C$7:$C$156,INPUTS!$B$72)+SUMIFS('HVAC EST'!$M$7:$M$156,'HVAC EST'!$B$7:$B$156,"V",'HVAC EST'!$C$7:$C$156,INPUTS!$B$72)</f>
        <v>0</v>
      </c>
      <c r="D59" s="28" t="n">
        <f aca="false">SUMIFS('PLUMBING EST'!$N$7:$N$156,'PLUMBING EST'!$B$7:$B$156,"V",'PLUMBING EST'!$C$7:$C$156,INPUTS!$B$72)+SUMIFS('HVAC EST'!$N$7:$N$156,'HVAC EST'!$B$7:$B$156,"V",'HVAC EST'!$C$7:$C$156,INPUTS!$B$72)</f>
        <v>0</v>
      </c>
      <c r="E59" s="28" t="n">
        <f aca="false">SUMIFS('PLUMBING EST'!$O$7:$O$156,'PLUMBING EST'!$B$7:$B$156,"V",'PLUMBING EST'!$C$7:$C$156,INPUTS!$B$72)+SUMIFS('HVAC EST'!$O$7:$O$156,'HVAC EST'!$B$7:$B$156,"V",'HVAC EST'!$C$7:$C$156,INPUTS!$B$72)</f>
        <v>0</v>
      </c>
      <c r="F59" s="28" t="n">
        <f aca="false">SUMIFS('PLUMBING EST'!$L$7:$L$156,'PLUMBING EST'!$B$7:$B$156,"V",'PLUMBING EST'!$C$7:$C$156,INPUTS!$B$72)+SUMIFS('HVAC EST'!$L$7:$L$156,'HVAC EST'!$B$7:$B$156,"V",'HVAC EST'!$C$7:$C$156,INPUTS!$B$72)</f>
        <v>0</v>
      </c>
      <c r="G59" s="28" t="n">
        <f aca="false">SUMIFS('SUBS &amp; GC'!$O$7:$O$28,'SUBS &amp; GC'!$D$7:$D$28,INPUTS!$B$72)</f>
        <v>0</v>
      </c>
      <c r="H59" s="28" t="n">
        <f aca="false">SUMIFS('SUBS &amp; GC'!$O$33:$O$60,'SUBS &amp; GC'!$D$33:$D$60,INPUTS!$B$72)</f>
        <v>0</v>
      </c>
      <c r="I59" s="24"/>
      <c r="J59" s="42" t="n">
        <f aca="false">SUM(D59:H59)</f>
        <v>0</v>
      </c>
      <c r="K59" s="19" t="n">
        <f aca="false">IFERROR(J59/$J$65,0)</f>
        <v>0</v>
      </c>
    </row>
    <row r="60" customFormat="false" ht="15" hidden="false" customHeight="false" outlineLevel="0" collapsed="false">
      <c r="B60" s="59" t="str">
        <f aca="false">INPUTS!$B$73</f>
        <v>07 Testing, TAB &amp; Commissioning</v>
      </c>
      <c r="C60" s="13" t="n">
        <f aca="false">SUMIFS('PLUMBING EST'!$M$7:$M$156,'PLUMBING EST'!$B$7:$B$156,"V",'PLUMBING EST'!$C$7:$C$156,INPUTS!$B$73)+SUMIFS('HVAC EST'!$M$7:$M$156,'HVAC EST'!$B$7:$B$156,"V",'HVAC EST'!$C$7:$C$156,INPUTS!$B$73)</f>
        <v>0</v>
      </c>
      <c r="D60" s="28" t="n">
        <f aca="false">SUMIFS('PLUMBING EST'!$N$7:$N$156,'PLUMBING EST'!$B$7:$B$156,"V",'PLUMBING EST'!$C$7:$C$156,INPUTS!$B$73)+SUMIFS('HVAC EST'!$N$7:$N$156,'HVAC EST'!$B$7:$B$156,"V",'HVAC EST'!$C$7:$C$156,INPUTS!$B$73)</f>
        <v>0</v>
      </c>
      <c r="E60" s="28" t="n">
        <f aca="false">SUMIFS('PLUMBING EST'!$O$7:$O$156,'PLUMBING EST'!$B$7:$B$156,"V",'PLUMBING EST'!$C$7:$C$156,INPUTS!$B$73)+SUMIFS('HVAC EST'!$O$7:$O$156,'HVAC EST'!$B$7:$B$156,"V",'HVAC EST'!$C$7:$C$156,INPUTS!$B$73)</f>
        <v>0</v>
      </c>
      <c r="F60" s="28" t="n">
        <f aca="false">SUMIFS('PLUMBING EST'!$L$7:$L$156,'PLUMBING EST'!$B$7:$B$156,"V",'PLUMBING EST'!$C$7:$C$156,INPUTS!$B$73)+SUMIFS('HVAC EST'!$L$7:$L$156,'HVAC EST'!$B$7:$B$156,"V",'HVAC EST'!$C$7:$C$156,INPUTS!$B$73)</f>
        <v>0</v>
      </c>
      <c r="G60" s="28" t="n">
        <f aca="false">SUMIFS('SUBS &amp; GC'!$O$7:$O$28,'SUBS &amp; GC'!$D$7:$D$28,INPUTS!$B$73)</f>
        <v>0</v>
      </c>
      <c r="H60" s="28" t="n">
        <f aca="false">SUMIFS('SUBS &amp; GC'!$O$33:$O$60,'SUBS &amp; GC'!$D$33:$D$60,INPUTS!$B$73)</f>
        <v>0</v>
      </c>
      <c r="I60" s="24"/>
      <c r="J60" s="42" t="n">
        <f aca="false">SUM(D60:H60)</f>
        <v>0</v>
      </c>
      <c r="K60" s="19" t="n">
        <f aca="false">IFERROR(J60/$J$65,0)</f>
        <v>0</v>
      </c>
    </row>
    <row r="61" customFormat="false" ht="15" hidden="false" customHeight="false" outlineLevel="0" collapsed="false">
      <c r="B61" s="59" t="str">
        <f aca="false">INPUTS!$B$74</f>
        <v>08 Completion &amp; Final Documents</v>
      </c>
      <c r="C61" s="13" t="n">
        <f aca="false">SUMIFS('PLUMBING EST'!$M$7:$M$156,'PLUMBING EST'!$B$7:$B$156,"V",'PLUMBING EST'!$C$7:$C$156,INPUTS!$B$74)+SUMIFS('HVAC EST'!$M$7:$M$156,'HVAC EST'!$B$7:$B$156,"V",'HVAC EST'!$C$7:$C$156,INPUTS!$B$74)</f>
        <v>0</v>
      </c>
      <c r="D61" s="28" t="n">
        <f aca="false">SUMIFS('PLUMBING EST'!$N$7:$N$156,'PLUMBING EST'!$B$7:$B$156,"V",'PLUMBING EST'!$C$7:$C$156,INPUTS!$B$74)+SUMIFS('HVAC EST'!$N$7:$N$156,'HVAC EST'!$B$7:$B$156,"V",'HVAC EST'!$C$7:$C$156,INPUTS!$B$74)</f>
        <v>0</v>
      </c>
      <c r="E61" s="28" t="n">
        <f aca="false">SUMIFS('PLUMBING EST'!$O$7:$O$156,'PLUMBING EST'!$B$7:$B$156,"V",'PLUMBING EST'!$C$7:$C$156,INPUTS!$B$74)+SUMIFS('HVAC EST'!$O$7:$O$156,'HVAC EST'!$B$7:$B$156,"V",'HVAC EST'!$C$7:$C$156,INPUTS!$B$74)</f>
        <v>0</v>
      </c>
      <c r="F61" s="28" t="n">
        <f aca="false">SUMIFS('PLUMBING EST'!$L$7:$L$156,'PLUMBING EST'!$B$7:$B$156,"V",'PLUMBING EST'!$C$7:$C$156,INPUTS!$B$74)+SUMIFS('HVAC EST'!$L$7:$L$156,'HVAC EST'!$B$7:$B$156,"V",'HVAC EST'!$C$7:$C$156,INPUTS!$B$74)</f>
        <v>0</v>
      </c>
      <c r="G61" s="28" t="n">
        <f aca="false">SUMIFS('SUBS &amp; GC'!$O$7:$O$28,'SUBS &amp; GC'!$D$7:$D$28,INPUTS!$B$74)</f>
        <v>0</v>
      </c>
      <c r="H61" s="28" t="n">
        <f aca="false">SUMIFS('SUBS &amp; GC'!$O$33:$O$60,'SUBS &amp; GC'!$D$33:$D$60,INPUTS!$B$74)</f>
        <v>0</v>
      </c>
      <c r="I61" s="24"/>
      <c r="J61" s="42" t="n">
        <f aca="false">SUM(D61:H61)</f>
        <v>0</v>
      </c>
      <c r="K61" s="19" t="n">
        <f aca="false">IFERROR(J61/$J$65,0)</f>
        <v>0</v>
      </c>
    </row>
    <row r="62" customFormat="false" ht="15" hidden="false" customHeight="false" outlineLevel="0" collapsed="false">
      <c r="B62" s="59" t="str">
        <f aca="false">INPUTS!$B$75</f>
        <v>09 Office, Supervision &amp; General</v>
      </c>
      <c r="C62" s="13" t="n">
        <f aca="false">SUMIFS('PLUMBING EST'!$M$7:$M$156,'PLUMBING EST'!$B$7:$B$156,"V",'PLUMBING EST'!$C$7:$C$156,INPUTS!$B$75)+SUMIFS('HVAC EST'!$M$7:$M$156,'HVAC EST'!$B$7:$B$156,"V",'HVAC EST'!$C$7:$C$156,INPUTS!$B$75)</f>
        <v>0</v>
      </c>
      <c r="D62" s="28" t="n">
        <f aca="false">SUMIFS('PLUMBING EST'!$N$7:$N$156,'PLUMBING EST'!$B$7:$B$156,"V",'PLUMBING EST'!$C$7:$C$156,INPUTS!$B$75)+SUMIFS('HVAC EST'!$N$7:$N$156,'HVAC EST'!$B$7:$B$156,"V",'HVAC EST'!$C$7:$C$156,INPUTS!$B$75)</f>
        <v>0</v>
      </c>
      <c r="E62" s="28" t="n">
        <f aca="false">SUMIFS('PLUMBING EST'!$O$7:$O$156,'PLUMBING EST'!$B$7:$B$156,"V",'PLUMBING EST'!$C$7:$C$156,INPUTS!$B$75)+SUMIFS('HVAC EST'!$O$7:$O$156,'HVAC EST'!$B$7:$B$156,"V",'HVAC EST'!$C$7:$C$156,INPUTS!$B$75)</f>
        <v>0</v>
      </c>
      <c r="F62" s="28" t="n">
        <f aca="false">SUMIFS('PLUMBING EST'!$L$7:$L$156,'PLUMBING EST'!$B$7:$B$156,"V",'PLUMBING EST'!$C$7:$C$156,INPUTS!$B$75)+SUMIFS('HVAC EST'!$L$7:$L$156,'HVAC EST'!$B$7:$B$156,"V",'HVAC EST'!$C$7:$C$156,INPUTS!$B$75)</f>
        <v>0</v>
      </c>
      <c r="G62" s="28" t="n">
        <f aca="false">SUMIFS('SUBS &amp; GC'!$O$7:$O$28,'SUBS &amp; GC'!$D$7:$D$28,INPUTS!$B$75)</f>
        <v>0</v>
      </c>
      <c r="H62" s="28" t="n">
        <f aca="false">SUMIFS('SUBS &amp; GC'!$O$33:$O$60,'SUBS &amp; GC'!$D$33:$D$60,INPUTS!$B$75)</f>
        <v>0</v>
      </c>
      <c r="I62" s="24"/>
      <c r="J62" s="42" t="n">
        <f aca="false">SUM(D62:H62)</f>
        <v>0</v>
      </c>
      <c r="K62" s="19" t="n">
        <f aca="false">IFERROR(J62/$J$65,0)</f>
        <v>0</v>
      </c>
    </row>
    <row r="63" customFormat="false" ht="15" hidden="false" customHeight="false" outlineLevel="0" collapsed="false">
      <c r="B63" s="24" t="s">
        <v>488</v>
      </c>
      <c r="F63" s="60" t="n">
        <f aca="false">'BID SUMMARY'!G8</f>
        <v>0</v>
      </c>
      <c r="J63" s="42" t="n">
        <f aca="false">F63</f>
        <v>0</v>
      </c>
      <c r="K63" s="19" t="n">
        <f aca="false">IFERROR(J63/$J$65,0)</f>
        <v>0</v>
      </c>
    </row>
    <row r="64" customFormat="false" ht="15" hidden="false" customHeight="false" outlineLevel="0" collapsed="false">
      <c r="B64" s="24" t="s">
        <v>169</v>
      </c>
      <c r="J64" s="71" t="n">
        <f aca="false">'BID SUMMARY'!J8</f>
        <v>0</v>
      </c>
      <c r="K64" s="19" t="n">
        <f aca="false">IFERROR(J64/$J$65,0)</f>
        <v>0</v>
      </c>
    </row>
    <row r="65" customFormat="false" ht="15" hidden="false" customHeight="false" outlineLevel="0" collapsed="false">
      <c r="B65" s="4" t="s">
        <v>489</v>
      </c>
      <c r="C65" s="21" t="n">
        <f aca="false">SUM(C54:C64)</f>
        <v>0</v>
      </c>
      <c r="D65" s="32" t="n">
        <f aca="false">SUM(D54:D64)</f>
        <v>0</v>
      </c>
      <c r="E65" s="32" t="n">
        <f aca="false">SUM(E54:E64)</f>
        <v>0</v>
      </c>
      <c r="F65" s="32" t="n">
        <f aca="false">SUM(F54:F64)</f>
        <v>0</v>
      </c>
      <c r="G65" s="32" t="n">
        <f aca="false">SUM(G54:G64)</f>
        <v>0</v>
      </c>
      <c r="H65" s="32" t="n">
        <f aca="false">SUM(H54:H64)</f>
        <v>0</v>
      </c>
      <c r="J65" s="52" t="n">
        <f aca="false">SUM(J54:J64)</f>
        <v>0</v>
      </c>
    </row>
    <row r="66" customFormat="false" ht="15" hidden="false" customHeight="false" outlineLevel="0" collapsed="false">
      <c r="B66" s="7" t="s">
        <v>490</v>
      </c>
      <c r="J66" s="47" t="n">
        <f aca="false">'BID SUMMARY'!O8</f>
        <v>0</v>
      </c>
    </row>
    <row r="67" customFormat="false" ht="15" hidden="false" customHeight="false" outlineLevel="0" collapsed="false">
      <c r="B67" s="4" t="s">
        <v>491</v>
      </c>
      <c r="J67" s="52" t="n">
        <f aca="false">J65+J66</f>
        <v>0</v>
      </c>
    </row>
    <row r="71" customFormat="false" ht="15" hidden="false" customHeight="false" outlineLevel="0" collapsed="false">
      <c r="B71" s="69" t="str">
        <f aca="false">UPPER(INPUTS!B36)&amp;" (AC)"</f>
        <v>AIR CONDITIONING (AC)</v>
      </c>
      <c r="C71" s="70"/>
      <c r="D71" s="70"/>
      <c r="E71" s="70"/>
      <c r="F71" s="70"/>
      <c r="G71" s="70"/>
      <c r="H71" s="70"/>
      <c r="I71" s="70"/>
      <c r="J71" s="70"/>
      <c r="K71" s="70"/>
    </row>
    <row r="72" customFormat="false" ht="30" hidden="false" customHeight="true" outlineLevel="0" collapsed="false">
      <c r="B72" s="17" t="s">
        <v>218</v>
      </c>
      <c r="C72" s="17" t="s">
        <v>178</v>
      </c>
      <c r="D72" s="17" t="s">
        <v>479</v>
      </c>
      <c r="E72" s="17" t="s">
        <v>229</v>
      </c>
      <c r="F72" s="17" t="s">
        <v>485</v>
      </c>
      <c r="G72" s="17" t="s">
        <v>438</v>
      </c>
      <c r="H72" s="17" t="s">
        <v>439</v>
      </c>
      <c r="I72" s="17"/>
      <c r="J72" s="17" t="s">
        <v>486</v>
      </c>
      <c r="K72" s="17" t="s">
        <v>487</v>
      </c>
    </row>
    <row r="73" customFormat="false" ht="15" hidden="false" customHeight="false" outlineLevel="0" collapsed="false">
      <c r="B73" s="59" t="str">
        <f aca="false">INPUTS!$B$67</f>
        <v>01 Shop Drawings, Permits &amp; Mobilization</v>
      </c>
      <c r="C73" s="13" t="n">
        <f aca="false">SUMIFS('PLUMBING EST'!$M$7:$M$156,'PLUMBING EST'!$B$7:$B$156,"AC",'PLUMBING EST'!$C$7:$C$156,INPUTS!$B$67)+SUMIFS('HVAC EST'!$M$7:$M$156,'HVAC EST'!$B$7:$B$156,"AC",'HVAC EST'!$C$7:$C$156,INPUTS!$B$67)</f>
        <v>0</v>
      </c>
      <c r="D73" s="28" t="n">
        <f aca="false">SUMIFS('PLUMBING EST'!$N$7:$N$156,'PLUMBING EST'!$B$7:$B$156,"AC",'PLUMBING EST'!$C$7:$C$156,INPUTS!$B$67)+SUMIFS('HVAC EST'!$N$7:$N$156,'HVAC EST'!$B$7:$B$156,"AC",'HVAC EST'!$C$7:$C$156,INPUTS!$B$67)</f>
        <v>0</v>
      </c>
      <c r="E73" s="28" t="n">
        <f aca="false">SUMIFS('PLUMBING EST'!$O$7:$O$156,'PLUMBING EST'!$B$7:$B$156,"AC",'PLUMBING EST'!$C$7:$C$156,INPUTS!$B$67)+SUMIFS('HVAC EST'!$O$7:$O$156,'HVAC EST'!$B$7:$B$156,"AC",'HVAC EST'!$C$7:$C$156,INPUTS!$B$67)</f>
        <v>0</v>
      </c>
      <c r="F73" s="28" t="n">
        <f aca="false">SUMIFS('PLUMBING EST'!$L$7:$L$156,'PLUMBING EST'!$B$7:$B$156,"AC",'PLUMBING EST'!$C$7:$C$156,INPUTS!$B$67)+SUMIFS('HVAC EST'!$L$7:$L$156,'HVAC EST'!$B$7:$B$156,"AC",'HVAC EST'!$C$7:$C$156,INPUTS!$B$67)</f>
        <v>0</v>
      </c>
      <c r="G73" s="28" t="n">
        <f aca="false">SUMIFS('SUBS &amp; GC'!$P$7:$P$28,'SUBS &amp; GC'!$D$7:$D$28,INPUTS!$B$67)</f>
        <v>0</v>
      </c>
      <c r="H73" s="28" t="n">
        <f aca="false">SUMIFS('SUBS &amp; GC'!$P$33:$P$60,'SUBS &amp; GC'!$D$33:$D$60,INPUTS!$B$67)</f>
        <v>0</v>
      </c>
      <c r="I73" s="24"/>
      <c r="J73" s="42" t="n">
        <f aca="false">SUM(D73:H73)</f>
        <v>0</v>
      </c>
      <c r="K73" s="19" t="n">
        <f aca="false">IFERROR(J73/$J$84,0)</f>
        <v>0</v>
      </c>
    </row>
    <row r="74" customFormat="false" ht="15" hidden="false" customHeight="false" outlineLevel="0" collapsed="false">
      <c r="B74" s="59" t="str">
        <f aca="false">INPUTS!$B$68</f>
        <v>02 Foundation &amp; Underground</v>
      </c>
      <c r="C74" s="13" t="n">
        <f aca="false">SUMIFS('PLUMBING EST'!$M$7:$M$156,'PLUMBING EST'!$B$7:$B$156,"AC",'PLUMBING EST'!$C$7:$C$156,INPUTS!$B$68)+SUMIFS('HVAC EST'!$M$7:$M$156,'HVAC EST'!$B$7:$B$156,"AC",'HVAC EST'!$C$7:$C$156,INPUTS!$B$68)</f>
        <v>0</v>
      </c>
      <c r="D74" s="28" t="n">
        <f aca="false">SUMIFS('PLUMBING EST'!$N$7:$N$156,'PLUMBING EST'!$B$7:$B$156,"AC",'PLUMBING EST'!$C$7:$C$156,INPUTS!$B$68)+SUMIFS('HVAC EST'!$N$7:$N$156,'HVAC EST'!$B$7:$B$156,"AC",'HVAC EST'!$C$7:$C$156,INPUTS!$B$68)</f>
        <v>0</v>
      </c>
      <c r="E74" s="28" t="n">
        <f aca="false">SUMIFS('PLUMBING EST'!$O$7:$O$156,'PLUMBING EST'!$B$7:$B$156,"AC",'PLUMBING EST'!$C$7:$C$156,INPUTS!$B$68)+SUMIFS('HVAC EST'!$O$7:$O$156,'HVAC EST'!$B$7:$B$156,"AC",'HVAC EST'!$C$7:$C$156,INPUTS!$B$68)</f>
        <v>0</v>
      </c>
      <c r="F74" s="28" t="n">
        <f aca="false">SUMIFS('PLUMBING EST'!$L$7:$L$156,'PLUMBING EST'!$B$7:$B$156,"AC",'PLUMBING EST'!$C$7:$C$156,INPUTS!$B$68)+SUMIFS('HVAC EST'!$L$7:$L$156,'HVAC EST'!$B$7:$B$156,"AC",'HVAC EST'!$C$7:$C$156,INPUTS!$B$68)</f>
        <v>0</v>
      </c>
      <c r="G74" s="28" t="n">
        <f aca="false">SUMIFS('SUBS &amp; GC'!$P$7:$P$28,'SUBS &amp; GC'!$D$7:$D$28,INPUTS!$B$68)</f>
        <v>0</v>
      </c>
      <c r="H74" s="28" t="n">
        <f aca="false">SUMIFS('SUBS &amp; GC'!$P$33:$P$60,'SUBS &amp; GC'!$D$33:$D$60,INPUTS!$B$68)</f>
        <v>0</v>
      </c>
      <c r="I74" s="24"/>
      <c r="J74" s="42" t="n">
        <f aca="false">SUM(D74:H74)</f>
        <v>0</v>
      </c>
      <c r="K74" s="19" t="n">
        <f aca="false">IFERROR(J74/$J$84,0)</f>
        <v>0</v>
      </c>
    </row>
    <row r="75" customFormat="false" ht="15" hidden="false" customHeight="false" outlineLevel="0" collapsed="false">
      <c r="B75" s="59" t="str">
        <f aca="false">INPUTS!$B$69</f>
        <v>03 Rough-in (Labour)</v>
      </c>
      <c r="C75" s="13" t="n">
        <f aca="false">SUMIFS('PLUMBING EST'!$M$7:$M$156,'PLUMBING EST'!$B$7:$B$156,"AC",'PLUMBING EST'!$C$7:$C$156,INPUTS!$B$69)+SUMIFS('HVAC EST'!$M$7:$M$156,'HVAC EST'!$B$7:$B$156,"AC",'HVAC EST'!$C$7:$C$156,INPUTS!$B$69)</f>
        <v>0</v>
      </c>
      <c r="D75" s="28" t="n">
        <f aca="false">SUMIFS('PLUMBING EST'!$N$7:$N$156,'PLUMBING EST'!$B$7:$B$156,"AC",'PLUMBING EST'!$C$7:$C$156,INPUTS!$B$69)+SUMIFS('HVAC EST'!$N$7:$N$156,'HVAC EST'!$B$7:$B$156,"AC",'HVAC EST'!$C$7:$C$156,INPUTS!$B$69)</f>
        <v>0</v>
      </c>
      <c r="E75" s="28" t="n">
        <f aca="false">SUMIFS('PLUMBING EST'!$O$7:$O$156,'PLUMBING EST'!$B$7:$B$156,"AC",'PLUMBING EST'!$C$7:$C$156,INPUTS!$B$69)+SUMIFS('HVAC EST'!$O$7:$O$156,'HVAC EST'!$B$7:$B$156,"AC",'HVAC EST'!$C$7:$C$156,INPUTS!$B$69)</f>
        <v>0</v>
      </c>
      <c r="F75" s="28" t="n">
        <f aca="false">0</f>
        <v>0</v>
      </c>
      <c r="G75" s="28" t="n">
        <f aca="false">SUMIFS('SUBS &amp; GC'!$P$7:$P$28,'SUBS &amp; GC'!$D$7:$D$28,INPUTS!$B$69)</f>
        <v>0</v>
      </c>
      <c r="H75" s="28" t="n">
        <f aca="false">SUMIFS('SUBS &amp; GC'!$P$33:$P$60,'SUBS &amp; GC'!$D$33:$D$60,INPUTS!$B$69)</f>
        <v>0</v>
      </c>
      <c r="I75" s="24"/>
      <c r="J75" s="42" t="n">
        <f aca="false">SUM(D75:H75)</f>
        <v>0</v>
      </c>
      <c r="K75" s="19" t="n">
        <f aca="false">IFERROR(J75/$J$84,0)</f>
        <v>0</v>
      </c>
    </row>
    <row r="76" customFormat="false" ht="15" hidden="false" customHeight="false" outlineLevel="0" collapsed="false">
      <c r="B76" s="59" t="str">
        <f aca="false">INPUTS!$B$70</f>
        <v>04 Finishing (Labour)</v>
      </c>
      <c r="C76" s="13" t="n">
        <f aca="false">SUMIFS('PLUMBING EST'!$M$7:$M$156,'PLUMBING EST'!$B$7:$B$156,"AC",'PLUMBING EST'!$C$7:$C$156,INPUTS!$B$70)+SUMIFS('HVAC EST'!$M$7:$M$156,'HVAC EST'!$B$7:$B$156,"AC",'HVAC EST'!$C$7:$C$156,INPUTS!$B$70)</f>
        <v>0</v>
      </c>
      <c r="D76" s="28" t="n">
        <f aca="false">SUMIFS('PLUMBING EST'!$N$7:$N$156,'PLUMBING EST'!$B$7:$B$156,"AC",'PLUMBING EST'!$C$7:$C$156,INPUTS!$B$70)+SUMIFS('HVAC EST'!$N$7:$N$156,'HVAC EST'!$B$7:$B$156,"AC",'HVAC EST'!$C$7:$C$156,INPUTS!$B$70)</f>
        <v>0</v>
      </c>
      <c r="E76" s="28" t="n">
        <f aca="false">SUMIFS('PLUMBING EST'!$O$7:$O$156,'PLUMBING EST'!$B$7:$B$156,"AC",'PLUMBING EST'!$C$7:$C$156,INPUTS!$B$70)+SUMIFS('HVAC EST'!$O$7:$O$156,'HVAC EST'!$B$7:$B$156,"AC",'HVAC EST'!$C$7:$C$156,INPUTS!$B$70)</f>
        <v>0</v>
      </c>
      <c r="F76" s="28" t="n">
        <f aca="false">0</f>
        <v>0</v>
      </c>
      <c r="G76" s="28" t="n">
        <f aca="false">SUMIFS('SUBS &amp; GC'!$P$7:$P$28,'SUBS &amp; GC'!$D$7:$D$28,INPUTS!$B$70)</f>
        <v>0</v>
      </c>
      <c r="H76" s="28" t="n">
        <f aca="false">SUMIFS('SUBS &amp; GC'!$P$33:$P$60,'SUBS &amp; GC'!$D$33:$D$60,INPUTS!$B$70)</f>
        <v>0</v>
      </c>
      <c r="I76" s="24"/>
      <c r="J76" s="42" t="n">
        <f aca="false">SUM(D76:H76)</f>
        <v>0</v>
      </c>
      <c r="K76" s="19" t="n">
        <f aca="false">IFERROR(J76/$J$84,0)</f>
        <v>0</v>
      </c>
    </row>
    <row r="77" customFormat="false" ht="15" hidden="false" customHeight="false" outlineLevel="0" collapsed="false">
      <c r="B77" s="59" t="str">
        <f aca="false">INPUTS!$B$71</f>
        <v>05 Material Supply</v>
      </c>
      <c r="C77" s="13" t="n">
        <f aca="false">SUMIFS('PLUMBING EST'!$M$7:$M$156,'PLUMBING EST'!$B$7:$B$156,"AC",'PLUMBING EST'!$C$7:$C$156,INPUTS!$B$71)+SUMIFS('HVAC EST'!$M$7:$M$156,'HVAC EST'!$B$7:$B$156,"AC",'HVAC EST'!$C$7:$C$156,INPUTS!$B$71)</f>
        <v>0</v>
      </c>
      <c r="D77" s="28" t="n">
        <f aca="false">SUMIFS('PLUMBING EST'!$N$7:$N$156,'PLUMBING EST'!$B$7:$B$156,"AC",'PLUMBING EST'!$C$7:$C$156,INPUTS!$B$71)+SUMIFS('HVAC EST'!$N$7:$N$156,'HVAC EST'!$B$7:$B$156,"AC",'HVAC EST'!$C$7:$C$156,INPUTS!$B$71)</f>
        <v>0</v>
      </c>
      <c r="E77" s="28" t="n">
        <f aca="false">SUMIFS('PLUMBING EST'!$O$7:$O$156,'PLUMBING EST'!$B$7:$B$156,"AC",'PLUMBING EST'!$C$7:$C$156,INPUTS!$B$71)+SUMIFS('HVAC EST'!$O$7:$O$156,'HVAC EST'!$B$7:$B$156,"AC",'HVAC EST'!$C$7:$C$156,INPUTS!$B$71)</f>
        <v>0</v>
      </c>
      <c r="F77" s="28" t="n">
        <f aca="false">SUMIFS('PLUMBING EST'!$L$7:$L$156,'PLUMBING EST'!$B$7:$B$156,"AC",'PLUMBING EST'!$C$7:$C$156,INPUTS!$B$71)+SUMIFS('HVAC EST'!$L$7:$L$156,'HVAC EST'!$B$7:$B$156,"AC",'HVAC EST'!$C$7:$C$156,INPUTS!$B$71)+SUMIFS('PLUMBING EST'!$L$7:$L$156,'PLUMBING EST'!$B$7:$B$156,"AC",'PLUMBING EST'!$C$7:$C$156,INPUTS!$B$69)+SUMIFS('HVAC EST'!$L$7:$L$156,'HVAC EST'!$B$7:$B$156,"AC",'HVAC EST'!$C$7:$C$156,INPUTS!$B$69)+SUMIFS('PLUMBING EST'!$L$7:$L$156,'PLUMBING EST'!$B$7:$B$156,"AC",'PLUMBING EST'!$C$7:$C$156,INPUTS!$B$70)+SUMIFS('HVAC EST'!$L$7:$L$156,'HVAC EST'!$B$7:$B$156,"AC",'HVAC EST'!$C$7:$C$156,INPUTS!$B$70)</f>
        <v>0</v>
      </c>
      <c r="G77" s="28" t="n">
        <f aca="false">SUMIFS('SUBS &amp; GC'!$P$7:$P$28,'SUBS &amp; GC'!$D$7:$D$28,INPUTS!$B$71)</f>
        <v>0</v>
      </c>
      <c r="H77" s="28" t="n">
        <f aca="false">SUMIFS('SUBS &amp; GC'!$P$33:$P$60,'SUBS &amp; GC'!$D$33:$D$60,INPUTS!$B$71)</f>
        <v>0</v>
      </c>
      <c r="I77" s="24"/>
      <c r="J77" s="42" t="n">
        <f aca="false">SUM(D77:H77)</f>
        <v>0</v>
      </c>
      <c r="K77" s="19" t="n">
        <f aca="false">IFERROR(J77/$J$84,0)</f>
        <v>0</v>
      </c>
    </row>
    <row r="78" customFormat="false" ht="15" hidden="false" customHeight="false" outlineLevel="0" collapsed="false">
      <c r="B78" s="59" t="str">
        <f aca="false">INPUTS!$B$72</f>
        <v>06 Fixtures &amp; Equipment Supply</v>
      </c>
      <c r="C78" s="13" t="n">
        <f aca="false">SUMIFS('PLUMBING EST'!$M$7:$M$156,'PLUMBING EST'!$B$7:$B$156,"AC",'PLUMBING EST'!$C$7:$C$156,INPUTS!$B$72)+SUMIFS('HVAC EST'!$M$7:$M$156,'HVAC EST'!$B$7:$B$156,"AC",'HVAC EST'!$C$7:$C$156,INPUTS!$B$72)</f>
        <v>0</v>
      </c>
      <c r="D78" s="28" t="n">
        <f aca="false">SUMIFS('PLUMBING EST'!$N$7:$N$156,'PLUMBING EST'!$B$7:$B$156,"AC",'PLUMBING EST'!$C$7:$C$156,INPUTS!$B$72)+SUMIFS('HVAC EST'!$N$7:$N$156,'HVAC EST'!$B$7:$B$156,"AC",'HVAC EST'!$C$7:$C$156,INPUTS!$B$72)</f>
        <v>0</v>
      </c>
      <c r="E78" s="28" t="n">
        <f aca="false">SUMIFS('PLUMBING EST'!$O$7:$O$156,'PLUMBING EST'!$B$7:$B$156,"AC",'PLUMBING EST'!$C$7:$C$156,INPUTS!$B$72)+SUMIFS('HVAC EST'!$O$7:$O$156,'HVAC EST'!$B$7:$B$156,"AC",'HVAC EST'!$C$7:$C$156,INPUTS!$B$72)</f>
        <v>0</v>
      </c>
      <c r="F78" s="28" t="n">
        <f aca="false">SUMIFS('PLUMBING EST'!$L$7:$L$156,'PLUMBING EST'!$B$7:$B$156,"AC",'PLUMBING EST'!$C$7:$C$156,INPUTS!$B$72)+SUMIFS('HVAC EST'!$L$7:$L$156,'HVAC EST'!$B$7:$B$156,"AC",'HVAC EST'!$C$7:$C$156,INPUTS!$B$72)</f>
        <v>0</v>
      </c>
      <c r="G78" s="28" t="n">
        <f aca="false">SUMIFS('SUBS &amp; GC'!$P$7:$P$28,'SUBS &amp; GC'!$D$7:$D$28,INPUTS!$B$72)</f>
        <v>0</v>
      </c>
      <c r="H78" s="28" t="n">
        <f aca="false">SUMIFS('SUBS &amp; GC'!$P$33:$P$60,'SUBS &amp; GC'!$D$33:$D$60,INPUTS!$B$72)</f>
        <v>0</v>
      </c>
      <c r="I78" s="24"/>
      <c r="J78" s="42" t="n">
        <f aca="false">SUM(D78:H78)</f>
        <v>0</v>
      </c>
      <c r="K78" s="19" t="n">
        <f aca="false">IFERROR(J78/$J$84,0)</f>
        <v>0</v>
      </c>
    </row>
    <row r="79" customFormat="false" ht="15" hidden="false" customHeight="false" outlineLevel="0" collapsed="false">
      <c r="B79" s="59" t="str">
        <f aca="false">INPUTS!$B$73</f>
        <v>07 Testing, TAB &amp; Commissioning</v>
      </c>
      <c r="C79" s="13" t="n">
        <f aca="false">SUMIFS('PLUMBING EST'!$M$7:$M$156,'PLUMBING EST'!$B$7:$B$156,"AC",'PLUMBING EST'!$C$7:$C$156,INPUTS!$B$73)+SUMIFS('HVAC EST'!$M$7:$M$156,'HVAC EST'!$B$7:$B$156,"AC",'HVAC EST'!$C$7:$C$156,INPUTS!$B$73)</f>
        <v>0</v>
      </c>
      <c r="D79" s="28" t="n">
        <f aca="false">SUMIFS('PLUMBING EST'!$N$7:$N$156,'PLUMBING EST'!$B$7:$B$156,"AC",'PLUMBING EST'!$C$7:$C$156,INPUTS!$B$73)+SUMIFS('HVAC EST'!$N$7:$N$156,'HVAC EST'!$B$7:$B$156,"AC",'HVAC EST'!$C$7:$C$156,INPUTS!$B$73)</f>
        <v>0</v>
      </c>
      <c r="E79" s="28" t="n">
        <f aca="false">SUMIFS('PLUMBING EST'!$O$7:$O$156,'PLUMBING EST'!$B$7:$B$156,"AC",'PLUMBING EST'!$C$7:$C$156,INPUTS!$B$73)+SUMIFS('HVAC EST'!$O$7:$O$156,'HVAC EST'!$B$7:$B$156,"AC",'HVAC EST'!$C$7:$C$156,INPUTS!$B$73)</f>
        <v>0</v>
      </c>
      <c r="F79" s="28" t="n">
        <f aca="false">SUMIFS('PLUMBING EST'!$L$7:$L$156,'PLUMBING EST'!$B$7:$B$156,"AC",'PLUMBING EST'!$C$7:$C$156,INPUTS!$B$73)+SUMIFS('HVAC EST'!$L$7:$L$156,'HVAC EST'!$B$7:$B$156,"AC",'HVAC EST'!$C$7:$C$156,INPUTS!$B$73)</f>
        <v>0</v>
      </c>
      <c r="G79" s="28" t="n">
        <f aca="false">SUMIFS('SUBS &amp; GC'!$P$7:$P$28,'SUBS &amp; GC'!$D$7:$D$28,INPUTS!$B$73)</f>
        <v>0</v>
      </c>
      <c r="H79" s="28" t="n">
        <f aca="false">SUMIFS('SUBS &amp; GC'!$P$33:$P$60,'SUBS &amp; GC'!$D$33:$D$60,INPUTS!$B$73)</f>
        <v>0</v>
      </c>
      <c r="I79" s="24"/>
      <c r="J79" s="42" t="n">
        <f aca="false">SUM(D79:H79)</f>
        <v>0</v>
      </c>
      <c r="K79" s="19" t="n">
        <f aca="false">IFERROR(J79/$J$84,0)</f>
        <v>0</v>
      </c>
    </row>
    <row r="80" customFormat="false" ht="15" hidden="false" customHeight="false" outlineLevel="0" collapsed="false">
      <c r="B80" s="59" t="str">
        <f aca="false">INPUTS!$B$74</f>
        <v>08 Completion &amp; Final Documents</v>
      </c>
      <c r="C80" s="13" t="n">
        <f aca="false">SUMIFS('PLUMBING EST'!$M$7:$M$156,'PLUMBING EST'!$B$7:$B$156,"AC",'PLUMBING EST'!$C$7:$C$156,INPUTS!$B$74)+SUMIFS('HVAC EST'!$M$7:$M$156,'HVAC EST'!$B$7:$B$156,"AC",'HVAC EST'!$C$7:$C$156,INPUTS!$B$74)</f>
        <v>0</v>
      </c>
      <c r="D80" s="28" t="n">
        <f aca="false">SUMIFS('PLUMBING EST'!$N$7:$N$156,'PLUMBING EST'!$B$7:$B$156,"AC",'PLUMBING EST'!$C$7:$C$156,INPUTS!$B$74)+SUMIFS('HVAC EST'!$N$7:$N$156,'HVAC EST'!$B$7:$B$156,"AC",'HVAC EST'!$C$7:$C$156,INPUTS!$B$74)</f>
        <v>0</v>
      </c>
      <c r="E80" s="28" t="n">
        <f aca="false">SUMIFS('PLUMBING EST'!$O$7:$O$156,'PLUMBING EST'!$B$7:$B$156,"AC",'PLUMBING EST'!$C$7:$C$156,INPUTS!$B$74)+SUMIFS('HVAC EST'!$O$7:$O$156,'HVAC EST'!$B$7:$B$156,"AC",'HVAC EST'!$C$7:$C$156,INPUTS!$B$74)</f>
        <v>0</v>
      </c>
      <c r="F80" s="28" t="n">
        <f aca="false">SUMIFS('PLUMBING EST'!$L$7:$L$156,'PLUMBING EST'!$B$7:$B$156,"AC",'PLUMBING EST'!$C$7:$C$156,INPUTS!$B$74)+SUMIFS('HVAC EST'!$L$7:$L$156,'HVAC EST'!$B$7:$B$156,"AC",'HVAC EST'!$C$7:$C$156,INPUTS!$B$74)</f>
        <v>0</v>
      </c>
      <c r="G80" s="28" t="n">
        <f aca="false">SUMIFS('SUBS &amp; GC'!$P$7:$P$28,'SUBS &amp; GC'!$D$7:$D$28,INPUTS!$B$74)</f>
        <v>0</v>
      </c>
      <c r="H80" s="28" t="n">
        <f aca="false">SUMIFS('SUBS &amp; GC'!$P$33:$P$60,'SUBS &amp; GC'!$D$33:$D$60,INPUTS!$B$74)</f>
        <v>0</v>
      </c>
      <c r="I80" s="24"/>
      <c r="J80" s="42" t="n">
        <f aca="false">SUM(D80:H80)</f>
        <v>0</v>
      </c>
      <c r="K80" s="19" t="n">
        <f aca="false">IFERROR(J80/$J$84,0)</f>
        <v>0</v>
      </c>
    </row>
    <row r="81" customFormat="false" ht="15" hidden="false" customHeight="false" outlineLevel="0" collapsed="false">
      <c r="B81" s="59" t="str">
        <f aca="false">INPUTS!$B$75</f>
        <v>09 Office, Supervision &amp; General</v>
      </c>
      <c r="C81" s="13" t="n">
        <f aca="false">SUMIFS('PLUMBING EST'!$M$7:$M$156,'PLUMBING EST'!$B$7:$B$156,"AC",'PLUMBING EST'!$C$7:$C$156,INPUTS!$B$75)+SUMIFS('HVAC EST'!$M$7:$M$156,'HVAC EST'!$B$7:$B$156,"AC",'HVAC EST'!$C$7:$C$156,INPUTS!$B$75)</f>
        <v>0</v>
      </c>
      <c r="D81" s="28" t="n">
        <f aca="false">SUMIFS('PLUMBING EST'!$N$7:$N$156,'PLUMBING EST'!$B$7:$B$156,"AC",'PLUMBING EST'!$C$7:$C$156,INPUTS!$B$75)+SUMIFS('HVAC EST'!$N$7:$N$156,'HVAC EST'!$B$7:$B$156,"AC",'HVAC EST'!$C$7:$C$156,INPUTS!$B$75)</f>
        <v>0</v>
      </c>
      <c r="E81" s="28" t="n">
        <f aca="false">SUMIFS('PLUMBING EST'!$O$7:$O$156,'PLUMBING EST'!$B$7:$B$156,"AC",'PLUMBING EST'!$C$7:$C$156,INPUTS!$B$75)+SUMIFS('HVAC EST'!$O$7:$O$156,'HVAC EST'!$B$7:$B$156,"AC",'HVAC EST'!$C$7:$C$156,INPUTS!$B$75)</f>
        <v>0</v>
      </c>
      <c r="F81" s="28" t="n">
        <f aca="false">SUMIFS('PLUMBING EST'!$L$7:$L$156,'PLUMBING EST'!$B$7:$B$156,"AC",'PLUMBING EST'!$C$7:$C$156,INPUTS!$B$75)+SUMIFS('HVAC EST'!$L$7:$L$156,'HVAC EST'!$B$7:$B$156,"AC",'HVAC EST'!$C$7:$C$156,INPUTS!$B$75)</f>
        <v>0</v>
      </c>
      <c r="G81" s="28" t="n">
        <f aca="false">SUMIFS('SUBS &amp; GC'!$P$7:$P$28,'SUBS &amp; GC'!$D$7:$D$28,INPUTS!$B$75)</f>
        <v>0</v>
      </c>
      <c r="H81" s="28" t="n">
        <f aca="false">SUMIFS('SUBS &amp; GC'!$P$33:$P$60,'SUBS &amp; GC'!$D$33:$D$60,INPUTS!$B$75)</f>
        <v>0</v>
      </c>
      <c r="I81" s="24"/>
      <c r="J81" s="42" t="n">
        <f aca="false">SUM(D81:H81)</f>
        <v>0</v>
      </c>
      <c r="K81" s="19" t="n">
        <f aca="false">IFERROR(J81/$J$84,0)</f>
        <v>0</v>
      </c>
    </row>
    <row r="82" customFormat="false" ht="15" hidden="false" customHeight="false" outlineLevel="0" collapsed="false">
      <c r="B82" s="24" t="s">
        <v>488</v>
      </c>
      <c r="F82" s="60" t="n">
        <f aca="false">'BID SUMMARY'!G9</f>
        <v>0</v>
      </c>
      <c r="J82" s="42" t="n">
        <f aca="false">F82</f>
        <v>0</v>
      </c>
      <c r="K82" s="19" t="n">
        <f aca="false">IFERROR(J82/$J$84,0)</f>
        <v>0</v>
      </c>
    </row>
    <row r="83" customFormat="false" ht="15" hidden="false" customHeight="false" outlineLevel="0" collapsed="false">
      <c r="B83" s="24" t="s">
        <v>169</v>
      </c>
      <c r="J83" s="71" t="n">
        <f aca="false">'BID SUMMARY'!J9</f>
        <v>0</v>
      </c>
      <c r="K83" s="19" t="n">
        <f aca="false">IFERROR(J83/$J$84,0)</f>
        <v>0</v>
      </c>
    </row>
    <row r="84" customFormat="false" ht="15" hidden="false" customHeight="false" outlineLevel="0" collapsed="false">
      <c r="B84" s="4" t="s">
        <v>489</v>
      </c>
      <c r="C84" s="21" t="n">
        <f aca="false">SUM(C73:C83)</f>
        <v>0</v>
      </c>
      <c r="D84" s="32" t="n">
        <f aca="false">SUM(D73:D83)</f>
        <v>0</v>
      </c>
      <c r="E84" s="32" t="n">
        <f aca="false">SUM(E73:E83)</f>
        <v>0</v>
      </c>
      <c r="F84" s="32" t="n">
        <f aca="false">SUM(F73:F83)</f>
        <v>0</v>
      </c>
      <c r="G84" s="32" t="n">
        <f aca="false">SUM(G73:G83)</f>
        <v>0</v>
      </c>
      <c r="H84" s="32" t="n">
        <f aca="false">SUM(H73:H83)</f>
        <v>0</v>
      </c>
      <c r="J84" s="52" t="n">
        <f aca="false">SUM(J73:J83)</f>
        <v>0</v>
      </c>
    </row>
    <row r="85" customFormat="false" ht="15" hidden="false" customHeight="false" outlineLevel="0" collapsed="false">
      <c r="B85" s="7" t="s">
        <v>490</v>
      </c>
      <c r="J85" s="47" t="n">
        <f aca="false">'BID SUMMARY'!O9</f>
        <v>0</v>
      </c>
    </row>
    <row r="86" customFormat="false" ht="15" hidden="false" customHeight="false" outlineLevel="0" collapsed="false">
      <c r="B86" s="4" t="s">
        <v>491</v>
      </c>
      <c r="J86" s="52" t="n">
        <f aca="false">J84+J85</f>
        <v>0</v>
      </c>
    </row>
  </sheetData>
  <conditionalFormatting sqref="K1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2"/>
    <col collapsed="false" customWidth="true" hidden="false" outlineLevel="0" max="13" min="10" style="0" width="14"/>
    <col collapsed="false" customWidth="true" hidden="false" outlineLevel="0" max="14" min="14" style="0" width="10"/>
    <col collapsed="false" customWidth="true" hidden="false" outlineLevel="0" max="15" min="15" style="0" width="2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492</v>
      </c>
    </row>
    <row r="2" customFormat="false" ht="15" hidden="false" customHeight="false" outlineLevel="0" collapsed="false">
      <c r="A2" s="9" t="str">
        <f aca="false">IF(INPUTS!C4="","",INPUTS!C4)&amp;"   "&amp;INPUTS!C11&amp;", "&amp;INPUTS!C12&amp;"   GC: "&amp;INPUTS!C8</f>
        <v>   2650 East 41st Ave, Vancouver   GC: </v>
      </c>
    </row>
    <row r="4" customFormat="false" ht="15" hidden="false" customHeight="false" outlineLevel="0" collapsed="false">
      <c r="B4" s="4" t="s">
        <v>493</v>
      </c>
      <c r="C4" s="72" t="n">
        <f aca="false">'BID SUMMARY'!N10</f>
        <v>488800</v>
      </c>
    </row>
    <row r="5" customFormat="false" ht="15" hidden="false" customHeight="false" outlineLevel="0" collapsed="false">
      <c r="B5" s="4" t="s">
        <v>494</v>
      </c>
      <c r="C5" s="65" t="n">
        <f aca="false">C325</f>
        <v>488800</v>
      </c>
      <c r="D5" s="23" t="str">
        <f aca="false">IF(ABS(C5-C4)&lt;1,"OK","CHECK")</f>
        <v>OK</v>
      </c>
    </row>
    <row r="6" customFormat="false" ht="15" hidden="false" customHeight="false" outlineLevel="0" collapsed="false">
      <c r="B6" s="2" t="s">
        <v>495</v>
      </c>
    </row>
    <row r="7" customFormat="false" ht="15" hidden="false" customHeight="false" outlineLevel="0" collapsed="false">
      <c r="J7" s="4" t="s">
        <v>496</v>
      </c>
    </row>
    <row r="8" customFormat="false" ht="30" hidden="false" customHeight="true" outlineLevel="0" collapsed="false">
      <c r="A8" s="17" t="s">
        <v>497</v>
      </c>
      <c r="B8" s="17" t="s">
        <v>498</v>
      </c>
      <c r="C8" s="17" t="s">
        <v>499</v>
      </c>
      <c r="D8" s="17" t="s">
        <v>455</v>
      </c>
      <c r="E8" s="17" t="s">
        <v>500</v>
      </c>
      <c r="F8" s="17" t="s">
        <v>501</v>
      </c>
      <c r="G8" s="17" t="s">
        <v>502</v>
      </c>
      <c r="H8" s="17" t="s">
        <v>503</v>
      </c>
      <c r="I8" s="17"/>
      <c r="J8" s="17" t="s">
        <v>485</v>
      </c>
      <c r="K8" s="17" t="s">
        <v>479</v>
      </c>
      <c r="L8" s="17" t="s">
        <v>438</v>
      </c>
      <c r="M8" s="17" t="s">
        <v>504</v>
      </c>
      <c r="N8" s="17" t="s">
        <v>178</v>
      </c>
      <c r="O8" s="17"/>
      <c r="P8" s="17" t="s">
        <v>505</v>
      </c>
    </row>
    <row r="9" customFormat="false" ht="15" hidden="false" customHeight="false" outlineLevel="0" collapsed="false">
      <c r="A9" s="73" t="s">
        <v>95</v>
      </c>
      <c r="B9" s="73" t="str">
        <f aca="false">UPPER(INPUTS!B33)</f>
        <v>PLUMBING</v>
      </c>
      <c r="C9" s="74" t="n">
        <f aca="false">SUM(C10:C86)</f>
        <v>488800</v>
      </c>
      <c r="D9" s="75" t="n">
        <f aca="false">IFERROR(C9/$C$4,0)</f>
        <v>1</v>
      </c>
      <c r="E9" s="74" t="n">
        <f aca="false">SUM(E10:E86)</f>
        <v>0</v>
      </c>
      <c r="G9" s="74" t="n">
        <f aca="false">SUM(G10:G86)</f>
        <v>488800</v>
      </c>
      <c r="H9" s="74" t="n">
        <f aca="false">SUM(H10:H86)</f>
        <v>0</v>
      </c>
      <c r="J9" s="74" t="n">
        <f aca="false">SUM(J10:J86)</f>
        <v>107393.76</v>
      </c>
      <c r="K9" s="74" t="n">
        <f aca="false">SUM(K10:K86)</f>
        <v>95563.62</v>
      </c>
      <c r="L9" s="74" t="n">
        <f aca="false">SUM(L10:L86)</f>
        <v>0</v>
      </c>
      <c r="M9" s="74" t="n">
        <f aca="false">SUM(M10:M86)</f>
        <v>180000</v>
      </c>
      <c r="N9" s="76" t="n">
        <f aca="false">SUM(N10:N86)</f>
        <v>1476</v>
      </c>
      <c r="P9" s="77" t="n">
        <f aca="false">IFERROR('BID SUMMARY'!N6/(BUDGET!$J$16+BUDGET!$J$17+BUDGET!$J$18+BUDGET!$J$19+BUDGET!$J$20+BUDGET!$J$21+BUDGET!$J$22+BUDGET!$J$23+BUDGET!$J$24),0)</f>
        <v>1.18260843645955</v>
      </c>
    </row>
    <row r="10" customFormat="false" ht="15" hidden="false" customHeight="false" outlineLevel="0" collapsed="false">
      <c r="A10" s="24" t="s">
        <v>506</v>
      </c>
      <c r="B10" s="24" t="str">
        <f aca="false">"P - "&amp;MID(INPUTS!$B$67,4,80)</f>
        <v>P - Shop Drawings, Permits &amp; Mobilization</v>
      </c>
      <c r="C10" s="28" t="n">
        <f aca="false">(BUDGET!$J$16-BUDGET!$G$16)*$P$9</f>
        <v>0</v>
      </c>
      <c r="D10" s="19" t="n">
        <f aca="false">IFERROR(C10/$C$4,0)</f>
        <v>0</v>
      </c>
      <c r="E10" s="49"/>
      <c r="F10" s="19" t="n">
        <f aca="false">IFERROR(E10/C10,0)</f>
        <v>0</v>
      </c>
      <c r="G10" s="28" t="n">
        <f aca="false">C10-E10</f>
        <v>0</v>
      </c>
      <c r="H10" s="28" t="n">
        <f aca="false">E10*INPUTS!$C$29</f>
        <v>0</v>
      </c>
      <c r="J10" s="28" t="n">
        <f aca="false">BUDGET!$F$16</f>
        <v>0</v>
      </c>
      <c r="K10" s="28" t="n">
        <f aca="false">BUDGET!$D$16</f>
        <v>0</v>
      </c>
      <c r="L10" s="24"/>
      <c r="M10" s="28" t="n">
        <f aca="false">BUDGET!$H$16</f>
        <v>0</v>
      </c>
      <c r="N10" s="13" t="n">
        <f aca="false">BUDGET!$C$16</f>
        <v>0</v>
      </c>
    </row>
    <row r="11" customFormat="false" ht="15" hidden="false" customHeight="false" outlineLevel="0" collapsed="false">
      <c r="A11" s="24" t="s">
        <v>115</v>
      </c>
      <c r="B11" s="24" t="str">
        <f aca="false">"P - "&amp;MID(INPUTS!$B$68,4,80)</f>
        <v>P - Foundation &amp; Underground</v>
      </c>
      <c r="C11" s="28" t="n">
        <f aca="false">(BUDGET!$J$17-BUDGET!$G$17)*$P$9</f>
        <v>0</v>
      </c>
      <c r="D11" s="19" t="n">
        <f aca="false">IFERROR(C11/$C$4,0)</f>
        <v>0</v>
      </c>
      <c r="E11" s="49"/>
      <c r="F11" s="19" t="n">
        <f aca="false">IFERROR(E11/C11,0)</f>
        <v>0</v>
      </c>
      <c r="G11" s="28" t="n">
        <f aca="false">C11-E11</f>
        <v>0</v>
      </c>
      <c r="H11" s="28" t="n">
        <f aca="false">E11*INPUTS!$C$29</f>
        <v>0</v>
      </c>
      <c r="J11" s="28" t="n">
        <f aca="false">BUDGET!$F$17</f>
        <v>0</v>
      </c>
      <c r="K11" s="28" t="n">
        <f aca="false">BUDGET!$D$17</f>
        <v>0</v>
      </c>
      <c r="L11" s="24"/>
      <c r="M11" s="28" t="n">
        <f aca="false">BUDGET!$H$17</f>
        <v>0</v>
      </c>
      <c r="N11" s="13" t="n">
        <f aca="false">BUDGET!$C$17</f>
        <v>0</v>
      </c>
    </row>
    <row r="12" customFormat="false" ht="15" hidden="false" customHeight="false" outlineLevel="0" collapsed="false">
      <c r="A12" s="24" t="s">
        <v>507</v>
      </c>
      <c r="B12" s="24" t="str">
        <f aca="false">IF(INPUTS!$B$40="","","P - "&amp;INPUTS!$B$40&amp;" "&amp;INPUTS!$B$33&amp;" Rough-in (Labour)")</f>
        <v>P - U/G Plumbing Rough-in (Labour)</v>
      </c>
      <c r="C12" s="28" t="n">
        <f aca="false">(BUDGET!$J$18-BUDGET!$G$18)*INPUTS!$E$40*$P$9</f>
        <v>0</v>
      </c>
      <c r="D12" s="19" t="n">
        <f aca="false">IFERROR(C12/$C$4,0)</f>
        <v>0</v>
      </c>
      <c r="E12" s="49"/>
      <c r="F12" s="19" t="n">
        <f aca="false">IFERROR(E12/C12,0)</f>
        <v>0</v>
      </c>
      <c r="G12" s="28" t="n">
        <f aca="false">C12-E12</f>
        <v>0</v>
      </c>
      <c r="H12" s="28" t="n">
        <f aca="false">E12*INPUTS!$C$29</f>
        <v>0</v>
      </c>
      <c r="J12" s="24"/>
      <c r="K12" s="28" t="n">
        <f aca="false">BUDGET!$D$18*INPUTS!$E$40</f>
        <v>0</v>
      </c>
      <c r="L12" s="24"/>
      <c r="M12" s="28" t="n">
        <f aca="false">BUDGET!$H$18*INPUTS!$E$40</f>
        <v>0</v>
      </c>
      <c r="N12" s="13" t="n">
        <f aca="false">BUDGET!$C$18*INPUTS!$E$40</f>
        <v>0</v>
      </c>
    </row>
    <row r="13" customFormat="false" ht="15" hidden="false" customHeight="false" outlineLevel="0" collapsed="false">
      <c r="A13" s="24" t="s">
        <v>508</v>
      </c>
      <c r="B13" s="24" t="str">
        <f aca="false">IF(INPUTS!$B$41="","","P - "&amp;INPUTS!$B$41&amp;" "&amp;INPUTS!$B$33&amp;" Rough-in (Labour)")</f>
        <v>P - P-02 Plumbing Rough-in (Labour)</v>
      </c>
      <c r="C13" s="28" t="n">
        <f aca="false">(BUDGET!$J$18-BUDGET!$G$18)*INPUTS!$E$41*$P$9</f>
        <v>0</v>
      </c>
      <c r="D13" s="19" t="n">
        <f aca="false">IFERROR(C13/$C$4,0)</f>
        <v>0</v>
      </c>
      <c r="E13" s="49"/>
      <c r="F13" s="19" t="n">
        <f aca="false">IFERROR(E13/C13,0)</f>
        <v>0</v>
      </c>
      <c r="G13" s="28" t="n">
        <f aca="false">C13-E13</f>
        <v>0</v>
      </c>
      <c r="H13" s="28" t="n">
        <f aca="false">E13*INPUTS!$C$29</f>
        <v>0</v>
      </c>
      <c r="J13" s="24"/>
      <c r="K13" s="28" t="n">
        <f aca="false">BUDGET!$D$18*INPUTS!$E$41</f>
        <v>0</v>
      </c>
      <c r="L13" s="24"/>
      <c r="M13" s="28" t="n">
        <f aca="false">BUDGET!$H$18*INPUTS!$E$41</f>
        <v>0</v>
      </c>
      <c r="N13" s="13" t="n">
        <f aca="false">BUDGET!$C$18*INPUTS!$E$41</f>
        <v>0</v>
      </c>
    </row>
    <row r="14" customFormat="false" ht="15" hidden="false" customHeight="false" outlineLevel="0" collapsed="false">
      <c r="A14" s="24" t="s">
        <v>509</v>
      </c>
      <c r="B14" s="24" t="str">
        <f aca="false">IF(INPUTS!$B$42="","","P - "&amp;INPUTS!$B$42&amp;" "&amp;INPUTS!$B$33&amp;" Rough-in (Labour)")</f>
        <v>P - PRKG Plumbing Rough-in (Labour)</v>
      </c>
      <c r="C14" s="28" t="n">
        <f aca="false">(BUDGET!$J$18-BUDGET!$G$18)*INPUTS!$E$42*$P$9</f>
        <v>0</v>
      </c>
      <c r="D14" s="19" t="n">
        <f aca="false">IFERROR(C14/$C$4,0)</f>
        <v>0</v>
      </c>
      <c r="E14" s="49"/>
      <c r="F14" s="19" t="n">
        <f aca="false">IFERROR(E14/C14,0)</f>
        <v>0</v>
      </c>
      <c r="G14" s="28" t="n">
        <f aca="false">C14-E14</f>
        <v>0</v>
      </c>
      <c r="H14" s="28" t="n">
        <f aca="false">E14*INPUTS!$C$29</f>
        <v>0</v>
      </c>
      <c r="J14" s="24"/>
      <c r="K14" s="28" t="n">
        <f aca="false">BUDGET!$D$18*INPUTS!$E$42</f>
        <v>0</v>
      </c>
      <c r="L14" s="24"/>
      <c r="M14" s="28" t="n">
        <f aca="false">BUDGET!$H$18*INPUTS!$E$42</f>
        <v>0</v>
      </c>
      <c r="N14" s="13" t="n">
        <f aca="false">BUDGET!$C$18*INPUTS!$E$42</f>
        <v>0</v>
      </c>
    </row>
    <row r="15" customFormat="false" ht="15" hidden="false" customHeight="false" outlineLevel="0" collapsed="false">
      <c r="A15" s="24" t="s">
        <v>510</v>
      </c>
      <c r="B15" s="24" t="str">
        <f aca="false">IF(INPUTS!$B$43="","","P - "&amp;INPUTS!$B$43&amp;" "&amp;INPUTS!$B$33&amp;" Rough-in (Labour)")</f>
        <v>P - L-01 Plumbing Rough-in (Labour)</v>
      </c>
      <c r="C15" s="28" t="n">
        <f aca="false">(BUDGET!$J$18-BUDGET!$G$18)*INPUTS!$E$43*$P$9</f>
        <v>29544.5862203568</v>
      </c>
      <c r="D15" s="19" t="n">
        <f aca="false">IFERROR(C15/$C$4,0)</f>
        <v>0.0604430978321539</v>
      </c>
      <c r="E15" s="49"/>
      <c r="F15" s="19" t="n">
        <f aca="false">IFERROR(E15/C15,0)</f>
        <v>0</v>
      </c>
      <c r="G15" s="28" t="n">
        <f aca="false">C15-E15</f>
        <v>29544.5862203568</v>
      </c>
      <c r="H15" s="28" t="n">
        <f aca="false">E15*INPUTS!$C$29</f>
        <v>0</v>
      </c>
      <c r="J15" s="24"/>
      <c r="K15" s="28" t="n">
        <f aca="false">BUDGET!$D$18*INPUTS!$E$43</f>
        <v>18646.56</v>
      </c>
      <c r="L15" s="24"/>
      <c r="M15" s="28" t="n">
        <f aca="false">BUDGET!$H$18*INPUTS!$E$43</f>
        <v>0</v>
      </c>
      <c r="N15" s="13" t="n">
        <f aca="false">BUDGET!$C$18*INPUTS!$E$43</f>
        <v>288</v>
      </c>
    </row>
    <row r="16" customFormat="false" ht="15" hidden="false" customHeight="false" outlineLevel="0" collapsed="false">
      <c r="A16" s="24" t="s">
        <v>511</v>
      </c>
      <c r="B16" s="24" t="str">
        <f aca="false">IF(INPUTS!$B$44="","","P - "&amp;INPUTS!$B$44&amp;" "&amp;INPUTS!$B$33&amp;" Rough-in (Labour)")</f>
        <v>P - L-02 Plumbing Rough-in (Labour)</v>
      </c>
      <c r="C16" s="28" t="n">
        <f aca="false">(BUDGET!$J$18-BUDGET!$G$18)*INPUTS!$E$44*$P$9</f>
        <v>30775.610646205</v>
      </c>
      <c r="D16" s="19" t="n">
        <f aca="false">IFERROR(C16/$C$4,0)</f>
        <v>0.062961560241827</v>
      </c>
      <c r="E16" s="49"/>
      <c r="F16" s="19" t="n">
        <f aca="false">IFERROR(E16/C16,0)</f>
        <v>0</v>
      </c>
      <c r="G16" s="28" t="n">
        <f aca="false">C16-E16</f>
        <v>30775.610646205</v>
      </c>
      <c r="H16" s="28" t="n">
        <f aca="false">E16*INPUTS!$C$29</f>
        <v>0</v>
      </c>
      <c r="J16" s="24"/>
      <c r="K16" s="28" t="n">
        <f aca="false">BUDGET!$D$18*INPUTS!$E$44</f>
        <v>19423.5</v>
      </c>
      <c r="L16" s="24"/>
      <c r="M16" s="28" t="n">
        <f aca="false">BUDGET!$H$18*INPUTS!$E$44</f>
        <v>0</v>
      </c>
      <c r="N16" s="13" t="n">
        <f aca="false">BUDGET!$C$18*INPUTS!$E$44</f>
        <v>300</v>
      </c>
    </row>
    <row r="17" customFormat="false" ht="15" hidden="false" customHeight="false" outlineLevel="0" collapsed="false">
      <c r="A17" s="24" t="s">
        <v>512</v>
      </c>
      <c r="B17" s="24" t="str">
        <f aca="false">IF(INPUTS!$B$45="","","P - "&amp;INPUTS!$B$45&amp;" "&amp;INPUTS!$B$33&amp;" Rough-in (Labour)")</f>
        <v>P - L-03 Plumbing Rough-in (Labour)</v>
      </c>
      <c r="C17" s="28" t="n">
        <f aca="false">(BUDGET!$J$18-BUDGET!$G$18)*INPUTS!$E$45*$P$9</f>
        <v>30775.610646205</v>
      </c>
      <c r="D17" s="19" t="n">
        <f aca="false">IFERROR(C17/$C$4,0)</f>
        <v>0.062961560241827</v>
      </c>
      <c r="E17" s="49"/>
      <c r="F17" s="19" t="n">
        <f aca="false">IFERROR(E17/C17,0)</f>
        <v>0</v>
      </c>
      <c r="G17" s="28" t="n">
        <f aca="false">C17-E17</f>
        <v>30775.610646205</v>
      </c>
      <c r="H17" s="28" t="n">
        <f aca="false">E17*INPUTS!$C$29</f>
        <v>0</v>
      </c>
      <c r="J17" s="24"/>
      <c r="K17" s="28" t="n">
        <f aca="false">BUDGET!$D$18*INPUTS!$E$45</f>
        <v>19423.5</v>
      </c>
      <c r="L17" s="24"/>
      <c r="M17" s="28" t="n">
        <f aca="false">BUDGET!$H$18*INPUTS!$E$45</f>
        <v>0</v>
      </c>
      <c r="N17" s="13" t="n">
        <f aca="false">BUDGET!$C$18*INPUTS!$E$45</f>
        <v>300</v>
      </c>
    </row>
    <row r="18" customFormat="false" ht="15" hidden="false" customHeight="false" outlineLevel="0" collapsed="false">
      <c r="A18" s="24" t="s">
        <v>513</v>
      </c>
      <c r="B18" s="24" t="str">
        <f aca="false">IF(INPUTS!$B$46="","","P - "&amp;INPUTS!$B$46&amp;" "&amp;INPUTS!$B$33&amp;" Rough-in (Labour)")</f>
        <v>P - L-04 Plumbing Rough-in (Labour)</v>
      </c>
      <c r="C18" s="28" t="n">
        <f aca="false">(BUDGET!$J$18-BUDGET!$G$18)*INPUTS!$E$46*$P$9</f>
        <v>30775.610646205</v>
      </c>
      <c r="D18" s="19" t="n">
        <f aca="false">IFERROR(C18/$C$4,0)</f>
        <v>0.062961560241827</v>
      </c>
      <c r="E18" s="49"/>
      <c r="F18" s="19" t="n">
        <f aca="false">IFERROR(E18/C18,0)</f>
        <v>0</v>
      </c>
      <c r="G18" s="28" t="n">
        <f aca="false">C18-E18</f>
        <v>30775.610646205</v>
      </c>
      <c r="H18" s="28" t="n">
        <f aca="false">E18*INPUTS!$C$29</f>
        <v>0</v>
      </c>
      <c r="J18" s="24"/>
      <c r="K18" s="28" t="n">
        <f aca="false">BUDGET!$D$18*INPUTS!$E$46</f>
        <v>19423.5</v>
      </c>
      <c r="L18" s="24"/>
      <c r="M18" s="28" t="n">
        <f aca="false">BUDGET!$H$18*INPUTS!$E$46</f>
        <v>0</v>
      </c>
      <c r="N18" s="13" t="n">
        <f aca="false">BUDGET!$C$18*INPUTS!$E$46</f>
        <v>300</v>
      </c>
    </row>
    <row r="19" customFormat="false" ht="15" hidden="false" customHeight="false" outlineLevel="0" collapsed="false">
      <c r="A19" s="24" t="s">
        <v>514</v>
      </c>
      <c r="B19" s="24" t="str">
        <f aca="false">IF(INPUTS!$B$47="","","P - "&amp;INPUTS!$B$47&amp;" "&amp;INPUTS!$B$33&amp;" Rough-in (Labour)")</f>
        <v>P - L-05 Plumbing Rough-in (Labour)</v>
      </c>
      <c r="C19" s="28" t="n">
        <f aca="false">(BUDGET!$J$18-BUDGET!$G$18)*INPUTS!$E$47*$P$9</f>
        <v>29544.5862203568</v>
      </c>
      <c r="D19" s="19" t="n">
        <f aca="false">IFERROR(C19/$C$4,0)</f>
        <v>0.0604430978321539</v>
      </c>
      <c r="E19" s="49"/>
      <c r="F19" s="19" t="n">
        <f aca="false">IFERROR(E19/C19,0)</f>
        <v>0</v>
      </c>
      <c r="G19" s="28" t="n">
        <f aca="false">C19-E19</f>
        <v>29544.5862203568</v>
      </c>
      <c r="H19" s="28" t="n">
        <f aca="false">E19*INPUTS!$C$29</f>
        <v>0</v>
      </c>
      <c r="J19" s="24"/>
      <c r="K19" s="28" t="n">
        <f aca="false">BUDGET!$D$18*INPUTS!$E$47</f>
        <v>18646.56</v>
      </c>
      <c r="L19" s="24"/>
      <c r="M19" s="28" t="n">
        <f aca="false">BUDGET!$H$18*INPUTS!$E$47</f>
        <v>0</v>
      </c>
      <c r="N19" s="13" t="n">
        <f aca="false">BUDGET!$C$18*INPUTS!$E$47</f>
        <v>288</v>
      </c>
    </row>
    <row r="20" customFormat="false" ht="15" hidden="false" customHeight="false" outlineLevel="0" collapsed="false">
      <c r="A20" s="24" t="s">
        <v>515</v>
      </c>
      <c r="B20" s="24" t="str">
        <f aca="false">IF(INPUTS!$B$48="","","P - "&amp;INPUTS!$B$48&amp;" "&amp;INPUTS!$B$33&amp;" Rough-in (Labour)")</f>
        <v>P - L-06 Plumbing Rough-in (Labour)</v>
      </c>
      <c r="C20" s="28" t="n">
        <f aca="false">(BUDGET!$J$18-BUDGET!$G$18)*INPUTS!$E$48*$P$9</f>
        <v>0</v>
      </c>
      <c r="D20" s="19" t="n">
        <f aca="false">IFERROR(C20/$C$4,0)</f>
        <v>0</v>
      </c>
      <c r="E20" s="49"/>
      <c r="F20" s="19" t="n">
        <f aca="false">IFERROR(E20/C20,0)</f>
        <v>0</v>
      </c>
      <c r="G20" s="28" t="n">
        <f aca="false">C20-E20</f>
        <v>0</v>
      </c>
      <c r="H20" s="28" t="n">
        <f aca="false">E20*INPUTS!$C$29</f>
        <v>0</v>
      </c>
      <c r="J20" s="24"/>
      <c r="K20" s="28" t="n">
        <f aca="false">BUDGET!$D$18*INPUTS!$E$48</f>
        <v>0</v>
      </c>
      <c r="L20" s="24"/>
      <c r="M20" s="28" t="n">
        <f aca="false">BUDGET!$H$18*INPUTS!$E$48</f>
        <v>0</v>
      </c>
      <c r="N20" s="13" t="n">
        <f aca="false">BUDGET!$C$18*INPUTS!$E$48</f>
        <v>0</v>
      </c>
    </row>
    <row r="21" customFormat="false" ht="15" hidden="false" customHeight="false" outlineLevel="0" collapsed="false">
      <c r="A21" s="24" t="s">
        <v>516</v>
      </c>
      <c r="B21" s="24" t="str">
        <f aca="false">IF(INPUTS!$B$49="","","P - "&amp;INPUTS!$B$49&amp;" "&amp;INPUTS!$B$33&amp;" Rough-in (Labour)")</f>
        <v>P - L-07 Plumbing Rough-in (Labour)</v>
      </c>
      <c r="C21" s="28" t="n">
        <f aca="false">(BUDGET!$J$18-BUDGET!$G$18)*INPUTS!$E$49*$P$9</f>
        <v>0</v>
      </c>
      <c r="D21" s="19" t="n">
        <f aca="false">IFERROR(C21/$C$4,0)</f>
        <v>0</v>
      </c>
      <c r="E21" s="49"/>
      <c r="F21" s="19" t="n">
        <f aca="false">IFERROR(E21/C21,0)</f>
        <v>0</v>
      </c>
      <c r="G21" s="28" t="n">
        <f aca="false">C21-E21</f>
        <v>0</v>
      </c>
      <c r="H21" s="28" t="n">
        <f aca="false">E21*INPUTS!$C$29</f>
        <v>0</v>
      </c>
      <c r="J21" s="24"/>
      <c r="K21" s="28" t="n">
        <f aca="false">BUDGET!$D$18*INPUTS!$E$49</f>
        <v>0</v>
      </c>
      <c r="L21" s="24"/>
      <c r="M21" s="28" t="n">
        <f aca="false">BUDGET!$H$18*INPUTS!$E$49</f>
        <v>0</v>
      </c>
      <c r="N21" s="13" t="n">
        <f aca="false">BUDGET!$C$18*INPUTS!$E$49</f>
        <v>0</v>
      </c>
    </row>
    <row r="22" customFormat="false" ht="15" hidden="false" customHeight="false" outlineLevel="0" collapsed="false">
      <c r="A22" s="24" t="s">
        <v>517</v>
      </c>
      <c r="B22" s="24" t="str">
        <f aca="false">IF(INPUTS!$B$50="","","P - "&amp;INPUTS!$B$50&amp;" "&amp;INPUTS!$B$33&amp;" Rough-in (Labour)")</f>
        <v>P - L-08 Plumbing Rough-in (Labour)</v>
      </c>
      <c r="C22" s="28" t="n">
        <f aca="false">(BUDGET!$J$18-BUDGET!$G$18)*INPUTS!$E$50*$P$9</f>
        <v>0</v>
      </c>
      <c r="D22" s="19" t="n">
        <f aca="false">IFERROR(C22/$C$4,0)</f>
        <v>0</v>
      </c>
      <c r="E22" s="49"/>
      <c r="F22" s="19" t="n">
        <f aca="false">IFERROR(E22/C22,0)</f>
        <v>0</v>
      </c>
      <c r="G22" s="28" t="n">
        <f aca="false">C22-E22</f>
        <v>0</v>
      </c>
      <c r="H22" s="28" t="n">
        <f aca="false">E22*INPUTS!$C$29</f>
        <v>0</v>
      </c>
      <c r="J22" s="24"/>
      <c r="K22" s="28" t="n">
        <f aca="false">BUDGET!$D$18*INPUTS!$E$50</f>
        <v>0</v>
      </c>
      <c r="L22" s="24"/>
      <c r="M22" s="28" t="n">
        <f aca="false">BUDGET!$H$18*INPUTS!$E$50</f>
        <v>0</v>
      </c>
      <c r="N22" s="13" t="n">
        <f aca="false">BUDGET!$C$18*INPUTS!$E$50</f>
        <v>0</v>
      </c>
    </row>
    <row r="23" customFormat="false" ht="15" hidden="false" customHeight="false" outlineLevel="0" collapsed="false">
      <c r="A23" s="24" t="s">
        <v>518</v>
      </c>
      <c r="B23" s="24" t="str">
        <f aca="false">IF(INPUTS!$B$51="","","P - "&amp;INPUTS!$B$51&amp;" "&amp;INPUTS!$B$33&amp;" Rough-in (Labour)")</f>
        <v>P - L-09 Plumbing Rough-in (Labour)</v>
      </c>
      <c r="C23" s="28" t="n">
        <f aca="false">(BUDGET!$J$18-BUDGET!$G$18)*INPUTS!$E$51*$P$9</f>
        <v>0</v>
      </c>
      <c r="D23" s="19" t="n">
        <f aca="false">IFERROR(C23/$C$4,0)</f>
        <v>0</v>
      </c>
      <c r="E23" s="49"/>
      <c r="F23" s="19" t="n">
        <f aca="false">IFERROR(E23/C23,0)</f>
        <v>0</v>
      </c>
      <c r="G23" s="28" t="n">
        <f aca="false">C23-E23</f>
        <v>0</v>
      </c>
      <c r="H23" s="28" t="n">
        <f aca="false">E23*INPUTS!$C$29</f>
        <v>0</v>
      </c>
      <c r="J23" s="24"/>
      <c r="K23" s="28" t="n">
        <f aca="false">BUDGET!$D$18*INPUTS!$E$51</f>
        <v>0</v>
      </c>
      <c r="L23" s="24"/>
      <c r="M23" s="28" t="n">
        <f aca="false">BUDGET!$H$18*INPUTS!$E$51</f>
        <v>0</v>
      </c>
      <c r="N23" s="13" t="n">
        <f aca="false">BUDGET!$C$18*INPUTS!$E$51</f>
        <v>0</v>
      </c>
    </row>
    <row r="24" customFormat="false" ht="15" hidden="false" customHeight="false" outlineLevel="0" collapsed="false">
      <c r="A24" s="24" t="s">
        <v>519</v>
      </c>
      <c r="B24" s="24" t="str">
        <f aca="false">IF(INPUTS!$B$52="","","P - "&amp;INPUTS!$B$52&amp;" "&amp;INPUTS!$B$33&amp;" Rough-in (Labour)")</f>
        <v>P - L-10 Plumbing Rough-in (Labour)</v>
      </c>
      <c r="C24" s="28" t="n">
        <f aca="false">(BUDGET!$J$18-BUDGET!$G$18)*INPUTS!$E$52*$P$9</f>
        <v>0</v>
      </c>
      <c r="D24" s="19" t="n">
        <f aca="false">IFERROR(C24/$C$4,0)</f>
        <v>0</v>
      </c>
      <c r="E24" s="49"/>
      <c r="F24" s="19" t="n">
        <f aca="false">IFERROR(E24/C24,0)</f>
        <v>0</v>
      </c>
      <c r="G24" s="28" t="n">
        <f aca="false">C24-E24</f>
        <v>0</v>
      </c>
      <c r="H24" s="28" t="n">
        <f aca="false">E24*INPUTS!$C$29</f>
        <v>0</v>
      </c>
      <c r="J24" s="24"/>
      <c r="K24" s="28" t="n">
        <f aca="false">BUDGET!$D$18*INPUTS!$E$52</f>
        <v>0</v>
      </c>
      <c r="L24" s="24"/>
      <c r="M24" s="28" t="n">
        <f aca="false">BUDGET!$H$18*INPUTS!$E$52</f>
        <v>0</v>
      </c>
      <c r="N24" s="13" t="n">
        <f aca="false">BUDGET!$C$18*INPUTS!$E$52</f>
        <v>0</v>
      </c>
    </row>
    <row r="25" customFormat="false" ht="15" hidden="false" customHeight="false" outlineLevel="0" collapsed="false">
      <c r="A25" s="24" t="s">
        <v>520</v>
      </c>
      <c r="B25" s="24" t="str">
        <f aca="false">IF(INPUTS!$B$53="","","P - "&amp;INPUTS!$B$53&amp;" "&amp;INPUTS!$B$33&amp;" Rough-in (Labour)")</f>
        <v>P - ROOF Plumbing Rough-in (Labour)</v>
      </c>
      <c r="C25" s="28" t="n">
        <f aca="false">(BUDGET!$J$18-BUDGET!$G$18)*INPUTS!$E$53*$P$9</f>
        <v>0</v>
      </c>
      <c r="D25" s="19" t="n">
        <f aca="false">IFERROR(C25/$C$4,0)</f>
        <v>0</v>
      </c>
      <c r="E25" s="49"/>
      <c r="F25" s="19" t="n">
        <f aca="false">IFERROR(E25/C25,0)</f>
        <v>0</v>
      </c>
      <c r="G25" s="28" t="n">
        <f aca="false">C25-E25</f>
        <v>0</v>
      </c>
      <c r="H25" s="28" t="n">
        <f aca="false">E25*INPUTS!$C$29</f>
        <v>0</v>
      </c>
      <c r="J25" s="24"/>
      <c r="K25" s="28" t="n">
        <f aca="false">BUDGET!$D$18*INPUTS!$E$53</f>
        <v>0</v>
      </c>
      <c r="L25" s="24"/>
      <c r="M25" s="28" t="n">
        <f aca="false">BUDGET!$H$18*INPUTS!$E$53</f>
        <v>0</v>
      </c>
      <c r="N25" s="13" t="n">
        <f aca="false">BUDGET!$C$18*INPUTS!$E$53</f>
        <v>0</v>
      </c>
    </row>
    <row r="26" customFormat="false" ht="15" hidden="false" customHeight="false" outlineLevel="0" collapsed="false">
      <c r="A26" s="24" t="s">
        <v>521</v>
      </c>
      <c r="B26" s="24" t="str">
        <f aca="false">IF(INPUTS!$B$54="","","P - "&amp;INPUTS!$B$54&amp;" "&amp;INPUTS!$B$33&amp;" Rough-in (Labour)")</f>
        <v/>
      </c>
      <c r="C26" s="28" t="n">
        <f aca="false">(BUDGET!$J$18-BUDGET!$G$18)*INPUTS!$E$54*$P$9</f>
        <v>0</v>
      </c>
      <c r="D26" s="19" t="n">
        <f aca="false">IFERROR(C26/$C$4,0)</f>
        <v>0</v>
      </c>
      <c r="E26" s="49"/>
      <c r="F26" s="19" t="n">
        <f aca="false">IFERROR(E26/C26,0)</f>
        <v>0</v>
      </c>
      <c r="G26" s="28" t="n">
        <f aca="false">C26-E26</f>
        <v>0</v>
      </c>
      <c r="H26" s="28" t="n">
        <f aca="false">E26*INPUTS!$C$29</f>
        <v>0</v>
      </c>
      <c r="J26" s="24"/>
      <c r="K26" s="28" t="n">
        <f aca="false">BUDGET!$D$18*INPUTS!$E$54</f>
        <v>0</v>
      </c>
      <c r="L26" s="24"/>
      <c r="M26" s="28" t="n">
        <f aca="false">BUDGET!$H$18*INPUTS!$E$54</f>
        <v>0</v>
      </c>
      <c r="N26" s="13" t="n">
        <f aca="false">BUDGET!$C$18*INPUTS!$E$54</f>
        <v>0</v>
      </c>
    </row>
    <row r="27" customFormat="false" ht="15" hidden="false" customHeight="false" outlineLevel="0" collapsed="false">
      <c r="A27" s="24" t="s">
        <v>522</v>
      </c>
      <c r="B27" s="24" t="str">
        <f aca="false">IF(INPUTS!$B$55="","","P - "&amp;INPUTS!$B$55&amp;" "&amp;INPUTS!$B$33&amp;" Rough-in (Labour)")</f>
        <v/>
      </c>
      <c r="C27" s="28" t="n">
        <f aca="false">(BUDGET!$J$18-BUDGET!$G$18)*INPUTS!$E$55*$P$9</f>
        <v>0</v>
      </c>
      <c r="D27" s="19" t="n">
        <f aca="false">IFERROR(C27/$C$4,0)</f>
        <v>0</v>
      </c>
      <c r="E27" s="49"/>
      <c r="F27" s="19" t="n">
        <f aca="false">IFERROR(E27/C27,0)</f>
        <v>0</v>
      </c>
      <c r="G27" s="28" t="n">
        <f aca="false">C27-E27</f>
        <v>0</v>
      </c>
      <c r="H27" s="28" t="n">
        <f aca="false">E27*INPUTS!$C$29</f>
        <v>0</v>
      </c>
      <c r="J27" s="24"/>
      <c r="K27" s="28" t="n">
        <f aca="false">BUDGET!$D$18*INPUTS!$E$55</f>
        <v>0</v>
      </c>
      <c r="L27" s="24"/>
      <c r="M27" s="28" t="n">
        <f aca="false">BUDGET!$H$18*INPUTS!$E$55</f>
        <v>0</v>
      </c>
      <c r="N27" s="13" t="n">
        <f aca="false">BUDGET!$C$18*INPUTS!$E$55</f>
        <v>0</v>
      </c>
    </row>
    <row r="28" customFormat="false" ht="15" hidden="false" customHeight="false" outlineLevel="0" collapsed="false">
      <c r="A28" s="24" t="s">
        <v>523</v>
      </c>
      <c r="B28" s="24" t="str">
        <f aca="false">IF(INPUTS!$B$56="","","P - "&amp;INPUTS!$B$56&amp;" "&amp;INPUTS!$B$33&amp;" Rough-in (Labour)")</f>
        <v/>
      </c>
      <c r="C28" s="28" t="n">
        <f aca="false">(BUDGET!$J$18-BUDGET!$G$18)*INPUTS!$E$56*$P$9</f>
        <v>0</v>
      </c>
      <c r="D28" s="19" t="n">
        <f aca="false">IFERROR(C28/$C$4,0)</f>
        <v>0</v>
      </c>
      <c r="E28" s="49"/>
      <c r="F28" s="19" t="n">
        <f aca="false">IFERROR(E28/C28,0)</f>
        <v>0</v>
      </c>
      <c r="G28" s="28" t="n">
        <f aca="false">C28-E28</f>
        <v>0</v>
      </c>
      <c r="H28" s="28" t="n">
        <f aca="false">E28*INPUTS!$C$29</f>
        <v>0</v>
      </c>
      <c r="J28" s="24"/>
      <c r="K28" s="28" t="n">
        <f aca="false">BUDGET!$D$18*INPUTS!$E$56</f>
        <v>0</v>
      </c>
      <c r="L28" s="24"/>
      <c r="M28" s="28" t="n">
        <f aca="false">BUDGET!$H$18*INPUTS!$E$56</f>
        <v>0</v>
      </c>
      <c r="N28" s="13" t="n">
        <f aca="false">BUDGET!$C$18*INPUTS!$E$56</f>
        <v>0</v>
      </c>
    </row>
    <row r="29" customFormat="false" ht="15" hidden="false" customHeight="false" outlineLevel="0" collapsed="false">
      <c r="A29" s="24" t="s">
        <v>524</v>
      </c>
      <c r="B29" s="24" t="str">
        <f aca="false">IF(INPUTS!$B$57="","","P - "&amp;INPUTS!$B$57&amp;" "&amp;INPUTS!$B$33&amp;" Rough-in (Labour)")</f>
        <v/>
      </c>
      <c r="C29" s="28" t="n">
        <f aca="false">(BUDGET!$J$18-BUDGET!$G$18)*INPUTS!$E$57*$P$9</f>
        <v>0</v>
      </c>
      <c r="D29" s="19" t="n">
        <f aca="false">IFERROR(C29/$C$4,0)</f>
        <v>0</v>
      </c>
      <c r="E29" s="49"/>
      <c r="F29" s="19" t="n">
        <f aca="false">IFERROR(E29/C29,0)</f>
        <v>0</v>
      </c>
      <c r="G29" s="28" t="n">
        <f aca="false">C29-E29</f>
        <v>0</v>
      </c>
      <c r="H29" s="28" t="n">
        <f aca="false">E29*INPUTS!$C$29</f>
        <v>0</v>
      </c>
      <c r="J29" s="24"/>
      <c r="K29" s="28" t="n">
        <f aca="false">BUDGET!$D$18*INPUTS!$E$57</f>
        <v>0</v>
      </c>
      <c r="L29" s="24"/>
      <c r="M29" s="28" t="n">
        <f aca="false">BUDGET!$H$18*INPUTS!$E$57</f>
        <v>0</v>
      </c>
      <c r="N29" s="13" t="n">
        <f aca="false">BUDGET!$C$18*INPUTS!$E$57</f>
        <v>0</v>
      </c>
    </row>
    <row r="30" customFormat="false" ht="15" hidden="false" customHeight="false" outlineLevel="0" collapsed="false">
      <c r="A30" s="24" t="s">
        <v>525</v>
      </c>
      <c r="B30" s="24" t="str">
        <f aca="false">IF(INPUTS!$B$58="","","P - "&amp;INPUTS!$B$58&amp;" "&amp;INPUTS!$B$33&amp;" Rough-in (Labour)")</f>
        <v/>
      </c>
      <c r="C30" s="28" t="n">
        <f aca="false">(BUDGET!$J$18-BUDGET!$G$18)*INPUTS!$E$58*$P$9</f>
        <v>0</v>
      </c>
      <c r="D30" s="19" t="n">
        <f aca="false">IFERROR(C30/$C$4,0)</f>
        <v>0</v>
      </c>
      <c r="E30" s="49"/>
      <c r="F30" s="19" t="n">
        <f aca="false">IFERROR(E30/C30,0)</f>
        <v>0</v>
      </c>
      <c r="G30" s="28" t="n">
        <f aca="false">C30-E30</f>
        <v>0</v>
      </c>
      <c r="H30" s="28" t="n">
        <f aca="false">E30*INPUTS!$C$29</f>
        <v>0</v>
      </c>
      <c r="J30" s="24"/>
      <c r="K30" s="28" t="n">
        <f aca="false">BUDGET!$D$18*INPUTS!$E$58</f>
        <v>0</v>
      </c>
      <c r="L30" s="24"/>
      <c r="M30" s="28" t="n">
        <f aca="false">BUDGET!$H$18*INPUTS!$E$58</f>
        <v>0</v>
      </c>
      <c r="N30" s="13" t="n">
        <f aca="false">BUDGET!$C$18*INPUTS!$E$58</f>
        <v>0</v>
      </c>
    </row>
    <row r="31" customFormat="false" ht="15" hidden="false" customHeight="false" outlineLevel="0" collapsed="false">
      <c r="A31" s="24" t="s">
        <v>526</v>
      </c>
      <c r="B31" s="24" t="str">
        <f aca="false">IF(INPUTS!$B$59="","","P - "&amp;INPUTS!$B$59&amp;" "&amp;INPUTS!$B$33&amp;" Rough-in (Labour)")</f>
        <v/>
      </c>
      <c r="C31" s="28" t="n">
        <f aca="false">(BUDGET!$J$18-BUDGET!$G$18)*INPUTS!$E$59*$P$9</f>
        <v>0</v>
      </c>
      <c r="D31" s="19" t="n">
        <f aca="false">IFERROR(C31/$C$4,0)</f>
        <v>0</v>
      </c>
      <c r="E31" s="49"/>
      <c r="F31" s="19" t="n">
        <f aca="false">IFERROR(E31/C31,0)</f>
        <v>0</v>
      </c>
      <c r="G31" s="28" t="n">
        <f aca="false">C31-E31</f>
        <v>0</v>
      </c>
      <c r="H31" s="28" t="n">
        <f aca="false">E31*INPUTS!$C$29</f>
        <v>0</v>
      </c>
      <c r="J31" s="24"/>
      <c r="K31" s="28" t="n">
        <f aca="false">BUDGET!$D$18*INPUTS!$E$59</f>
        <v>0</v>
      </c>
      <c r="L31" s="24"/>
      <c r="M31" s="28" t="n">
        <f aca="false">BUDGET!$H$18*INPUTS!$E$59</f>
        <v>0</v>
      </c>
      <c r="N31" s="13" t="n">
        <f aca="false">BUDGET!$C$18*INPUTS!$E$59</f>
        <v>0</v>
      </c>
    </row>
    <row r="32" customFormat="false" ht="15" hidden="false" customHeight="false" outlineLevel="0" collapsed="false">
      <c r="A32" s="24" t="s">
        <v>527</v>
      </c>
      <c r="B32" s="24" t="str">
        <f aca="false">IF(INPUTS!$B$60="","","P - "&amp;INPUTS!$B$60&amp;" "&amp;INPUTS!$B$33&amp;" Rough-in (Labour)")</f>
        <v/>
      </c>
      <c r="C32" s="28" t="n">
        <f aca="false">(BUDGET!$J$18-BUDGET!$G$18)*INPUTS!$E$60*$P$9</f>
        <v>0</v>
      </c>
      <c r="D32" s="19" t="n">
        <f aca="false">IFERROR(C32/$C$4,0)</f>
        <v>0</v>
      </c>
      <c r="E32" s="49"/>
      <c r="F32" s="19" t="n">
        <f aca="false">IFERROR(E32/C32,0)</f>
        <v>0</v>
      </c>
      <c r="G32" s="28" t="n">
        <f aca="false">C32-E32</f>
        <v>0</v>
      </c>
      <c r="H32" s="28" t="n">
        <f aca="false">E32*INPUTS!$C$29</f>
        <v>0</v>
      </c>
      <c r="J32" s="24"/>
      <c r="K32" s="28" t="n">
        <f aca="false">BUDGET!$D$18*INPUTS!$E$60</f>
        <v>0</v>
      </c>
      <c r="L32" s="24"/>
      <c r="M32" s="28" t="n">
        <f aca="false">BUDGET!$H$18*INPUTS!$E$60</f>
        <v>0</v>
      </c>
      <c r="N32" s="13" t="n">
        <f aca="false">BUDGET!$C$18*INPUTS!$E$60</f>
        <v>0</v>
      </c>
    </row>
    <row r="33" customFormat="false" ht="15" hidden="false" customHeight="false" outlineLevel="0" collapsed="false">
      <c r="A33" s="24" t="s">
        <v>528</v>
      </c>
      <c r="B33" s="24" t="str">
        <f aca="false">IF(INPUTS!$B$61="","","P - "&amp;INPUTS!$B$61&amp;" "&amp;INPUTS!$B$33&amp;" Rough-in (Labour)")</f>
        <v/>
      </c>
      <c r="C33" s="28" t="n">
        <f aca="false">(BUDGET!$J$18-BUDGET!$G$18)*INPUTS!$E$61*$P$9</f>
        <v>0</v>
      </c>
      <c r="D33" s="19" t="n">
        <f aca="false">IFERROR(C33/$C$4,0)</f>
        <v>0</v>
      </c>
      <c r="E33" s="49"/>
      <c r="F33" s="19" t="n">
        <f aca="false">IFERROR(E33/C33,0)</f>
        <v>0</v>
      </c>
      <c r="G33" s="28" t="n">
        <f aca="false">C33-E33</f>
        <v>0</v>
      </c>
      <c r="H33" s="28" t="n">
        <f aca="false">E33*INPUTS!$C$29</f>
        <v>0</v>
      </c>
      <c r="J33" s="24"/>
      <c r="K33" s="28" t="n">
        <f aca="false">BUDGET!$D$18*INPUTS!$E$61</f>
        <v>0</v>
      </c>
      <c r="L33" s="24"/>
      <c r="M33" s="28" t="n">
        <f aca="false">BUDGET!$H$18*INPUTS!$E$61</f>
        <v>0</v>
      </c>
      <c r="N33" s="13" t="n">
        <f aca="false">BUDGET!$C$18*INPUTS!$E$61</f>
        <v>0</v>
      </c>
    </row>
    <row r="34" customFormat="false" ht="15" hidden="false" customHeight="false" outlineLevel="0" collapsed="false">
      <c r="A34" s="24" t="s">
        <v>529</v>
      </c>
      <c r="B34" s="24" t="str">
        <f aca="false">IF(INPUTS!$B$62="","","P - "&amp;INPUTS!$B$62&amp;" "&amp;INPUTS!$B$33&amp;" Rough-in (Labour)")</f>
        <v/>
      </c>
      <c r="C34" s="28" t="n">
        <f aca="false">(BUDGET!$J$18-BUDGET!$G$18)*INPUTS!$E$62*$P$9</f>
        <v>0</v>
      </c>
      <c r="D34" s="19" t="n">
        <f aca="false">IFERROR(C34/$C$4,0)</f>
        <v>0</v>
      </c>
      <c r="E34" s="49"/>
      <c r="F34" s="19" t="n">
        <f aca="false">IFERROR(E34/C34,0)</f>
        <v>0</v>
      </c>
      <c r="G34" s="28" t="n">
        <f aca="false">C34-E34</f>
        <v>0</v>
      </c>
      <c r="H34" s="28" t="n">
        <f aca="false">E34*INPUTS!$C$29</f>
        <v>0</v>
      </c>
      <c r="J34" s="24"/>
      <c r="K34" s="28" t="n">
        <f aca="false">BUDGET!$D$18*INPUTS!$E$62</f>
        <v>0</v>
      </c>
      <c r="L34" s="24"/>
      <c r="M34" s="28" t="n">
        <f aca="false">BUDGET!$H$18*INPUTS!$E$62</f>
        <v>0</v>
      </c>
      <c r="N34" s="13" t="n">
        <f aca="false">BUDGET!$C$18*INPUTS!$E$62</f>
        <v>0</v>
      </c>
    </row>
    <row r="35" customFormat="false" ht="15" hidden="false" customHeight="false" outlineLevel="0" collapsed="false">
      <c r="A35" s="24" t="s">
        <v>530</v>
      </c>
      <c r="B35" s="24" t="str">
        <f aca="false">IF(INPUTS!$B$63="","","P - "&amp;INPUTS!$B$63&amp;" "&amp;INPUTS!$B$33&amp;" Rough-in (Labour)")</f>
        <v/>
      </c>
      <c r="C35" s="28" t="n">
        <f aca="false">(BUDGET!$J$18-BUDGET!$G$18)*INPUTS!$E$63*$P$9</f>
        <v>0</v>
      </c>
      <c r="D35" s="19" t="n">
        <f aca="false">IFERROR(C35/$C$4,0)</f>
        <v>0</v>
      </c>
      <c r="E35" s="49"/>
      <c r="F35" s="19" t="n">
        <f aca="false">IFERROR(E35/C35,0)</f>
        <v>0</v>
      </c>
      <c r="G35" s="28" t="n">
        <f aca="false">C35-E35</f>
        <v>0</v>
      </c>
      <c r="H35" s="28" t="n">
        <f aca="false">E35*INPUTS!$C$29</f>
        <v>0</v>
      </c>
      <c r="J35" s="24"/>
      <c r="K35" s="28" t="n">
        <f aca="false">BUDGET!$D$18*INPUTS!$E$63</f>
        <v>0</v>
      </c>
      <c r="L35" s="24"/>
      <c r="M35" s="28" t="n">
        <f aca="false">BUDGET!$H$18*INPUTS!$E$63</f>
        <v>0</v>
      </c>
      <c r="N35" s="13" t="n">
        <f aca="false">BUDGET!$C$18*INPUTS!$E$63</f>
        <v>0</v>
      </c>
    </row>
    <row r="36" customFormat="false" ht="15" hidden="false" customHeight="false" outlineLevel="0" collapsed="false">
      <c r="A36" s="24" t="s">
        <v>531</v>
      </c>
      <c r="B36" s="24" t="str">
        <f aca="false">IF(INPUTS!$B$40="","","P - "&amp;INPUTS!$B$40&amp;" "&amp;INPUTS!$B$33&amp;" Finishing (Labour)")</f>
        <v>P - U/G Plumbing Finishing (Labour)</v>
      </c>
      <c r="C36" s="28" t="n">
        <f aca="false">(BUDGET!$J$19-BUDGET!$G$19)*INPUTS!$E$40*$P$9</f>
        <v>0</v>
      </c>
      <c r="D36" s="19" t="n">
        <f aca="false">IFERROR(C36/$C$4,0)</f>
        <v>0</v>
      </c>
      <c r="E36" s="49"/>
      <c r="F36" s="19" t="n">
        <f aca="false">IFERROR(E36/C36,0)</f>
        <v>0</v>
      </c>
      <c r="G36" s="28" t="n">
        <f aca="false">C36-E36</f>
        <v>0</v>
      </c>
      <c r="H36" s="28" t="n">
        <f aca="false">E36*INPUTS!$C$29</f>
        <v>0</v>
      </c>
      <c r="J36" s="24"/>
      <c r="K36" s="28" t="n">
        <f aca="false">BUDGET!$D$19*INPUTS!$E$40</f>
        <v>0</v>
      </c>
      <c r="L36" s="24"/>
      <c r="M36" s="28" t="n">
        <f aca="false">BUDGET!$H$19*INPUTS!$E$40</f>
        <v>0</v>
      </c>
      <c r="N36" s="13" t="n">
        <f aca="false">BUDGET!$C$19*INPUTS!$E$40</f>
        <v>0</v>
      </c>
    </row>
    <row r="37" customFormat="false" ht="15" hidden="false" customHeight="false" outlineLevel="0" collapsed="false">
      <c r="A37" s="24" t="s">
        <v>532</v>
      </c>
      <c r="B37" s="24" t="str">
        <f aca="false">IF(INPUTS!$B$41="","","P - "&amp;INPUTS!$B$41&amp;" "&amp;INPUTS!$B$33&amp;" Finishing (Labour)")</f>
        <v>P - P-02 Plumbing Finishing (Labour)</v>
      </c>
      <c r="C37" s="28" t="n">
        <f aca="false">(BUDGET!$J$19-BUDGET!$G$19)*INPUTS!$E$41*$P$9</f>
        <v>0</v>
      </c>
      <c r="D37" s="19" t="n">
        <f aca="false">IFERROR(C37/$C$4,0)</f>
        <v>0</v>
      </c>
      <c r="E37" s="49"/>
      <c r="F37" s="19" t="n">
        <f aca="false">IFERROR(E37/C37,0)</f>
        <v>0</v>
      </c>
      <c r="G37" s="28" t="n">
        <f aca="false">C37-E37</f>
        <v>0</v>
      </c>
      <c r="H37" s="28" t="n">
        <f aca="false">E37*INPUTS!$C$29</f>
        <v>0</v>
      </c>
      <c r="J37" s="24"/>
      <c r="K37" s="28" t="n">
        <f aca="false">BUDGET!$D$19*INPUTS!$E$41</f>
        <v>0</v>
      </c>
      <c r="L37" s="24"/>
      <c r="M37" s="28" t="n">
        <f aca="false">BUDGET!$H$19*INPUTS!$E$41</f>
        <v>0</v>
      </c>
      <c r="N37" s="13" t="n">
        <f aca="false">BUDGET!$C$19*INPUTS!$E$41</f>
        <v>0</v>
      </c>
    </row>
    <row r="38" customFormat="false" ht="15" hidden="false" customHeight="false" outlineLevel="0" collapsed="false">
      <c r="A38" s="24" t="s">
        <v>533</v>
      </c>
      <c r="B38" s="24" t="str">
        <f aca="false">IF(INPUTS!$B$42="","","P - "&amp;INPUTS!$B$42&amp;" "&amp;INPUTS!$B$33&amp;" Finishing (Labour)")</f>
        <v>P - PRKG Plumbing Finishing (Labour)</v>
      </c>
      <c r="C38" s="28" t="n">
        <f aca="false">(BUDGET!$J$19-BUDGET!$G$19)*INPUTS!$E$42*$P$9</f>
        <v>0</v>
      </c>
      <c r="D38" s="19" t="n">
        <f aca="false">IFERROR(C38/$C$4,0)</f>
        <v>0</v>
      </c>
      <c r="E38" s="49"/>
      <c r="F38" s="19" t="n">
        <f aca="false">IFERROR(E38/C38,0)</f>
        <v>0</v>
      </c>
      <c r="G38" s="28" t="n">
        <f aca="false">C38-E38</f>
        <v>0</v>
      </c>
      <c r="H38" s="28" t="n">
        <f aca="false">E38*INPUTS!$C$29</f>
        <v>0</v>
      </c>
      <c r="J38" s="24"/>
      <c r="K38" s="28" t="n">
        <f aca="false">BUDGET!$D$19*INPUTS!$E$42</f>
        <v>0</v>
      </c>
      <c r="L38" s="24"/>
      <c r="M38" s="28" t="n">
        <f aca="false">BUDGET!$H$19*INPUTS!$E$42</f>
        <v>0</v>
      </c>
      <c r="N38" s="13" t="n">
        <f aca="false">BUDGET!$C$19*INPUTS!$E$42</f>
        <v>0</v>
      </c>
    </row>
    <row r="39" customFormat="false" ht="15" hidden="false" customHeight="false" outlineLevel="0" collapsed="false">
      <c r="A39" s="24" t="s">
        <v>534</v>
      </c>
      <c r="B39" s="24" t="str">
        <f aca="false">IF(INPUTS!$B$43="","","P - "&amp;INPUTS!$B$43&amp;" "&amp;INPUTS!$B$33&amp;" Finishing (Labour)")</f>
        <v>P - L-01 Plumbing Finishing (Labour)</v>
      </c>
      <c r="C39" s="28" t="n">
        <f aca="false">(BUDGET!$J$19-BUDGET!$G$19)*INPUTS!$E$43*$P$9</f>
        <v>0</v>
      </c>
      <c r="D39" s="19" t="n">
        <f aca="false">IFERROR(C39/$C$4,0)</f>
        <v>0</v>
      </c>
      <c r="E39" s="49"/>
      <c r="F39" s="19" t="n">
        <f aca="false">IFERROR(E39/C39,0)</f>
        <v>0</v>
      </c>
      <c r="G39" s="28" t="n">
        <f aca="false">C39-E39</f>
        <v>0</v>
      </c>
      <c r="H39" s="28" t="n">
        <f aca="false">E39*INPUTS!$C$29</f>
        <v>0</v>
      </c>
      <c r="J39" s="24"/>
      <c r="K39" s="28" t="n">
        <f aca="false">BUDGET!$D$19*INPUTS!$E$43</f>
        <v>0</v>
      </c>
      <c r="L39" s="24"/>
      <c r="M39" s="28" t="n">
        <f aca="false">BUDGET!$H$19*INPUTS!$E$43</f>
        <v>0</v>
      </c>
      <c r="N39" s="13" t="n">
        <f aca="false">BUDGET!$C$19*INPUTS!$E$43</f>
        <v>0</v>
      </c>
    </row>
    <row r="40" customFormat="false" ht="15" hidden="false" customHeight="false" outlineLevel="0" collapsed="false">
      <c r="A40" s="24" t="s">
        <v>535</v>
      </c>
      <c r="B40" s="24" t="str">
        <f aca="false">IF(INPUTS!$B$44="","","P - "&amp;INPUTS!$B$44&amp;" "&amp;INPUTS!$B$33&amp;" Finishing (Labour)")</f>
        <v>P - L-02 Plumbing Finishing (Labour)</v>
      </c>
      <c r="C40" s="28" t="n">
        <f aca="false">(BUDGET!$J$19-BUDGET!$G$19)*INPUTS!$E$44*$P$9</f>
        <v>0</v>
      </c>
      <c r="D40" s="19" t="n">
        <f aca="false">IFERROR(C40/$C$4,0)</f>
        <v>0</v>
      </c>
      <c r="E40" s="49"/>
      <c r="F40" s="19" t="n">
        <f aca="false">IFERROR(E40/C40,0)</f>
        <v>0</v>
      </c>
      <c r="G40" s="28" t="n">
        <f aca="false">C40-E40</f>
        <v>0</v>
      </c>
      <c r="H40" s="28" t="n">
        <f aca="false">E40*INPUTS!$C$29</f>
        <v>0</v>
      </c>
      <c r="J40" s="24"/>
      <c r="K40" s="28" t="n">
        <f aca="false">BUDGET!$D$19*INPUTS!$E$44</f>
        <v>0</v>
      </c>
      <c r="L40" s="24"/>
      <c r="M40" s="28" t="n">
        <f aca="false">BUDGET!$H$19*INPUTS!$E$44</f>
        <v>0</v>
      </c>
      <c r="N40" s="13" t="n">
        <f aca="false">BUDGET!$C$19*INPUTS!$E$44</f>
        <v>0</v>
      </c>
    </row>
    <row r="41" customFormat="false" ht="15" hidden="false" customHeight="false" outlineLevel="0" collapsed="false">
      <c r="A41" s="24" t="s">
        <v>536</v>
      </c>
      <c r="B41" s="24" t="str">
        <f aca="false">IF(INPUTS!$B$45="","","P - "&amp;INPUTS!$B$45&amp;" "&amp;INPUTS!$B$33&amp;" Finishing (Labour)")</f>
        <v>P - L-03 Plumbing Finishing (Labour)</v>
      </c>
      <c r="C41" s="28" t="n">
        <f aca="false">(BUDGET!$J$19-BUDGET!$G$19)*INPUTS!$E$45*$P$9</f>
        <v>0</v>
      </c>
      <c r="D41" s="19" t="n">
        <f aca="false">IFERROR(C41/$C$4,0)</f>
        <v>0</v>
      </c>
      <c r="E41" s="49"/>
      <c r="F41" s="19" t="n">
        <f aca="false">IFERROR(E41/C41,0)</f>
        <v>0</v>
      </c>
      <c r="G41" s="28" t="n">
        <f aca="false">C41-E41</f>
        <v>0</v>
      </c>
      <c r="H41" s="28" t="n">
        <f aca="false">E41*INPUTS!$C$29</f>
        <v>0</v>
      </c>
      <c r="J41" s="24"/>
      <c r="K41" s="28" t="n">
        <f aca="false">BUDGET!$D$19*INPUTS!$E$45</f>
        <v>0</v>
      </c>
      <c r="L41" s="24"/>
      <c r="M41" s="28" t="n">
        <f aca="false">BUDGET!$H$19*INPUTS!$E$45</f>
        <v>0</v>
      </c>
      <c r="N41" s="13" t="n">
        <f aca="false">BUDGET!$C$19*INPUTS!$E$45</f>
        <v>0</v>
      </c>
    </row>
    <row r="42" customFormat="false" ht="15" hidden="false" customHeight="false" outlineLevel="0" collapsed="false">
      <c r="A42" s="24" t="s">
        <v>537</v>
      </c>
      <c r="B42" s="24" t="str">
        <f aca="false">IF(INPUTS!$B$46="","","P - "&amp;INPUTS!$B$46&amp;" "&amp;INPUTS!$B$33&amp;" Finishing (Labour)")</f>
        <v>P - L-04 Plumbing Finishing (Labour)</v>
      </c>
      <c r="C42" s="28" t="n">
        <f aca="false">(BUDGET!$J$19-BUDGET!$G$19)*INPUTS!$E$46*$P$9</f>
        <v>0</v>
      </c>
      <c r="D42" s="19" t="n">
        <f aca="false">IFERROR(C42/$C$4,0)</f>
        <v>0</v>
      </c>
      <c r="E42" s="49"/>
      <c r="F42" s="19" t="n">
        <f aca="false">IFERROR(E42/C42,0)</f>
        <v>0</v>
      </c>
      <c r="G42" s="28" t="n">
        <f aca="false">C42-E42</f>
        <v>0</v>
      </c>
      <c r="H42" s="28" t="n">
        <f aca="false">E42*INPUTS!$C$29</f>
        <v>0</v>
      </c>
      <c r="J42" s="24"/>
      <c r="K42" s="28" t="n">
        <f aca="false">BUDGET!$D$19*INPUTS!$E$46</f>
        <v>0</v>
      </c>
      <c r="L42" s="24"/>
      <c r="M42" s="28" t="n">
        <f aca="false">BUDGET!$H$19*INPUTS!$E$46</f>
        <v>0</v>
      </c>
      <c r="N42" s="13" t="n">
        <f aca="false">BUDGET!$C$19*INPUTS!$E$46</f>
        <v>0</v>
      </c>
    </row>
    <row r="43" customFormat="false" ht="15" hidden="false" customHeight="false" outlineLevel="0" collapsed="false">
      <c r="A43" s="24" t="s">
        <v>538</v>
      </c>
      <c r="B43" s="24" t="str">
        <f aca="false">IF(INPUTS!$B$47="","","P - "&amp;INPUTS!$B$47&amp;" "&amp;INPUTS!$B$33&amp;" Finishing (Labour)")</f>
        <v>P - L-05 Plumbing Finishing (Labour)</v>
      </c>
      <c r="C43" s="28" t="n">
        <f aca="false">(BUDGET!$J$19-BUDGET!$G$19)*INPUTS!$E$47*$P$9</f>
        <v>0</v>
      </c>
      <c r="D43" s="19" t="n">
        <f aca="false">IFERROR(C43/$C$4,0)</f>
        <v>0</v>
      </c>
      <c r="E43" s="49"/>
      <c r="F43" s="19" t="n">
        <f aca="false">IFERROR(E43/C43,0)</f>
        <v>0</v>
      </c>
      <c r="G43" s="28" t="n">
        <f aca="false">C43-E43</f>
        <v>0</v>
      </c>
      <c r="H43" s="28" t="n">
        <f aca="false">E43*INPUTS!$C$29</f>
        <v>0</v>
      </c>
      <c r="J43" s="24"/>
      <c r="K43" s="28" t="n">
        <f aca="false">BUDGET!$D$19*INPUTS!$E$47</f>
        <v>0</v>
      </c>
      <c r="L43" s="24"/>
      <c r="M43" s="28" t="n">
        <f aca="false">BUDGET!$H$19*INPUTS!$E$47</f>
        <v>0</v>
      </c>
      <c r="N43" s="13" t="n">
        <f aca="false">BUDGET!$C$19*INPUTS!$E$47</f>
        <v>0</v>
      </c>
    </row>
    <row r="44" customFormat="false" ht="15" hidden="false" customHeight="false" outlineLevel="0" collapsed="false">
      <c r="A44" s="24" t="s">
        <v>539</v>
      </c>
      <c r="B44" s="24" t="str">
        <f aca="false">IF(INPUTS!$B$48="","","P - "&amp;INPUTS!$B$48&amp;" "&amp;INPUTS!$B$33&amp;" Finishing (Labour)")</f>
        <v>P - L-06 Plumbing Finishing (Labour)</v>
      </c>
      <c r="C44" s="28" t="n">
        <f aca="false">(BUDGET!$J$19-BUDGET!$G$19)*INPUTS!$E$48*$P$9</f>
        <v>0</v>
      </c>
      <c r="D44" s="19" t="n">
        <f aca="false">IFERROR(C44/$C$4,0)</f>
        <v>0</v>
      </c>
      <c r="E44" s="49"/>
      <c r="F44" s="19" t="n">
        <f aca="false">IFERROR(E44/C44,0)</f>
        <v>0</v>
      </c>
      <c r="G44" s="28" t="n">
        <f aca="false">C44-E44</f>
        <v>0</v>
      </c>
      <c r="H44" s="28" t="n">
        <f aca="false">E44*INPUTS!$C$29</f>
        <v>0</v>
      </c>
      <c r="J44" s="24"/>
      <c r="K44" s="28" t="n">
        <f aca="false">BUDGET!$D$19*INPUTS!$E$48</f>
        <v>0</v>
      </c>
      <c r="L44" s="24"/>
      <c r="M44" s="28" t="n">
        <f aca="false">BUDGET!$H$19*INPUTS!$E$48</f>
        <v>0</v>
      </c>
      <c r="N44" s="13" t="n">
        <f aca="false">BUDGET!$C$19*INPUTS!$E$48</f>
        <v>0</v>
      </c>
    </row>
    <row r="45" customFormat="false" ht="15" hidden="false" customHeight="false" outlineLevel="0" collapsed="false">
      <c r="A45" s="24" t="s">
        <v>540</v>
      </c>
      <c r="B45" s="24" t="str">
        <f aca="false">IF(INPUTS!$B$49="","","P - "&amp;INPUTS!$B$49&amp;" "&amp;INPUTS!$B$33&amp;" Finishing (Labour)")</f>
        <v>P - L-07 Plumbing Finishing (Labour)</v>
      </c>
      <c r="C45" s="28" t="n">
        <f aca="false">(BUDGET!$J$19-BUDGET!$G$19)*INPUTS!$E$49*$P$9</f>
        <v>0</v>
      </c>
      <c r="D45" s="19" t="n">
        <f aca="false">IFERROR(C45/$C$4,0)</f>
        <v>0</v>
      </c>
      <c r="E45" s="49"/>
      <c r="F45" s="19" t="n">
        <f aca="false">IFERROR(E45/C45,0)</f>
        <v>0</v>
      </c>
      <c r="G45" s="28" t="n">
        <f aca="false">C45-E45</f>
        <v>0</v>
      </c>
      <c r="H45" s="28" t="n">
        <f aca="false">E45*INPUTS!$C$29</f>
        <v>0</v>
      </c>
      <c r="J45" s="24"/>
      <c r="K45" s="28" t="n">
        <f aca="false">BUDGET!$D$19*INPUTS!$E$49</f>
        <v>0</v>
      </c>
      <c r="L45" s="24"/>
      <c r="M45" s="28" t="n">
        <f aca="false">BUDGET!$H$19*INPUTS!$E$49</f>
        <v>0</v>
      </c>
      <c r="N45" s="13" t="n">
        <f aca="false">BUDGET!$C$19*INPUTS!$E$49</f>
        <v>0</v>
      </c>
    </row>
    <row r="46" customFormat="false" ht="15" hidden="false" customHeight="false" outlineLevel="0" collapsed="false">
      <c r="A46" s="24" t="s">
        <v>541</v>
      </c>
      <c r="B46" s="24" t="str">
        <f aca="false">IF(INPUTS!$B$50="","","P - "&amp;INPUTS!$B$50&amp;" "&amp;INPUTS!$B$33&amp;" Finishing (Labour)")</f>
        <v>P - L-08 Plumbing Finishing (Labour)</v>
      </c>
      <c r="C46" s="28" t="n">
        <f aca="false">(BUDGET!$J$19-BUDGET!$G$19)*INPUTS!$E$50*$P$9</f>
        <v>0</v>
      </c>
      <c r="D46" s="19" t="n">
        <f aca="false">IFERROR(C46/$C$4,0)</f>
        <v>0</v>
      </c>
      <c r="E46" s="49"/>
      <c r="F46" s="19" t="n">
        <f aca="false">IFERROR(E46/C46,0)</f>
        <v>0</v>
      </c>
      <c r="G46" s="28" t="n">
        <f aca="false">C46-E46</f>
        <v>0</v>
      </c>
      <c r="H46" s="28" t="n">
        <f aca="false">E46*INPUTS!$C$29</f>
        <v>0</v>
      </c>
      <c r="J46" s="24"/>
      <c r="K46" s="28" t="n">
        <f aca="false">BUDGET!$D$19*INPUTS!$E$50</f>
        <v>0</v>
      </c>
      <c r="L46" s="24"/>
      <c r="M46" s="28" t="n">
        <f aca="false">BUDGET!$H$19*INPUTS!$E$50</f>
        <v>0</v>
      </c>
      <c r="N46" s="13" t="n">
        <f aca="false">BUDGET!$C$19*INPUTS!$E$50</f>
        <v>0</v>
      </c>
    </row>
    <row r="47" customFormat="false" ht="15" hidden="false" customHeight="false" outlineLevel="0" collapsed="false">
      <c r="A47" s="24" t="s">
        <v>542</v>
      </c>
      <c r="B47" s="24" t="str">
        <f aca="false">IF(INPUTS!$B$51="","","P - "&amp;INPUTS!$B$51&amp;" "&amp;INPUTS!$B$33&amp;" Finishing (Labour)")</f>
        <v>P - L-09 Plumbing Finishing (Labour)</v>
      </c>
      <c r="C47" s="28" t="n">
        <f aca="false">(BUDGET!$J$19-BUDGET!$G$19)*INPUTS!$E$51*$P$9</f>
        <v>0</v>
      </c>
      <c r="D47" s="19" t="n">
        <f aca="false">IFERROR(C47/$C$4,0)</f>
        <v>0</v>
      </c>
      <c r="E47" s="49"/>
      <c r="F47" s="19" t="n">
        <f aca="false">IFERROR(E47/C47,0)</f>
        <v>0</v>
      </c>
      <c r="G47" s="28" t="n">
        <f aca="false">C47-E47</f>
        <v>0</v>
      </c>
      <c r="H47" s="28" t="n">
        <f aca="false">E47*INPUTS!$C$29</f>
        <v>0</v>
      </c>
      <c r="J47" s="24"/>
      <c r="K47" s="28" t="n">
        <f aca="false">BUDGET!$D$19*INPUTS!$E$51</f>
        <v>0</v>
      </c>
      <c r="L47" s="24"/>
      <c r="M47" s="28" t="n">
        <f aca="false">BUDGET!$H$19*INPUTS!$E$51</f>
        <v>0</v>
      </c>
      <c r="N47" s="13" t="n">
        <f aca="false">BUDGET!$C$19*INPUTS!$E$51</f>
        <v>0</v>
      </c>
    </row>
    <row r="48" customFormat="false" ht="15" hidden="false" customHeight="false" outlineLevel="0" collapsed="false">
      <c r="A48" s="24" t="s">
        <v>543</v>
      </c>
      <c r="B48" s="24" t="str">
        <f aca="false">IF(INPUTS!$B$52="","","P - "&amp;INPUTS!$B$52&amp;" "&amp;INPUTS!$B$33&amp;" Finishing (Labour)")</f>
        <v>P - L-10 Plumbing Finishing (Labour)</v>
      </c>
      <c r="C48" s="28" t="n">
        <f aca="false">(BUDGET!$J$19-BUDGET!$G$19)*INPUTS!$E$52*$P$9</f>
        <v>0</v>
      </c>
      <c r="D48" s="19" t="n">
        <f aca="false">IFERROR(C48/$C$4,0)</f>
        <v>0</v>
      </c>
      <c r="E48" s="49"/>
      <c r="F48" s="19" t="n">
        <f aca="false">IFERROR(E48/C48,0)</f>
        <v>0</v>
      </c>
      <c r="G48" s="28" t="n">
        <f aca="false">C48-E48</f>
        <v>0</v>
      </c>
      <c r="H48" s="28" t="n">
        <f aca="false">E48*INPUTS!$C$29</f>
        <v>0</v>
      </c>
      <c r="J48" s="24"/>
      <c r="K48" s="28" t="n">
        <f aca="false">BUDGET!$D$19*INPUTS!$E$52</f>
        <v>0</v>
      </c>
      <c r="L48" s="24"/>
      <c r="M48" s="28" t="n">
        <f aca="false">BUDGET!$H$19*INPUTS!$E$52</f>
        <v>0</v>
      </c>
      <c r="N48" s="13" t="n">
        <f aca="false">BUDGET!$C$19*INPUTS!$E$52</f>
        <v>0</v>
      </c>
    </row>
    <row r="49" customFormat="false" ht="15" hidden="false" customHeight="false" outlineLevel="0" collapsed="false">
      <c r="A49" s="24" t="s">
        <v>544</v>
      </c>
      <c r="B49" s="24" t="str">
        <f aca="false">IF(INPUTS!$B$53="","","P - "&amp;INPUTS!$B$53&amp;" "&amp;INPUTS!$B$33&amp;" Finishing (Labour)")</f>
        <v>P - ROOF Plumbing Finishing (Labour)</v>
      </c>
      <c r="C49" s="28" t="n">
        <f aca="false">(BUDGET!$J$19-BUDGET!$G$19)*INPUTS!$E$53*$P$9</f>
        <v>0</v>
      </c>
      <c r="D49" s="19" t="n">
        <f aca="false">IFERROR(C49/$C$4,0)</f>
        <v>0</v>
      </c>
      <c r="E49" s="49"/>
      <c r="F49" s="19" t="n">
        <f aca="false">IFERROR(E49/C49,0)</f>
        <v>0</v>
      </c>
      <c r="G49" s="28" t="n">
        <f aca="false">C49-E49</f>
        <v>0</v>
      </c>
      <c r="H49" s="28" t="n">
        <f aca="false">E49*INPUTS!$C$29</f>
        <v>0</v>
      </c>
      <c r="J49" s="24"/>
      <c r="K49" s="28" t="n">
        <f aca="false">BUDGET!$D$19*INPUTS!$E$53</f>
        <v>0</v>
      </c>
      <c r="L49" s="24"/>
      <c r="M49" s="28" t="n">
        <f aca="false">BUDGET!$H$19*INPUTS!$E$53</f>
        <v>0</v>
      </c>
      <c r="N49" s="13" t="n">
        <f aca="false">BUDGET!$C$19*INPUTS!$E$53</f>
        <v>0</v>
      </c>
    </row>
    <row r="50" customFormat="false" ht="15" hidden="false" customHeight="false" outlineLevel="0" collapsed="false">
      <c r="A50" s="24" t="s">
        <v>545</v>
      </c>
      <c r="B50" s="24" t="str">
        <f aca="false">IF(INPUTS!$B$54="","","P - "&amp;INPUTS!$B$54&amp;" "&amp;INPUTS!$B$33&amp;" Finishing (Labour)")</f>
        <v/>
      </c>
      <c r="C50" s="28" t="n">
        <f aca="false">(BUDGET!$J$19-BUDGET!$G$19)*INPUTS!$E$54*$P$9</f>
        <v>0</v>
      </c>
      <c r="D50" s="19" t="n">
        <f aca="false">IFERROR(C50/$C$4,0)</f>
        <v>0</v>
      </c>
      <c r="E50" s="49"/>
      <c r="F50" s="19" t="n">
        <f aca="false">IFERROR(E50/C50,0)</f>
        <v>0</v>
      </c>
      <c r="G50" s="28" t="n">
        <f aca="false">C50-E50</f>
        <v>0</v>
      </c>
      <c r="H50" s="28" t="n">
        <f aca="false">E50*INPUTS!$C$29</f>
        <v>0</v>
      </c>
      <c r="J50" s="24"/>
      <c r="K50" s="28" t="n">
        <f aca="false">BUDGET!$D$19*INPUTS!$E$54</f>
        <v>0</v>
      </c>
      <c r="L50" s="24"/>
      <c r="M50" s="28" t="n">
        <f aca="false">BUDGET!$H$19*INPUTS!$E$54</f>
        <v>0</v>
      </c>
      <c r="N50" s="13" t="n">
        <f aca="false">BUDGET!$C$19*INPUTS!$E$54</f>
        <v>0</v>
      </c>
    </row>
    <row r="51" customFormat="false" ht="15" hidden="false" customHeight="false" outlineLevel="0" collapsed="false">
      <c r="A51" s="24" t="s">
        <v>546</v>
      </c>
      <c r="B51" s="24" t="str">
        <f aca="false">IF(INPUTS!$B$55="","","P - "&amp;INPUTS!$B$55&amp;" "&amp;INPUTS!$B$33&amp;" Finishing (Labour)")</f>
        <v/>
      </c>
      <c r="C51" s="28" t="n">
        <f aca="false">(BUDGET!$J$19-BUDGET!$G$19)*INPUTS!$E$55*$P$9</f>
        <v>0</v>
      </c>
      <c r="D51" s="19" t="n">
        <f aca="false">IFERROR(C51/$C$4,0)</f>
        <v>0</v>
      </c>
      <c r="E51" s="49"/>
      <c r="F51" s="19" t="n">
        <f aca="false">IFERROR(E51/C51,0)</f>
        <v>0</v>
      </c>
      <c r="G51" s="28" t="n">
        <f aca="false">C51-E51</f>
        <v>0</v>
      </c>
      <c r="H51" s="28" t="n">
        <f aca="false">E51*INPUTS!$C$29</f>
        <v>0</v>
      </c>
      <c r="J51" s="24"/>
      <c r="K51" s="28" t="n">
        <f aca="false">BUDGET!$D$19*INPUTS!$E$55</f>
        <v>0</v>
      </c>
      <c r="L51" s="24"/>
      <c r="M51" s="28" t="n">
        <f aca="false">BUDGET!$H$19*INPUTS!$E$55</f>
        <v>0</v>
      </c>
      <c r="N51" s="13" t="n">
        <f aca="false">BUDGET!$C$19*INPUTS!$E$55</f>
        <v>0</v>
      </c>
    </row>
    <row r="52" customFormat="false" ht="15" hidden="false" customHeight="false" outlineLevel="0" collapsed="false">
      <c r="A52" s="24" t="s">
        <v>547</v>
      </c>
      <c r="B52" s="24" t="str">
        <f aca="false">IF(INPUTS!$B$56="","","P - "&amp;INPUTS!$B$56&amp;" "&amp;INPUTS!$B$33&amp;" Finishing (Labour)")</f>
        <v/>
      </c>
      <c r="C52" s="28" t="n">
        <f aca="false">(BUDGET!$J$19-BUDGET!$G$19)*INPUTS!$E$56*$P$9</f>
        <v>0</v>
      </c>
      <c r="D52" s="19" t="n">
        <f aca="false">IFERROR(C52/$C$4,0)</f>
        <v>0</v>
      </c>
      <c r="E52" s="49"/>
      <c r="F52" s="19" t="n">
        <f aca="false">IFERROR(E52/C52,0)</f>
        <v>0</v>
      </c>
      <c r="G52" s="28" t="n">
        <f aca="false">C52-E52</f>
        <v>0</v>
      </c>
      <c r="H52" s="28" t="n">
        <f aca="false">E52*INPUTS!$C$29</f>
        <v>0</v>
      </c>
      <c r="J52" s="24"/>
      <c r="K52" s="28" t="n">
        <f aca="false">BUDGET!$D$19*INPUTS!$E$56</f>
        <v>0</v>
      </c>
      <c r="L52" s="24"/>
      <c r="M52" s="28" t="n">
        <f aca="false">BUDGET!$H$19*INPUTS!$E$56</f>
        <v>0</v>
      </c>
      <c r="N52" s="13" t="n">
        <f aca="false">BUDGET!$C$19*INPUTS!$E$56</f>
        <v>0</v>
      </c>
    </row>
    <row r="53" customFormat="false" ht="15" hidden="false" customHeight="false" outlineLevel="0" collapsed="false">
      <c r="A53" s="24" t="s">
        <v>548</v>
      </c>
      <c r="B53" s="24" t="str">
        <f aca="false">IF(INPUTS!$B$57="","","P - "&amp;INPUTS!$B$57&amp;" "&amp;INPUTS!$B$33&amp;" Finishing (Labour)")</f>
        <v/>
      </c>
      <c r="C53" s="28" t="n">
        <f aca="false">(BUDGET!$J$19-BUDGET!$G$19)*INPUTS!$E$57*$P$9</f>
        <v>0</v>
      </c>
      <c r="D53" s="19" t="n">
        <f aca="false">IFERROR(C53/$C$4,0)</f>
        <v>0</v>
      </c>
      <c r="E53" s="49"/>
      <c r="F53" s="19" t="n">
        <f aca="false">IFERROR(E53/C53,0)</f>
        <v>0</v>
      </c>
      <c r="G53" s="28" t="n">
        <f aca="false">C53-E53</f>
        <v>0</v>
      </c>
      <c r="H53" s="28" t="n">
        <f aca="false">E53*INPUTS!$C$29</f>
        <v>0</v>
      </c>
      <c r="J53" s="24"/>
      <c r="K53" s="28" t="n">
        <f aca="false">BUDGET!$D$19*INPUTS!$E$57</f>
        <v>0</v>
      </c>
      <c r="L53" s="24"/>
      <c r="M53" s="28" t="n">
        <f aca="false">BUDGET!$H$19*INPUTS!$E$57</f>
        <v>0</v>
      </c>
      <c r="N53" s="13" t="n">
        <f aca="false">BUDGET!$C$19*INPUTS!$E$57</f>
        <v>0</v>
      </c>
    </row>
    <row r="54" customFormat="false" ht="15" hidden="false" customHeight="false" outlineLevel="0" collapsed="false">
      <c r="A54" s="24" t="s">
        <v>549</v>
      </c>
      <c r="B54" s="24" t="str">
        <f aca="false">IF(INPUTS!$B$58="","","P - "&amp;INPUTS!$B$58&amp;" "&amp;INPUTS!$B$33&amp;" Finishing (Labour)")</f>
        <v/>
      </c>
      <c r="C54" s="28" t="n">
        <f aca="false">(BUDGET!$J$19-BUDGET!$G$19)*INPUTS!$E$58*$P$9</f>
        <v>0</v>
      </c>
      <c r="D54" s="19" t="n">
        <f aca="false">IFERROR(C54/$C$4,0)</f>
        <v>0</v>
      </c>
      <c r="E54" s="49"/>
      <c r="F54" s="19" t="n">
        <f aca="false">IFERROR(E54/C54,0)</f>
        <v>0</v>
      </c>
      <c r="G54" s="28" t="n">
        <f aca="false">C54-E54</f>
        <v>0</v>
      </c>
      <c r="H54" s="28" t="n">
        <f aca="false">E54*INPUTS!$C$29</f>
        <v>0</v>
      </c>
      <c r="J54" s="24"/>
      <c r="K54" s="28" t="n">
        <f aca="false">BUDGET!$D$19*INPUTS!$E$58</f>
        <v>0</v>
      </c>
      <c r="L54" s="24"/>
      <c r="M54" s="28" t="n">
        <f aca="false">BUDGET!$H$19*INPUTS!$E$58</f>
        <v>0</v>
      </c>
      <c r="N54" s="13" t="n">
        <f aca="false">BUDGET!$C$19*INPUTS!$E$58</f>
        <v>0</v>
      </c>
    </row>
    <row r="55" customFormat="false" ht="15" hidden="false" customHeight="false" outlineLevel="0" collapsed="false">
      <c r="A55" s="24" t="s">
        <v>550</v>
      </c>
      <c r="B55" s="24" t="str">
        <f aca="false">IF(INPUTS!$B$59="","","P - "&amp;INPUTS!$B$59&amp;" "&amp;INPUTS!$B$33&amp;" Finishing (Labour)")</f>
        <v/>
      </c>
      <c r="C55" s="28" t="n">
        <f aca="false">(BUDGET!$J$19-BUDGET!$G$19)*INPUTS!$E$59*$P$9</f>
        <v>0</v>
      </c>
      <c r="D55" s="19" t="n">
        <f aca="false">IFERROR(C55/$C$4,0)</f>
        <v>0</v>
      </c>
      <c r="E55" s="49"/>
      <c r="F55" s="19" t="n">
        <f aca="false">IFERROR(E55/C55,0)</f>
        <v>0</v>
      </c>
      <c r="G55" s="28" t="n">
        <f aca="false">C55-E55</f>
        <v>0</v>
      </c>
      <c r="H55" s="28" t="n">
        <f aca="false">E55*INPUTS!$C$29</f>
        <v>0</v>
      </c>
      <c r="J55" s="24"/>
      <c r="K55" s="28" t="n">
        <f aca="false">BUDGET!$D$19*INPUTS!$E$59</f>
        <v>0</v>
      </c>
      <c r="L55" s="24"/>
      <c r="M55" s="28" t="n">
        <f aca="false">BUDGET!$H$19*INPUTS!$E$59</f>
        <v>0</v>
      </c>
      <c r="N55" s="13" t="n">
        <f aca="false">BUDGET!$C$19*INPUTS!$E$59</f>
        <v>0</v>
      </c>
    </row>
    <row r="56" customFormat="false" ht="15" hidden="false" customHeight="false" outlineLevel="0" collapsed="false">
      <c r="A56" s="24" t="s">
        <v>551</v>
      </c>
      <c r="B56" s="24" t="str">
        <f aca="false">IF(INPUTS!$B$60="","","P - "&amp;INPUTS!$B$60&amp;" "&amp;INPUTS!$B$33&amp;" Finishing (Labour)")</f>
        <v/>
      </c>
      <c r="C56" s="28" t="n">
        <f aca="false">(BUDGET!$J$19-BUDGET!$G$19)*INPUTS!$E$60*$P$9</f>
        <v>0</v>
      </c>
      <c r="D56" s="19" t="n">
        <f aca="false">IFERROR(C56/$C$4,0)</f>
        <v>0</v>
      </c>
      <c r="E56" s="49"/>
      <c r="F56" s="19" t="n">
        <f aca="false">IFERROR(E56/C56,0)</f>
        <v>0</v>
      </c>
      <c r="G56" s="28" t="n">
        <f aca="false">C56-E56</f>
        <v>0</v>
      </c>
      <c r="H56" s="28" t="n">
        <f aca="false">E56*INPUTS!$C$29</f>
        <v>0</v>
      </c>
      <c r="J56" s="24"/>
      <c r="K56" s="28" t="n">
        <f aca="false">BUDGET!$D$19*INPUTS!$E$60</f>
        <v>0</v>
      </c>
      <c r="L56" s="24"/>
      <c r="M56" s="28" t="n">
        <f aca="false">BUDGET!$H$19*INPUTS!$E$60</f>
        <v>0</v>
      </c>
      <c r="N56" s="13" t="n">
        <f aca="false">BUDGET!$C$19*INPUTS!$E$60</f>
        <v>0</v>
      </c>
    </row>
    <row r="57" customFormat="false" ht="15" hidden="false" customHeight="false" outlineLevel="0" collapsed="false">
      <c r="A57" s="24" t="s">
        <v>552</v>
      </c>
      <c r="B57" s="24" t="str">
        <f aca="false">IF(INPUTS!$B$61="","","P - "&amp;INPUTS!$B$61&amp;" "&amp;INPUTS!$B$33&amp;" Finishing (Labour)")</f>
        <v/>
      </c>
      <c r="C57" s="28" t="n">
        <f aca="false">(BUDGET!$J$19-BUDGET!$G$19)*INPUTS!$E$61*$P$9</f>
        <v>0</v>
      </c>
      <c r="D57" s="19" t="n">
        <f aca="false">IFERROR(C57/$C$4,0)</f>
        <v>0</v>
      </c>
      <c r="E57" s="49"/>
      <c r="F57" s="19" t="n">
        <f aca="false">IFERROR(E57/C57,0)</f>
        <v>0</v>
      </c>
      <c r="G57" s="28" t="n">
        <f aca="false">C57-E57</f>
        <v>0</v>
      </c>
      <c r="H57" s="28" t="n">
        <f aca="false">E57*INPUTS!$C$29</f>
        <v>0</v>
      </c>
      <c r="J57" s="24"/>
      <c r="K57" s="28" t="n">
        <f aca="false">BUDGET!$D$19*INPUTS!$E$61</f>
        <v>0</v>
      </c>
      <c r="L57" s="24"/>
      <c r="M57" s="28" t="n">
        <f aca="false">BUDGET!$H$19*INPUTS!$E$61</f>
        <v>0</v>
      </c>
      <c r="N57" s="13" t="n">
        <f aca="false">BUDGET!$C$19*INPUTS!$E$61</f>
        <v>0</v>
      </c>
    </row>
    <row r="58" customFormat="false" ht="15" hidden="false" customHeight="false" outlineLevel="0" collapsed="false">
      <c r="A58" s="24" t="s">
        <v>553</v>
      </c>
      <c r="B58" s="24" t="str">
        <f aca="false">IF(INPUTS!$B$62="","","P - "&amp;INPUTS!$B$62&amp;" "&amp;INPUTS!$B$33&amp;" Finishing (Labour)")</f>
        <v/>
      </c>
      <c r="C58" s="28" t="n">
        <f aca="false">(BUDGET!$J$19-BUDGET!$G$19)*INPUTS!$E$62*$P$9</f>
        <v>0</v>
      </c>
      <c r="D58" s="19" t="n">
        <f aca="false">IFERROR(C58/$C$4,0)</f>
        <v>0</v>
      </c>
      <c r="E58" s="49"/>
      <c r="F58" s="19" t="n">
        <f aca="false">IFERROR(E58/C58,0)</f>
        <v>0</v>
      </c>
      <c r="G58" s="28" t="n">
        <f aca="false">C58-E58</f>
        <v>0</v>
      </c>
      <c r="H58" s="28" t="n">
        <f aca="false">E58*INPUTS!$C$29</f>
        <v>0</v>
      </c>
      <c r="J58" s="24"/>
      <c r="K58" s="28" t="n">
        <f aca="false">BUDGET!$D$19*INPUTS!$E$62</f>
        <v>0</v>
      </c>
      <c r="L58" s="24"/>
      <c r="M58" s="28" t="n">
        <f aca="false">BUDGET!$H$19*INPUTS!$E$62</f>
        <v>0</v>
      </c>
      <c r="N58" s="13" t="n">
        <f aca="false">BUDGET!$C$19*INPUTS!$E$62</f>
        <v>0</v>
      </c>
    </row>
    <row r="59" customFormat="false" ht="15" hidden="false" customHeight="false" outlineLevel="0" collapsed="false">
      <c r="A59" s="24" t="s">
        <v>554</v>
      </c>
      <c r="B59" s="24" t="str">
        <f aca="false">IF(INPUTS!$B$63="","","P - "&amp;INPUTS!$B$63&amp;" "&amp;INPUTS!$B$33&amp;" Finishing (Labour)")</f>
        <v/>
      </c>
      <c r="C59" s="28" t="n">
        <f aca="false">(BUDGET!$J$19-BUDGET!$G$19)*INPUTS!$E$63*$P$9</f>
        <v>0</v>
      </c>
      <c r="D59" s="19" t="n">
        <f aca="false">IFERROR(C59/$C$4,0)</f>
        <v>0</v>
      </c>
      <c r="E59" s="49"/>
      <c r="F59" s="19" t="n">
        <f aca="false">IFERROR(E59/C59,0)</f>
        <v>0</v>
      </c>
      <c r="G59" s="28" t="n">
        <f aca="false">C59-E59</f>
        <v>0</v>
      </c>
      <c r="H59" s="28" t="n">
        <f aca="false">E59*INPUTS!$C$29</f>
        <v>0</v>
      </c>
      <c r="J59" s="24"/>
      <c r="K59" s="28" t="n">
        <f aca="false">BUDGET!$D$19*INPUTS!$E$63</f>
        <v>0</v>
      </c>
      <c r="L59" s="24"/>
      <c r="M59" s="28" t="n">
        <f aca="false">BUDGET!$H$19*INPUTS!$E$63</f>
        <v>0</v>
      </c>
      <c r="N59" s="13" t="n">
        <f aca="false">BUDGET!$C$19*INPUTS!$E$63</f>
        <v>0</v>
      </c>
    </row>
    <row r="60" customFormat="false" ht="15" hidden="false" customHeight="false" outlineLevel="0" collapsed="false">
      <c r="A60" s="24" t="s">
        <v>555</v>
      </c>
      <c r="B60" s="24" t="str">
        <f aca="false">"P - "&amp;MID(INPUTS!$B$71,4,80)</f>
        <v>P - Material Supply</v>
      </c>
      <c r="C60" s="28" t="n">
        <f aca="false">(BUDGET!$J$20-BUDGET!$G$20)*$P$9</f>
        <v>124514.477057953</v>
      </c>
      <c r="D60" s="19" t="n">
        <f aca="false">IFERROR(C60/$C$4,0)</f>
        <v>0.254735018531</v>
      </c>
      <c r="E60" s="49"/>
      <c r="F60" s="19" t="n">
        <f aca="false">IFERROR(E60/C60,0)</f>
        <v>0</v>
      </c>
      <c r="G60" s="28" t="n">
        <f aca="false">C60-E60</f>
        <v>124514.477057953</v>
      </c>
      <c r="H60" s="28" t="n">
        <f aca="false">E60*INPUTS!$C$29</f>
        <v>0</v>
      </c>
      <c r="J60" s="28" t="n">
        <f aca="false">BUDGET!$F$20+BUDGET!$F$25</f>
        <v>107393.76</v>
      </c>
      <c r="K60" s="28" t="n">
        <f aca="false">BUDGET!$D$20</f>
        <v>0</v>
      </c>
      <c r="L60" s="24"/>
      <c r="M60" s="28" t="n">
        <f aca="false">BUDGET!$H$20</f>
        <v>0</v>
      </c>
      <c r="N60" s="13" t="n">
        <f aca="false">BUDGET!$C$20</f>
        <v>0</v>
      </c>
    </row>
    <row r="61" customFormat="false" ht="15" hidden="false" customHeight="false" outlineLevel="0" collapsed="false">
      <c r="A61" s="24" t="s">
        <v>556</v>
      </c>
      <c r="B61" s="24" t="str">
        <f aca="false">"P - "&amp;MID(INPUTS!$B$72,4,80)</f>
        <v>P - Fixtures &amp; Equipment Supply</v>
      </c>
      <c r="C61" s="28" t="n">
        <f aca="false">(BUDGET!$J$21-BUDGET!$G$21)*$P$9</f>
        <v>0</v>
      </c>
      <c r="D61" s="19" t="n">
        <f aca="false">IFERROR(C61/$C$4,0)</f>
        <v>0</v>
      </c>
      <c r="E61" s="49"/>
      <c r="F61" s="19" t="n">
        <f aca="false">IFERROR(E61/C61,0)</f>
        <v>0</v>
      </c>
      <c r="G61" s="28" t="n">
        <f aca="false">C61-E61</f>
        <v>0</v>
      </c>
      <c r="H61" s="28" t="n">
        <f aca="false">E61*INPUTS!$C$29</f>
        <v>0</v>
      </c>
      <c r="J61" s="28" t="n">
        <f aca="false">BUDGET!$F$21</f>
        <v>0</v>
      </c>
      <c r="K61" s="28" t="n">
        <f aca="false">BUDGET!$D$21</f>
        <v>0</v>
      </c>
      <c r="L61" s="24"/>
      <c r="M61" s="28" t="n">
        <f aca="false">BUDGET!$H$21</f>
        <v>0</v>
      </c>
      <c r="N61" s="13" t="n">
        <f aca="false">BUDGET!$C$21</f>
        <v>0</v>
      </c>
    </row>
    <row r="62" customFormat="false" ht="15" hidden="false" customHeight="false" outlineLevel="0" collapsed="false">
      <c r="A62" s="24" t="s">
        <v>557</v>
      </c>
      <c r="B62" s="24" t="str">
        <f aca="false">"P - "&amp;MID(INPUTS!$B$73,4,80)</f>
        <v>P - Testing, TAB &amp; Commissioning</v>
      </c>
      <c r="C62" s="28" t="n">
        <f aca="false">(BUDGET!$J$22-BUDGET!$G$22)*$P$9</f>
        <v>0</v>
      </c>
      <c r="D62" s="19" t="n">
        <f aca="false">IFERROR(C62/$C$4,0)</f>
        <v>0</v>
      </c>
      <c r="E62" s="49"/>
      <c r="F62" s="19" t="n">
        <f aca="false">IFERROR(E62/C62,0)</f>
        <v>0</v>
      </c>
      <c r="G62" s="28" t="n">
        <f aca="false">C62-E62</f>
        <v>0</v>
      </c>
      <c r="H62" s="28" t="n">
        <f aca="false">E62*INPUTS!$C$29</f>
        <v>0</v>
      </c>
      <c r="J62" s="28" t="n">
        <f aca="false">BUDGET!$F$22</f>
        <v>0</v>
      </c>
      <c r="K62" s="28" t="n">
        <f aca="false">BUDGET!$D$22</f>
        <v>0</v>
      </c>
      <c r="L62" s="24"/>
      <c r="M62" s="28" t="n">
        <f aca="false">BUDGET!$H$22</f>
        <v>0</v>
      </c>
      <c r="N62" s="13" t="n">
        <f aca="false">BUDGET!$C$22</f>
        <v>0</v>
      </c>
    </row>
    <row r="63" customFormat="false" ht="15" hidden="false" customHeight="false" outlineLevel="0" collapsed="false">
      <c r="A63" s="24" t="s">
        <v>558</v>
      </c>
      <c r="B63" s="24" t="str">
        <f aca="false">"P - "&amp;MID(INPUTS!$B$74,4,80)</f>
        <v>P - Completion &amp; Final Documents</v>
      </c>
      <c r="C63" s="28" t="n">
        <f aca="false">(BUDGET!$J$23-BUDGET!$G$23)*$P$9</f>
        <v>0</v>
      </c>
      <c r="D63" s="19" t="n">
        <f aca="false">IFERROR(C63/$C$4,0)</f>
        <v>0</v>
      </c>
      <c r="E63" s="49"/>
      <c r="F63" s="19" t="n">
        <f aca="false">IFERROR(E63/C63,0)</f>
        <v>0</v>
      </c>
      <c r="G63" s="28" t="n">
        <f aca="false">C63-E63</f>
        <v>0</v>
      </c>
      <c r="H63" s="28" t="n">
        <f aca="false">E63*INPUTS!$C$29</f>
        <v>0</v>
      </c>
      <c r="J63" s="28" t="n">
        <f aca="false">BUDGET!$F$23</f>
        <v>0</v>
      </c>
      <c r="K63" s="28" t="n">
        <f aca="false">BUDGET!$D$23</f>
        <v>0</v>
      </c>
      <c r="L63" s="24"/>
      <c r="M63" s="28" t="n">
        <f aca="false">BUDGET!$H$23</f>
        <v>0</v>
      </c>
      <c r="N63" s="13" t="n">
        <f aca="false">BUDGET!$C$23</f>
        <v>0</v>
      </c>
    </row>
    <row r="64" customFormat="false" ht="15" hidden="false" customHeight="false" outlineLevel="0" collapsed="false">
      <c r="A64" s="24" t="s">
        <v>559</v>
      </c>
      <c r="B64" s="24" t="str">
        <f aca="false">"P - "&amp;MID(INPUTS!$B$75,4,80)</f>
        <v>P - Office, Supervision &amp; General</v>
      </c>
      <c r="C64" s="28" t="n">
        <f aca="false">(BUDGET!$J$24-BUDGET!$G$24)*$P$9</f>
        <v>212869.518562718</v>
      </c>
      <c r="D64" s="19" t="n">
        <f aca="false">IFERROR(C64/$C$4,0)</f>
        <v>0.435494105079211</v>
      </c>
      <c r="E64" s="49"/>
      <c r="F64" s="19" t="n">
        <f aca="false">IFERROR(E64/C64,0)</f>
        <v>0</v>
      </c>
      <c r="G64" s="28" t="n">
        <f aca="false">C64-E64</f>
        <v>212869.518562718</v>
      </c>
      <c r="H64" s="28" t="n">
        <f aca="false">E64*INPUTS!$C$29</f>
        <v>0</v>
      </c>
      <c r="J64" s="28" t="n">
        <f aca="false">BUDGET!$F$24</f>
        <v>0</v>
      </c>
      <c r="K64" s="28" t="n">
        <f aca="false">BUDGET!$D$24</f>
        <v>0</v>
      </c>
      <c r="L64" s="24"/>
      <c r="M64" s="28" t="n">
        <f aca="false">BUDGET!$H$24</f>
        <v>180000</v>
      </c>
      <c r="N64" s="13" t="n">
        <f aca="false">BUDGET!$C$24</f>
        <v>0</v>
      </c>
    </row>
    <row r="65" customFormat="false" ht="15" hidden="false" customHeight="false" outlineLevel="0" collapsed="false">
      <c r="A65" s="24" t="s">
        <v>560</v>
      </c>
      <c r="B65" s="24" t="str">
        <f aca="false">IF('SUBS &amp; GC'!$B$7="","","P - "&amp;'SUBS &amp; GC'!$B$7)</f>
        <v>P - Insulation and Heat Trace</v>
      </c>
      <c r="C65" s="28" t="n">
        <f aca="false">'SUBS &amp; GC'!$M$7*$P$9</f>
        <v>0</v>
      </c>
      <c r="D65" s="19" t="n">
        <f aca="false">IFERROR(C65/$C$4,0)</f>
        <v>0</v>
      </c>
      <c r="E65" s="49"/>
      <c r="F65" s="19" t="n">
        <f aca="false">IFERROR(E65/C65,0)</f>
        <v>0</v>
      </c>
      <c r="G65" s="28" t="n">
        <f aca="false">C65-E65</f>
        <v>0</v>
      </c>
      <c r="H65" s="28" t="n">
        <f aca="false">E65*INPUTS!$C$29</f>
        <v>0</v>
      </c>
      <c r="J65" s="24"/>
      <c r="K65" s="24"/>
      <c r="L65" s="28" t="n">
        <f aca="false">'SUBS &amp; GC'!$M$7</f>
        <v>0</v>
      </c>
      <c r="M65" s="24"/>
      <c r="N65" s="24"/>
    </row>
    <row r="66" customFormat="false" ht="15" hidden="false" customHeight="false" outlineLevel="0" collapsed="false">
      <c r="A66" s="24" t="s">
        <v>561</v>
      </c>
      <c r="B66" s="24" t="str">
        <f aca="false">IF('SUBS &amp; GC'!$B$8="","","P - "&amp;'SUBS &amp; GC'!$B$8)</f>
        <v>P - Duct Insulation</v>
      </c>
      <c r="C66" s="28" t="n">
        <f aca="false">'SUBS &amp; GC'!$M$8*$P$9</f>
        <v>0</v>
      </c>
      <c r="D66" s="19" t="n">
        <f aca="false">IFERROR(C66/$C$4,0)</f>
        <v>0</v>
      </c>
      <c r="E66" s="49"/>
      <c r="F66" s="19" t="n">
        <f aca="false">IFERROR(E66/C66,0)</f>
        <v>0</v>
      </c>
      <c r="G66" s="28" t="n">
        <f aca="false">C66-E66</f>
        <v>0</v>
      </c>
      <c r="H66" s="28" t="n">
        <f aca="false">E66*INPUTS!$C$29</f>
        <v>0</v>
      </c>
      <c r="J66" s="24"/>
      <c r="K66" s="24"/>
      <c r="L66" s="28" t="n">
        <f aca="false">'SUBS &amp; GC'!$M$8</f>
        <v>0</v>
      </c>
      <c r="M66" s="24"/>
      <c r="N66" s="24"/>
    </row>
    <row r="67" customFormat="false" ht="15" hidden="false" customHeight="false" outlineLevel="0" collapsed="false">
      <c r="A67" s="24" t="s">
        <v>562</v>
      </c>
      <c r="B67" s="24" t="str">
        <f aca="false">IF('SUBS &amp; GC'!$B$9="","","P - "&amp;'SUBS &amp; GC'!$B$9)</f>
        <v>P - Fire Sprinklers</v>
      </c>
      <c r="C67" s="28" t="n">
        <f aca="false">'SUBS &amp; GC'!$M$9*$P$9</f>
        <v>0</v>
      </c>
      <c r="D67" s="19" t="n">
        <f aca="false">IFERROR(C67/$C$4,0)</f>
        <v>0</v>
      </c>
      <c r="E67" s="49"/>
      <c r="F67" s="19" t="n">
        <f aca="false">IFERROR(E67/C67,0)</f>
        <v>0</v>
      </c>
      <c r="G67" s="28" t="n">
        <f aca="false">C67-E67</f>
        <v>0</v>
      </c>
      <c r="H67" s="28" t="n">
        <f aca="false">E67*INPUTS!$C$29</f>
        <v>0</v>
      </c>
      <c r="J67" s="24"/>
      <c r="K67" s="24"/>
      <c r="L67" s="28" t="n">
        <f aca="false">'SUBS &amp; GC'!$M$9</f>
        <v>0</v>
      </c>
      <c r="M67" s="24"/>
      <c r="N67" s="24"/>
    </row>
    <row r="68" customFormat="false" ht="15" hidden="false" customHeight="false" outlineLevel="0" collapsed="false">
      <c r="A68" s="24" t="s">
        <v>563</v>
      </c>
      <c r="B68" s="24" t="str">
        <f aca="false">IF('SUBS &amp; GC'!$B$10="","","P - "&amp;'SUBS &amp; GC'!$B$10)</f>
        <v>P - P&amp;H Controls</v>
      </c>
      <c r="C68" s="28" t="n">
        <f aca="false">'SUBS &amp; GC'!$M$10*$P$9</f>
        <v>0</v>
      </c>
      <c r="D68" s="19" t="n">
        <f aca="false">IFERROR(C68/$C$4,0)</f>
        <v>0</v>
      </c>
      <c r="E68" s="49"/>
      <c r="F68" s="19" t="n">
        <f aca="false">IFERROR(E68/C68,0)</f>
        <v>0</v>
      </c>
      <c r="G68" s="28" t="n">
        <f aca="false">C68-E68</f>
        <v>0</v>
      </c>
      <c r="H68" s="28" t="n">
        <f aca="false">E68*INPUTS!$C$29</f>
        <v>0</v>
      </c>
      <c r="J68" s="24"/>
      <c r="K68" s="24"/>
      <c r="L68" s="28" t="n">
        <f aca="false">'SUBS &amp; GC'!$M$10</f>
        <v>0</v>
      </c>
      <c r="M68" s="24"/>
      <c r="N68" s="24"/>
    </row>
    <row r="69" customFormat="false" ht="15" hidden="false" customHeight="false" outlineLevel="0" collapsed="false">
      <c r="A69" s="24" t="s">
        <v>564</v>
      </c>
      <c r="B69" s="24" t="str">
        <f aca="false">IF('SUBS &amp; GC'!$B$11="","","P - "&amp;'SUBS &amp; GC'!$B$11)</f>
        <v>P - HVAC Controls</v>
      </c>
      <c r="C69" s="28" t="n">
        <f aca="false">'SUBS &amp; GC'!$M$11*$P$9</f>
        <v>0</v>
      </c>
      <c r="D69" s="19" t="n">
        <f aca="false">IFERROR(C69/$C$4,0)</f>
        <v>0</v>
      </c>
      <c r="E69" s="49"/>
      <c r="F69" s="19" t="n">
        <f aca="false">IFERROR(E69/C69,0)</f>
        <v>0</v>
      </c>
      <c r="G69" s="28" t="n">
        <f aca="false">C69-E69</f>
        <v>0</v>
      </c>
      <c r="H69" s="28" t="n">
        <f aca="false">E69*INPUTS!$C$29</f>
        <v>0</v>
      </c>
      <c r="J69" s="24"/>
      <c r="K69" s="24"/>
      <c r="L69" s="28" t="n">
        <f aca="false">'SUBS &amp; GC'!$M$11</f>
        <v>0</v>
      </c>
      <c r="M69" s="24"/>
      <c r="N69" s="24"/>
    </row>
    <row r="70" customFormat="false" ht="15" hidden="false" customHeight="false" outlineLevel="0" collapsed="false">
      <c r="A70" s="24" t="s">
        <v>565</v>
      </c>
      <c r="B70" s="24" t="str">
        <f aca="false">IF('SUBS &amp; GC'!$B$12="","","P - "&amp;'SUBS &amp; GC'!$B$12)</f>
        <v>P - TAB and Commissioning</v>
      </c>
      <c r="C70" s="28" t="n">
        <f aca="false">'SUBS &amp; GC'!$M$12*$P$9</f>
        <v>0</v>
      </c>
      <c r="D70" s="19" t="n">
        <f aca="false">IFERROR(C70/$C$4,0)</f>
        <v>0</v>
      </c>
      <c r="E70" s="49"/>
      <c r="F70" s="19" t="n">
        <f aca="false">IFERROR(E70/C70,0)</f>
        <v>0</v>
      </c>
      <c r="G70" s="28" t="n">
        <f aca="false">C70-E70</f>
        <v>0</v>
      </c>
      <c r="H70" s="28" t="n">
        <f aca="false">E70*INPUTS!$C$29</f>
        <v>0</v>
      </c>
      <c r="J70" s="24"/>
      <c r="K70" s="24"/>
      <c r="L70" s="28" t="n">
        <f aca="false">'SUBS &amp; GC'!$M$12</f>
        <v>0</v>
      </c>
      <c r="M70" s="24"/>
      <c r="N70" s="24"/>
    </row>
    <row r="71" customFormat="false" ht="15" hidden="false" customHeight="false" outlineLevel="0" collapsed="false">
      <c r="A71" s="24" t="s">
        <v>566</v>
      </c>
      <c r="B71" s="24" t="str">
        <f aca="false">IF('SUBS &amp; GC'!$B$13="","","P - "&amp;'SUBS &amp; GC'!$B$13)</f>
        <v>P - A/C Commissioning</v>
      </c>
      <c r="C71" s="28" t="n">
        <f aca="false">'SUBS &amp; GC'!$M$13*$P$9</f>
        <v>0</v>
      </c>
      <c r="D71" s="19" t="n">
        <f aca="false">IFERROR(C71/$C$4,0)</f>
        <v>0</v>
      </c>
      <c r="E71" s="49"/>
      <c r="F71" s="19" t="n">
        <f aca="false">IFERROR(E71/C71,0)</f>
        <v>0</v>
      </c>
      <c r="G71" s="28" t="n">
        <f aca="false">C71-E71</f>
        <v>0</v>
      </c>
      <c r="H71" s="28" t="n">
        <f aca="false">E71*INPUTS!$C$29</f>
        <v>0</v>
      </c>
      <c r="J71" s="24"/>
      <c r="K71" s="24"/>
      <c r="L71" s="28" t="n">
        <f aca="false">'SUBS &amp; GC'!$M$13</f>
        <v>0</v>
      </c>
      <c r="M71" s="24"/>
      <c r="N71" s="24"/>
    </row>
    <row r="72" customFormat="false" ht="15" hidden="false" customHeight="false" outlineLevel="0" collapsed="false">
      <c r="A72" s="24" t="s">
        <v>567</v>
      </c>
      <c r="B72" s="24" t="str">
        <f aca="false">IF('SUBS &amp; GC'!$B$14="","","P - "&amp;'SUBS &amp; GC'!$B$14)</f>
        <v>P - Canning / Piping Plans</v>
      </c>
      <c r="C72" s="28" t="n">
        <f aca="false">'SUBS &amp; GC'!$M$14*$P$9</f>
        <v>0</v>
      </c>
      <c r="D72" s="19" t="n">
        <f aca="false">IFERROR(C72/$C$4,0)</f>
        <v>0</v>
      </c>
      <c r="E72" s="49"/>
      <c r="F72" s="19" t="n">
        <f aca="false">IFERROR(E72/C72,0)</f>
        <v>0</v>
      </c>
      <c r="G72" s="28" t="n">
        <f aca="false">C72-E72</f>
        <v>0</v>
      </c>
      <c r="H72" s="28" t="n">
        <f aca="false">E72*INPUTS!$C$29</f>
        <v>0</v>
      </c>
      <c r="J72" s="24"/>
      <c r="K72" s="24"/>
      <c r="L72" s="28" t="n">
        <f aca="false">'SUBS &amp; GC'!$M$14</f>
        <v>0</v>
      </c>
      <c r="M72" s="24"/>
      <c r="N72" s="24"/>
    </row>
    <row r="73" customFormat="false" ht="15" hidden="false" customHeight="false" outlineLevel="0" collapsed="false">
      <c r="A73" s="24" t="s">
        <v>568</v>
      </c>
      <c r="B73" s="24" t="str">
        <f aca="false">IF('SUBS &amp; GC'!$B$15="","","P - "&amp;'SUBS &amp; GC'!$B$15)</f>
        <v>P - Coring / Scanning</v>
      </c>
      <c r="C73" s="28" t="n">
        <f aca="false">'SUBS &amp; GC'!$M$15*$P$9</f>
        <v>0</v>
      </c>
      <c r="D73" s="19" t="n">
        <f aca="false">IFERROR(C73/$C$4,0)</f>
        <v>0</v>
      </c>
      <c r="E73" s="49"/>
      <c r="F73" s="19" t="n">
        <f aca="false">IFERROR(E73/C73,0)</f>
        <v>0</v>
      </c>
      <c r="G73" s="28" t="n">
        <f aca="false">C73-E73</f>
        <v>0</v>
      </c>
      <c r="H73" s="28" t="n">
        <f aca="false">E73*INPUTS!$C$29</f>
        <v>0</v>
      </c>
      <c r="J73" s="24"/>
      <c r="K73" s="24"/>
      <c r="L73" s="28" t="n">
        <f aca="false">'SUBS &amp; GC'!$M$15</f>
        <v>0</v>
      </c>
      <c r="M73" s="24"/>
      <c r="N73" s="24"/>
    </row>
    <row r="74" customFormat="false" ht="15" hidden="false" customHeight="false" outlineLevel="0" collapsed="false">
      <c r="A74" s="24" t="s">
        <v>569</v>
      </c>
      <c r="B74" s="24" t="str">
        <f aca="false">IF('SUBS &amp; GC'!$B$16="","","P - "&amp;'SUBS &amp; GC'!$B$16)</f>
        <v>P - Fixtures Caulking</v>
      </c>
      <c r="C74" s="28" t="n">
        <f aca="false">'SUBS &amp; GC'!$M$16*$P$9</f>
        <v>0</v>
      </c>
      <c r="D74" s="19" t="n">
        <f aca="false">IFERROR(C74/$C$4,0)</f>
        <v>0</v>
      </c>
      <c r="E74" s="49"/>
      <c r="F74" s="19" t="n">
        <f aca="false">IFERROR(E74/C74,0)</f>
        <v>0</v>
      </c>
      <c r="G74" s="28" t="n">
        <f aca="false">C74-E74</f>
        <v>0</v>
      </c>
      <c r="H74" s="28" t="n">
        <f aca="false">E74*INPUTS!$C$29</f>
        <v>0</v>
      </c>
      <c r="J74" s="24"/>
      <c r="K74" s="24"/>
      <c r="L74" s="28" t="n">
        <f aca="false">'SUBS &amp; GC'!$M$16</f>
        <v>0</v>
      </c>
      <c r="M74" s="24"/>
      <c r="N74" s="24"/>
    </row>
    <row r="75" customFormat="false" ht="15" hidden="false" customHeight="false" outlineLevel="0" collapsed="false">
      <c r="A75" s="24" t="s">
        <v>570</v>
      </c>
      <c r="B75" s="24" t="str">
        <f aca="false">IF('SUBS &amp; GC'!$B$17="","","P - "&amp;'SUBS &amp; GC'!$B$17)</f>
        <v>P - Water Balancing</v>
      </c>
      <c r="C75" s="28" t="n">
        <f aca="false">'SUBS &amp; GC'!$M$17*$P$9</f>
        <v>0</v>
      </c>
      <c r="D75" s="19" t="n">
        <f aca="false">IFERROR(C75/$C$4,0)</f>
        <v>0</v>
      </c>
      <c r="E75" s="49"/>
      <c r="F75" s="19" t="n">
        <f aca="false">IFERROR(E75/C75,0)</f>
        <v>0</v>
      </c>
      <c r="G75" s="28" t="n">
        <f aca="false">C75-E75</f>
        <v>0</v>
      </c>
      <c r="H75" s="28" t="n">
        <f aca="false">E75*INPUTS!$C$29</f>
        <v>0</v>
      </c>
      <c r="J75" s="24"/>
      <c r="K75" s="24"/>
      <c r="L75" s="28" t="n">
        <f aca="false">'SUBS &amp; GC'!$M$17</f>
        <v>0</v>
      </c>
      <c r="M75" s="24"/>
      <c r="N75" s="24"/>
    </row>
    <row r="76" customFormat="false" ht="15" hidden="false" customHeight="false" outlineLevel="0" collapsed="false">
      <c r="A76" s="24" t="s">
        <v>571</v>
      </c>
      <c r="B76" s="24" t="str">
        <f aca="false">IF('SUBS &amp; GC'!$B$18="","","P - "&amp;'SUBS &amp; GC'!$B$18)</f>
        <v>P - Sump Pumps</v>
      </c>
      <c r="C76" s="28" t="n">
        <f aca="false">'SUBS &amp; GC'!$M$18*$P$9</f>
        <v>0</v>
      </c>
      <c r="D76" s="19" t="n">
        <f aca="false">IFERROR(C76/$C$4,0)</f>
        <v>0</v>
      </c>
      <c r="E76" s="49"/>
      <c r="F76" s="19" t="n">
        <f aca="false">IFERROR(E76/C76,0)</f>
        <v>0</v>
      </c>
      <c r="G76" s="28" t="n">
        <f aca="false">C76-E76</f>
        <v>0</v>
      </c>
      <c r="H76" s="28" t="n">
        <f aca="false">E76*INPUTS!$C$29</f>
        <v>0</v>
      </c>
      <c r="J76" s="24"/>
      <c r="K76" s="24"/>
      <c r="L76" s="28" t="n">
        <f aca="false">'SUBS &amp; GC'!$M$18</f>
        <v>0</v>
      </c>
      <c r="M76" s="24"/>
      <c r="N76" s="24"/>
    </row>
    <row r="77" customFormat="false" ht="15" hidden="false" customHeight="false" outlineLevel="0" collapsed="false">
      <c r="A77" s="24" t="s">
        <v>572</v>
      </c>
      <c r="B77" s="24" t="str">
        <f aca="false">IF('SUBS &amp; GC'!$B$19="","","P - "&amp;'SUBS &amp; GC'!$B$19)</f>
        <v>P - Chemical Treatment</v>
      </c>
      <c r="C77" s="28" t="n">
        <f aca="false">'SUBS &amp; GC'!$M$19*$P$9</f>
        <v>0</v>
      </c>
      <c r="D77" s="19" t="n">
        <f aca="false">IFERROR(C77/$C$4,0)</f>
        <v>0</v>
      </c>
      <c r="E77" s="49"/>
      <c r="F77" s="19" t="n">
        <f aca="false">IFERROR(E77/C77,0)</f>
        <v>0</v>
      </c>
      <c r="G77" s="28" t="n">
        <f aca="false">C77-E77</f>
        <v>0</v>
      </c>
      <c r="H77" s="28" t="n">
        <f aca="false">E77*INPUTS!$C$29</f>
        <v>0</v>
      </c>
      <c r="J77" s="24"/>
      <c r="K77" s="24"/>
      <c r="L77" s="28" t="n">
        <f aca="false">'SUBS &amp; GC'!$M$19</f>
        <v>0</v>
      </c>
      <c r="M77" s="24"/>
      <c r="N77" s="24"/>
    </row>
    <row r="78" customFormat="false" ht="15" hidden="false" customHeight="false" outlineLevel="0" collapsed="false">
      <c r="A78" s="24" t="s">
        <v>573</v>
      </c>
      <c r="B78" s="24" t="str">
        <f aca="false">IF('SUBS &amp; GC'!$B$20="","","P - "&amp;'SUBS &amp; GC'!$B$20)</f>
        <v>P - P&amp;H Seismic / Schedule</v>
      </c>
      <c r="C78" s="28" t="n">
        <f aca="false">'SUBS &amp; GC'!$M$20*$P$9</f>
        <v>0</v>
      </c>
      <c r="D78" s="19" t="n">
        <f aca="false">IFERROR(C78/$C$4,0)</f>
        <v>0</v>
      </c>
      <c r="E78" s="49"/>
      <c r="F78" s="19" t="n">
        <f aca="false">IFERROR(E78/C78,0)</f>
        <v>0</v>
      </c>
      <c r="G78" s="28" t="n">
        <f aca="false">C78-E78</f>
        <v>0</v>
      </c>
      <c r="H78" s="28" t="n">
        <f aca="false">E78*INPUTS!$C$29</f>
        <v>0</v>
      </c>
      <c r="J78" s="24"/>
      <c r="K78" s="24"/>
      <c r="L78" s="28" t="n">
        <f aca="false">'SUBS &amp; GC'!$M$20</f>
        <v>0</v>
      </c>
      <c r="M78" s="24"/>
      <c r="N78" s="24"/>
    </row>
    <row r="79" customFormat="false" ht="15" hidden="false" customHeight="false" outlineLevel="0" collapsed="false">
      <c r="A79" s="24" t="s">
        <v>574</v>
      </c>
      <c r="B79" s="24" t="str">
        <f aca="false">IF('SUBS &amp; GC'!$B$21="","","P - "&amp;'SUBS &amp; GC'!$B$21)</f>
        <v>P - HVAC Seismic / Schedule</v>
      </c>
      <c r="C79" s="28" t="n">
        <f aca="false">'SUBS &amp; GC'!$M$21*$P$9</f>
        <v>0</v>
      </c>
      <c r="D79" s="19" t="n">
        <f aca="false">IFERROR(C79/$C$4,0)</f>
        <v>0</v>
      </c>
      <c r="E79" s="49"/>
      <c r="F79" s="19" t="n">
        <f aca="false">IFERROR(E79/C79,0)</f>
        <v>0</v>
      </c>
      <c r="G79" s="28" t="n">
        <f aca="false">C79-E79</f>
        <v>0</v>
      </c>
      <c r="H79" s="28" t="n">
        <f aca="false">E79*INPUTS!$C$29</f>
        <v>0</v>
      </c>
      <c r="J79" s="24"/>
      <c r="K79" s="24"/>
      <c r="L79" s="28" t="n">
        <f aca="false">'SUBS &amp; GC'!$M$21</f>
        <v>0</v>
      </c>
      <c r="M79" s="24"/>
      <c r="N79" s="24"/>
    </row>
    <row r="80" customFormat="false" ht="15" hidden="false" customHeight="false" outlineLevel="0" collapsed="false">
      <c r="A80" s="24" t="s">
        <v>575</v>
      </c>
      <c r="B80" s="24" t="str">
        <f aca="false">IF('SUBS &amp; GC'!$B$22="","","P - "&amp;'SUBS &amp; GC'!$B$22)</f>
        <v>P - As-built Drawings</v>
      </c>
      <c r="C80" s="28" t="n">
        <f aca="false">'SUBS &amp; GC'!$M$22*$P$9</f>
        <v>0</v>
      </c>
      <c r="D80" s="19" t="n">
        <f aca="false">IFERROR(C80/$C$4,0)</f>
        <v>0</v>
      </c>
      <c r="E80" s="49"/>
      <c r="F80" s="19" t="n">
        <f aca="false">IFERROR(E80/C80,0)</f>
        <v>0</v>
      </c>
      <c r="G80" s="28" t="n">
        <f aca="false">C80-E80</f>
        <v>0</v>
      </c>
      <c r="H80" s="28" t="n">
        <f aca="false">E80*INPUTS!$C$29</f>
        <v>0</v>
      </c>
      <c r="J80" s="24"/>
      <c r="K80" s="24"/>
      <c r="L80" s="28" t="n">
        <f aca="false">'SUBS &amp; GC'!$M$22</f>
        <v>0</v>
      </c>
      <c r="M80" s="24"/>
      <c r="N80" s="24"/>
    </row>
    <row r="81" customFormat="false" ht="15" hidden="false" customHeight="false" outlineLevel="0" collapsed="false">
      <c r="A81" s="24" t="s">
        <v>576</v>
      </c>
      <c r="B81" s="24" t="str">
        <f aca="false">IF('SUBS &amp; GC'!$B$23="","","P - "&amp;'SUBS &amp; GC'!$B$23)</f>
        <v>P - O&amp;M Manuals</v>
      </c>
      <c r="C81" s="28" t="n">
        <f aca="false">'SUBS &amp; GC'!$M$23*$P$9</f>
        <v>0</v>
      </c>
      <c r="D81" s="19" t="n">
        <f aca="false">IFERROR(C81/$C$4,0)</f>
        <v>0</v>
      </c>
      <c r="E81" s="49"/>
      <c r="F81" s="19" t="n">
        <f aca="false">IFERROR(E81/C81,0)</f>
        <v>0</v>
      </c>
      <c r="G81" s="28" t="n">
        <f aca="false">C81-E81</f>
        <v>0</v>
      </c>
      <c r="H81" s="28" t="n">
        <f aca="false">E81*INPUTS!$C$29</f>
        <v>0</v>
      </c>
      <c r="J81" s="24"/>
      <c r="K81" s="24"/>
      <c r="L81" s="28" t="n">
        <f aca="false">'SUBS &amp; GC'!$M$23</f>
        <v>0</v>
      </c>
      <c r="M81" s="24"/>
      <c r="N81" s="24"/>
    </row>
    <row r="82" customFormat="false" ht="15" hidden="false" customHeight="false" outlineLevel="0" collapsed="false">
      <c r="A82" s="24" t="s">
        <v>577</v>
      </c>
      <c r="B82" s="24" t="str">
        <f aca="false">IF('SUBS &amp; GC'!$B$24="","","P - "&amp;'SUBS &amp; GC'!$B$24)</f>
        <v>P - Plumbing Bond</v>
      </c>
      <c r="C82" s="28" t="n">
        <f aca="false">'SUBS &amp; GC'!$M$24*$P$9</f>
        <v>0</v>
      </c>
      <c r="D82" s="19" t="n">
        <f aca="false">IFERROR(C82/$C$4,0)</f>
        <v>0</v>
      </c>
      <c r="E82" s="49"/>
      <c r="F82" s="19" t="n">
        <f aca="false">IFERROR(E82/C82,0)</f>
        <v>0</v>
      </c>
      <c r="G82" s="28" t="n">
        <f aca="false">C82-E82</f>
        <v>0</v>
      </c>
      <c r="H82" s="28" t="n">
        <f aca="false">E82*INPUTS!$C$29</f>
        <v>0</v>
      </c>
      <c r="J82" s="24"/>
      <c r="K82" s="24"/>
      <c r="L82" s="28" t="n">
        <f aca="false">'SUBS &amp; GC'!$M$24</f>
        <v>0</v>
      </c>
      <c r="M82" s="24"/>
      <c r="N82" s="24"/>
    </row>
    <row r="83" customFormat="false" ht="15" hidden="false" customHeight="false" outlineLevel="0" collapsed="false">
      <c r="A83" s="24" t="s">
        <v>578</v>
      </c>
      <c r="B83" s="24" t="str">
        <f aca="false">IF('SUBS &amp; GC'!$B$25="","","P - "&amp;'SUBS &amp; GC'!$B$25)</f>
        <v>P - HVAC Bond</v>
      </c>
      <c r="C83" s="28" t="n">
        <f aca="false">'SUBS &amp; GC'!$M$25*$P$9</f>
        <v>0</v>
      </c>
      <c r="D83" s="19" t="n">
        <f aca="false">IFERROR(C83/$C$4,0)</f>
        <v>0</v>
      </c>
      <c r="E83" s="49"/>
      <c r="F83" s="19" t="n">
        <f aca="false">IFERROR(E83/C83,0)</f>
        <v>0</v>
      </c>
      <c r="G83" s="28" t="n">
        <f aca="false">C83-E83</f>
        <v>0</v>
      </c>
      <c r="H83" s="28" t="n">
        <f aca="false">E83*INPUTS!$C$29</f>
        <v>0</v>
      </c>
      <c r="J83" s="24"/>
      <c r="K83" s="24"/>
      <c r="L83" s="28" t="n">
        <f aca="false">'SUBS &amp; GC'!$M$25</f>
        <v>0</v>
      </c>
      <c r="M83" s="24"/>
      <c r="N83" s="24"/>
    </row>
    <row r="84" customFormat="false" ht="15" hidden="false" customHeight="false" outlineLevel="0" collapsed="false">
      <c r="A84" s="24" t="s">
        <v>579</v>
      </c>
      <c r="B84" s="24" t="str">
        <f aca="false">IF('SUBS &amp; GC'!$B$26="","","P - "&amp;'SUBS &amp; GC'!$B$26)</f>
        <v>P - Welding</v>
      </c>
      <c r="C84" s="28" t="n">
        <f aca="false">'SUBS &amp; GC'!$M$26*$P$9</f>
        <v>0</v>
      </c>
      <c r="D84" s="19" t="n">
        <f aca="false">IFERROR(C84/$C$4,0)</f>
        <v>0</v>
      </c>
      <c r="E84" s="49"/>
      <c r="F84" s="19" t="n">
        <f aca="false">IFERROR(E84/C84,0)</f>
        <v>0</v>
      </c>
      <c r="G84" s="28" t="n">
        <f aca="false">C84-E84</f>
        <v>0</v>
      </c>
      <c r="H84" s="28" t="n">
        <f aca="false">E84*INPUTS!$C$29</f>
        <v>0</v>
      </c>
      <c r="J84" s="24"/>
      <c r="K84" s="24"/>
      <c r="L84" s="28" t="n">
        <f aca="false">'SUBS &amp; GC'!$M$26</f>
        <v>0</v>
      </c>
      <c r="M84" s="24"/>
      <c r="N84" s="24"/>
    </row>
    <row r="85" customFormat="false" ht="15" hidden="false" customHeight="false" outlineLevel="0" collapsed="false">
      <c r="A85" s="24" t="s">
        <v>580</v>
      </c>
      <c r="B85" s="24" t="str">
        <f aca="false">IF('SUBS &amp; GC'!$B$27="","","P - "&amp;'SUBS &amp; GC'!$B$27)</f>
        <v>P - Gas Service / Other</v>
      </c>
      <c r="C85" s="28" t="n">
        <f aca="false">'SUBS &amp; GC'!$M$27*$P$9</f>
        <v>0</v>
      </c>
      <c r="D85" s="19" t="n">
        <f aca="false">IFERROR(C85/$C$4,0)</f>
        <v>0</v>
      </c>
      <c r="E85" s="49"/>
      <c r="F85" s="19" t="n">
        <f aca="false">IFERROR(E85/C85,0)</f>
        <v>0</v>
      </c>
      <c r="G85" s="28" t="n">
        <f aca="false">C85-E85</f>
        <v>0</v>
      </c>
      <c r="H85" s="28" t="n">
        <f aca="false">E85*INPUTS!$C$29</f>
        <v>0</v>
      </c>
      <c r="J85" s="24"/>
      <c r="K85" s="24"/>
      <c r="L85" s="28" t="n">
        <f aca="false">'SUBS &amp; GC'!$M$27</f>
        <v>0</v>
      </c>
      <c r="M85" s="24"/>
      <c r="N85" s="24"/>
    </row>
    <row r="86" customFormat="false" ht="15" hidden="false" customHeight="false" outlineLevel="0" collapsed="false">
      <c r="A86" s="24" t="s">
        <v>581</v>
      </c>
      <c r="B86" s="24" t="str">
        <f aca="false">IF('SUBS &amp; GC'!$B$28="","","P - "&amp;'SUBS &amp; GC'!$B$28)</f>
        <v/>
      </c>
      <c r="C86" s="28" t="n">
        <f aca="false">'SUBS &amp; GC'!$M$28*$P$9</f>
        <v>0</v>
      </c>
      <c r="D86" s="19" t="n">
        <f aca="false">IFERROR(C86/$C$4,0)</f>
        <v>0</v>
      </c>
      <c r="E86" s="49"/>
      <c r="F86" s="19" t="n">
        <f aca="false">IFERROR(E86/C86,0)</f>
        <v>0</v>
      </c>
      <c r="G86" s="28" t="n">
        <f aca="false">C86-E86</f>
        <v>0</v>
      </c>
      <c r="H86" s="28" t="n">
        <f aca="false">E86*INPUTS!$C$29</f>
        <v>0</v>
      </c>
      <c r="J86" s="24"/>
      <c r="K86" s="24"/>
      <c r="L86" s="28" t="n">
        <f aca="false">'SUBS &amp; GC'!$M$28</f>
        <v>0</v>
      </c>
      <c r="M86" s="24"/>
      <c r="N86" s="24"/>
    </row>
    <row r="88" customFormat="false" ht="15" hidden="false" customHeight="false" outlineLevel="0" collapsed="false">
      <c r="A88" s="73" t="s">
        <v>99</v>
      </c>
      <c r="B88" s="73" t="str">
        <f aca="false">UPPER(INPUTS!B34)</f>
        <v>HYDRONIC</v>
      </c>
      <c r="C88" s="74" t="n">
        <f aca="false">SUM(C89:C165)</f>
        <v>0</v>
      </c>
      <c r="D88" s="75" t="n">
        <f aca="false">IFERROR(C88/$C$4,0)</f>
        <v>0</v>
      </c>
      <c r="E88" s="74" t="n">
        <f aca="false">SUM(E89:E165)</f>
        <v>0</v>
      </c>
      <c r="G88" s="74" t="n">
        <f aca="false">SUM(G89:G165)</f>
        <v>0</v>
      </c>
      <c r="H88" s="74" t="n">
        <f aca="false">SUM(H89:H165)</f>
        <v>0</v>
      </c>
      <c r="J88" s="74" t="n">
        <f aca="false">SUM(J89:J165)</f>
        <v>0</v>
      </c>
      <c r="K88" s="74" t="n">
        <f aca="false">SUM(K89:K165)</f>
        <v>0</v>
      </c>
      <c r="L88" s="74" t="n">
        <f aca="false">SUM(L89:L165)</f>
        <v>0</v>
      </c>
      <c r="M88" s="74" t="n">
        <f aca="false">SUM(M89:M165)</f>
        <v>0</v>
      </c>
      <c r="N88" s="76" t="n">
        <f aca="false">SUM(N89:N165)</f>
        <v>0</v>
      </c>
      <c r="P88" s="77" t="n">
        <f aca="false">IFERROR('BID SUMMARY'!N7/(BUDGET!$J$35+BUDGET!$J$36+BUDGET!$J$37+BUDGET!$J$38+BUDGET!$J$39+BUDGET!$J$40+BUDGET!$J$41+BUDGET!$J$42+BUDGET!$J$43),0)</f>
        <v>0</v>
      </c>
    </row>
    <row r="89" customFormat="false" ht="15" hidden="false" customHeight="false" outlineLevel="0" collapsed="false">
      <c r="A89" s="24" t="s">
        <v>582</v>
      </c>
      <c r="B89" s="24" t="str">
        <f aca="false">"H - "&amp;MID(INPUTS!$B$67,4,80)</f>
        <v>H - Shop Drawings, Permits &amp; Mobilization</v>
      </c>
      <c r="C89" s="28" t="n">
        <f aca="false">(BUDGET!$J$35-BUDGET!$G$35)*$P$88</f>
        <v>0</v>
      </c>
      <c r="D89" s="19" t="n">
        <f aca="false">IFERROR(C89/$C$4,0)</f>
        <v>0</v>
      </c>
      <c r="E89" s="49"/>
      <c r="F89" s="19" t="n">
        <f aca="false">IFERROR(E89/C89,0)</f>
        <v>0</v>
      </c>
      <c r="G89" s="28" t="n">
        <f aca="false">C89-E89</f>
        <v>0</v>
      </c>
      <c r="H89" s="28" t="n">
        <f aca="false">E89*INPUTS!$C$29</f>
        <v>0</v>
      </c>
      <c r="J89" s="28" t="n">
        <f aca="false">BUDGET!$F$35</f>
        <v>0</v>
      </c>
      <c r="K89" s="28" t="n">
        <f aca="false">BUDGET!$D$35</f>
        <v>0</v>
      </c>
      <c r="L89" s="24"/>
      <c r="M89" s="28" t="n">
        <f aca="false">BUDGET!$H$35</f>
        <v>0</v>
      </c>
      <c r="N89" s="13" t="n">
        <f aca="false">BUDGET!$C$35</f>
        <v>0</v>
      </c>
    </row>
    <row r="90" customFormat="false" ht="15" hidden="false" customHeight="false" outlineLevel="0" collapsed="false">
      <c r="A90" s="24" t="s">
        <v>583</v>
      </c>
      <c r="B90" s="24" t="str">
        <f aca="false">"H - "&amp;MID(INPUTS!$B$68,4,80)</f>
        <v>H - Foundation &amp; Underground</v>
      </c>
      <c r="C90" s="28" t="n">
        <f aca="false">(BUDGET!$J$36-BUDGET!$G$36)*$P$88</f>
        <v>0</v>
      </c>
      <c r="D90" s="19" t="n">
        <f aca="false">IFERROR(C90/$C$4,0)</f>
        <v>0</v>
      </c>
      <c r="E90" s="49"/>
      <c r="F90" s="19" t="n">
        <f aca="false">IFERROR(E90/C90,0)</f>
        <v>0</v>
      </c>
      <c r="G90" s="28" t="n">
        <f aca="false">C90-E90</f>
        <v>0</v>
      </c>
      <c r="H90" s="28" t="n">
        <f aca="false">E90*INPUTS!$C$29</f>
        <v>0</v>
      </c>
      <c r="J90" s="28" t="n">
        <f aca="false">BUDGET!$F$36</f>
        <v>0</v>
      </c>
      <c r="K90" s="28" t="n">
        <f aca="false">BUDGET!$D$36</f>
        <v>0</v>
      </c>
      <c r="L90" s="24"/>
      <c r="M90" s="28" t="n">
        <f aca="false">BUDGET!$H$36</f>
        <v>0</v>
      </c>
      <c r="N90" s="13" t="n">
        <f aca="false">BUDGET!$C$36</f>
        <v>0</v>
      </c>
    </row>
    <row r="91" customFormat="false" ht="15" hidden="false" customHeight="false" outlineLevel="0" collapsed="false">
      <c r="A91" s="24" t="s">
        <v>584</v>
      </c>
      <c r="B91" s="24" t="str">
        <f aca="false">IF(INPUTS!$B$40="","","H - "&amp;INPUTS!$B$40&amp;" "&amp;INPUTS!$B$34&amp;" Rough-in (Labour)")</f>
        <v>H - U/G Hydronic Rough-in (Labour)</v>
      </c>
      <c r="C91" s="28" t="n">
        <f aca="false">(BUDGET!$J$37-BUDGET!$G$37)*INPUTS!$E$40*$P$88</f>
        <v>0</v>
      </c>
      <c r="D91" s="19" t="n">
        <f aca="false">IFERROR(C91/$C$4,0)</f>
        <v>0</v>
      </c>
      <c r="E91" s="49"/>
      <c r="F91" s="19" t="n">
        <f aca="false">IFERROR(E91/C91,0)</f>
        <v>0</v>
      </c>
      <c r="G91" s="28" t="n">
        <f aca="false">C91-E91</f>
        <v>0</v>
      </c>
      <c r="H91" s="28" t="n">
        <f aca="false">E91*INPUTS!$C$29</f>
        <v>0</v>
      </c>
      <c r="J91" s="24"/>
      <c r="K91" s="28" t="n">
        <f aca="false">BUDGET!$D$37*INPUTS!$E$40</f>
        <v>0</v>
      </c>
      <c r="L91" s="24"/>
      <c r="M91" s="28" t="n">
        <f aca="false">BUDGET!$H$37*INPUTS!$E$40</f>
        <v>0</v>
      </c>
      <c r="N91" s="13" t="n">
        <f aca="false">BUDGET!$C$37*INPUTS!$E$40</f>
        <v>0</v>
      </c>
    </row>
    <row r="92" customFormat="false" ht="15" hidden="false" customHeight="false" outlineLevel="0" collapsed="false">
      <c r="A92" s="24" t="s">
        <v>585</v>
      </c>
      <c r="B92" s="24" t="str">
        <f aca="false">IF(INPUTS!$B$41="","","H - "&amp;INPUTS!$B$41&amp;" "&amp;INPUTS!$B$34&amp;" Rough-in (Labour)")</f>
        <v>H - P-02 Hydronic Rough-in (Labour)</v>
      </c>
      <c r="C92" s="28" t="n">
        <f aca="false">(BUDGET!$J$37-BUDGET!$G$37)*INPUTS!$E$41*$P$88</f>
        <v>0</v>
      </c>
      <c r="D92" s="19" t="n">
        <f aca="false">IFERROR(C92/$C$4,0)</f>
        <v>0</v>
      </c>
      <c r="E92" s="49"/>
      <c r="F92" s="19" t="n">
        <f aca="false">IFERROR(E92/C92,0)</f>
        <v>0</v>
      </c>
      <c r="G92" s="28" t="n">
        <f aca="false">C92-E92</f>
        <v>0</v>
      </c>
      <c r="H92" s="28" t="n">
        <f aca="false">E92*INPUTS!$C$29</f>
        <v>0</v>
      </c>
      <c r="J92" s="24"/>
      <c r="K92" s="28" t="n">
        <f aca="false">BUDGET!$D$37*INPUTS!$E$41</f>
        <v>0</v>
      </c>
      <c r="L92" s="24"/>
      <c r="M92" s="28" t="n">
        <f aca="false">BUDGET!$H$37*INPUTS!$E$41</f>
        <v>0</v>
      </c>
      <c r="N92" s="13" t="n">
        <f aca="false">BUDGET!$C$37*INPUTS!$E$41</f>
        <v>0</v>
      </c>
    </row>
    <row r="93" customFormat="false" ht="15" hidden="false" customHeight="false" outlineLevel="0" collapsed="false">
      <c r="A93" s="24" t="s">
        <v>586</v>
      </c>
      <c r="B93" s="24" t="str">
        <f aca="false">IF(INPUTS!$B$42="","","H - "&amp;INPUTS!$B$42&amp;" "&amp;INPUTS!$B$34&amp;" Rough-in (Labour)")</f>
        <v>H - PRKG Hydronic Rough-in (Labour)</v>
      </c>
      <c r="C93" s="28" t="n">
        <f aca="false">(BUDGET!$J$37-BUDGET!$G$37)*INPUTS!$E$42*$P$88</f>
        <v>0</v>
      </c>
      <c r="D93" s="19" t="n">
        <f aca="false">IFERROR(C93/$C$4,0)</f>
        <v>0</v>
      </c>
      <c r="E93" s="49"/>
      <c r="F93" s="19" t="n">
        <f aca="false">IFERROR(E93/C93,0)</f>
        <v>0</v>
      </c>
      <c r="G93" s="28" t="n">
        <f aca="false">C93-E93</f>
        <v>0</v>
      </c>
      <c r="H93" s="28" t="n">
        <f aca="false">E93*INPUTS!$C$29</f>
        <v>0</v>
      </c>
      <c r="J93" s="24"/>
      <c r="K93" s="28" t="n">
        <f aca="false">BUDGET!$D$37*INPUTS!$E$42</f>
        <v>0</v>
      </c>
      <c r="L93" s="24"/>
      <c r="M93" s="28" t="n">
        <f aca="false">BUDGET!$H$37*INPUTS!$E$42</f>
        <v>0</v>
      </c>
      <c r="N93" s="13" t="n">
        <f aca="false">BUDGET!$C$37*INPUTS!$E$42</f>
        <v>0</v>
      </c>
    </row>
    <row r="94" customFormat="false" ht="15" hidden="false" customHeight="false" outlineLevel="0" collapsed="false">
      <c r="A94" s="24" t="s">
        <v>587</v>
      </c>
      <c r="B94" s="24" t="str">
        <f aca="false">IF(INPUTS!$B$43="","","H - "&amp;INPUTS!$B$43&amp;" "&amp;INPUTS!$B$34&amp;" Rough-in (Labour)")</f>
        <v>H - L-01 Hydronic Rough-in (Labour)</v>
      </c>
      <c r="C94" s="28" t="n">
        <f aca="false">(BUDGET!$J$37-BUDGET!$G$37)*INPUTS!$E$43*$P$88</f>
        <v>0</v>
      </c>
      <c r="D94" s="19" t="n">
        <f aca="false">IFERROR(C94/$C$4,0)</f>
        <v>0</v>
      </c>
      <c r="E94" s="49"/>
      <c r="F94" s="19" t="n">
        <f aca="false">IFERROR(E94/C94,0)</f>
        <v>0</v>
      </c>
      <c r="G94" s="28" t="n">
        <f aca="false">C94-E94</f>
        <v>0</v>
      </c>
      <c r="H94" s="28" t="n">
        <f aca="false">E94*INPUTS!$C$29</f>
        <v>0</v>
      </c>
      <c r="J94" s="24"/>
      <c r="K94" s="28" t="n">
        <f aca="false">BUDGET!$D$37*INPUTS!$E$43</f>
        <v>0</v>
      </c>
      <c r="L94" s="24"/>
      <c r="M94" s="28" t="n">
        <f aca="false">BUDGET!$H$37*INPUTS!$E$43</f>
        <v>0</v>
      </c>
      <c r="N94" s="13" t="n">
        <f aca="false">BUDGET!$C$37*INPUTS!$E$43</f>
        <v>0</v>
      </c>
    </row>
    <row r="95" customFormat="false" ht="15" hidden="false" customHeight="false" outlineLevel="0" collapsed="false">
      <c r="A95" s="24" t="s">
        <v>588</v>
      </c>
      <c r="B95" s="24" t="str">
        <f aca="false">IF(INPUTS!$B$44="","","H - "&amp;INPUTS!$B$44&amp;" "&amp;INPUTS!$B$34&amp;" Rough-in (Labour)")</f>
        <v>H - L-02 Hydronic Rough-in (Labour)</v>
      </c>
      <c r="C95" s="28" t="n">
        <f aca="false">(BUDGET!$J$37-BUDGET!$G$37)*INPUTS!$E$44*$P$88</f>
        <v>0</v>
      </c>
      <c r="D95" s="19" t="n">
        <f aca="false">IFERROR(C95/$C$4,0)</f>
        <v>0</v>
      </c>
      <c r="E95" s="49"/>
      <c r="F95" s="19" t="n">
        <f aca="false">IFERROR(E95/C95,0)</f>
        <v>0</v>
      </c>
      <c r="G95" s="28" t="n">
        <f aca="false">C95-E95</f>
        <v>0</v>
      </c>
      <c r="H95" s="28" t="n">
        <f aca="false">E95*INPUTS!$C$29</f>
        <v>0</v>
      </c>
      <c r="J95" s="24"/>
      <c r="K95" s="28" t="n">
        <f aca="false">BUDGET!$D$37*INPUTS!$E$44</f>
        <v>0</v>
      </c>
      <c r="L95" s="24"/>
      <c r="M95" s="28" t="n">
        <f aca="false">BUDGET!$H$37*INPUTS!$E$44</f>
        <v>0</v>
      </c>
      <c r="N95" s="13" t="n">
        <f aca="false">BUDGET!$C$37*INPUTS!$E$44</f>
        <v>0</v>
      </c>
    </row>
    <row r="96" customFormat="false" ht="15" hidden="false" customHeight="false" outlineLevel="0" collapsed="false">
      <c r="A96" s="24" t="s">
        <v>589</v>
      </c>
      <c r="B96" s="24" t="str">
        <f aca="false">IF(INPUTS!$B$45="","","H - "&amp;INPUTS!$B$45&amp;" "&amp;INPUTS!$B$34&amp;" Rough-in (Labour)")</f>
        <v>H - L-03 Hydronic Rough-in (Labour)</v>
      </c>
      <c r="C96" s="28" t="n">
        <f aca="false">(BUDGET!$J$37-BUDGET!$G$37)*INPUTS!$E$45*$P$88</f>
        <v>0</v>
      </c>
      <c r="D96" s="19" t="n">
        <f aca="false">IFERROR(C96/$C$4,0)</f>
        <v>0</v>
      </c>
      <c r="E96" s="49"/>
      <c r="F96" s="19" t="n">
        <f aca="false">IFERROR(E96/C96,0)</f>
        <v>0</v>
      </c>
      <c r="G96" s="28" t="n">
        <f aca="false">C96-E96</f>
        <v>0</v>
      </c>
      <c r="H96" s="28" t="n">
        <f aca="false">E96*INPUTS!$C$29</f>
        <v>0</v>
      </c>
      <c r="J96" s="24"/>
      <c r="K96" s="28" t="n">
        <f aca="false">BUDGET!$D$37*INPUTS!$E$45</f>
        <v>0</v>
      </c>
      <c r="L96" s="24"/>
      <c r="M96" s="28" t="n">
        <f aca="false">BUDGET!$H$37*INPUTS!$E$45</f>
        <v>0</v>
      </c>
      <c r="N96" s="13" t="n">
        <f aca="false">BUDGET!$C$37*INPUTS!$E$45</f>
        <v>0</v>
      </c>
    </row>
    <row r="97" customFormat="false" ht="15" hidden="false" customHeight="false" outlineLevel="0" collapsed="false">
      <c r="A97" s="24" t="s">
        <v>590</v>
      </c>
      <c r="B97" s="24" t="str">
        <f aca="false">IF(INPUTS!$B$46="","","H - "&amp;INPUTS!$B$46&amp;" "&amp;INPUTS!$B$34&amp;" Rough-in (Labour)")</f>
        <v>H - L-04 Hydronic Rough-in (Labour)</v>
      </c>
      <c r="C97" s="28" t="n">
        <f aca="false">(BUDGET!$J$37-BUDGET!$G$37)*INPUTS!$E$46*$P$88</f>
        <v>0</v>
      </c>
      <c r="D97" s="19" t="n">
        <f aca="false">IFERROR(C97/$C$4,0)</f>
        <v>0</v>
      </c>
      <c r="E97" s="49"/>
      <c r="F97" s="19" t="n">
        <f aca="false">IFERROR(E97/C97,0)</f>
        <v>0</v>
      </c>
      <c r="G97" s="28" t="n">
        <f aca="false">C97-E97</f>
        <v>0</v>
      </c>
      <c r="H97" s="28" t="n">
        <f aca="false">E97*INPUTS!$C$29</f>
        <v>0</v>
      </c>
      <c r="J97" s="24"/>
      <c r="K97" s="28" t="n">
        <f aca="false">BUDGET!$D$37*INPUTS!$E$46</f>
        <v>0</v>
      </c>
      <c r="L97" s="24"/>
      <c r="M97" s="28" t="n">
        <f aca="false">BUDGET!$H$37*INPUTS!$E$46</f>
        <v>0</v>
      </c>
      <c r="N97" s="13" t="n">
        <f aca="false">BUDGET!$C$37*INPUTS!$E$46</f>
        <v>0</v>
      </c>
    </row>
    <row r="98" customFormat="false" ht="15" hidden="false" customHeight="false" outlineLevel="0" collapsed="false">
      <c r="A98" s="24" t="s">
        <v>591</v>
      </c>
      <c r="B98" s="24" t="str">
        <f aca="false">IF(INPUTS!$B$47="","","H - "&amp;INPUTS!$B$47&amp;" "&amp;INPUTS!$B$34&amp;" Rough-in (Labour)")</f>
        <v>H - L-05 Hydronic Rough-in (Labour)</v>
      </c>
      <c r="C98" s="28" t="n">
        <f aca="false">(BUDGET!$J$37-BUDGET!$G$37)*INPUTS!$E$47*$P$88</f>
        <v>0</v>
      </c>
      <c r="D98" s="19" t="n">
        <f aca="false">IFERROR(C98/$C$4,0)</f>
        <v>0</v>
      </c>
      <c r="E98" s="49"/>
      <c r="F98" s="19" t="n">
        <f aca="false">IFERROR(E98/C98,0)</f>
        <v>0</v>
      </c>
      <c r="G98" s="28" t="n">
        <f aca="false">C98-E98</f>
        <v>0</v>
      </c>
      <c r="H98" s="28" t="n">
        <f aca="false">E98*INPUTS!$C$29</f>
        <v>0</v>
      </c>
      <c r="J98" s="24"/>
      <c r="K98" s="28" t="n">
        <f aca="false">BUDGET!$D$37*INPUTS!$E$47</f>
        <v>0</v>
      </c>
      <c r="L98" s="24"/>
      <c r="M98" s="28" t="n">
        <f aca="false">BUDGET!$H$37*INPUTS!$E$47</f>
        <v>0</v>
      </c>
      <c r="N98" s="13" t="n">
        <f aca="false">BUDGET!$C$37*INPUTS!$E$47</f>
        <v>0</v>
      </c>
    </row>
    <row r="99" customFormat="false" ht="15" hidden="false" customHeight="false" outlineLevel="0" collapsed="false">
      <c r="A99" s="24" t="s">
        <v>592</v>
      </c>
      <c r="B99" s="24" t="str">
        <f aca="false">IF(INPUTS!$B$48="","","H - "&amp;INPUTS!$B$48&amp;" "&amp;INPUTS!$B$34&amp;" Rough-in (Labour)")</f>
        <v>H - L-06 Hydronic Rough-in (Labour)</v>
      </c>
      <c r="C99" s="28" t="n">
        <f aca="false">(BUDGET!$J$37-BUDGET!$G$37)*INPUTS!$E$48*$P$88</f>
        <v>0</v>
      </c>
      <c r="D99" s="19" t="n">
        <f aca="false">IFERROR(C99/$C$4,0)</f>
        <v>0</v>
      </c>
      <c r="E99" s="49"/>
      <c r="F99" s="19" t="n">
        <f aca="false">IFERROR(E99/C99,0)</f>
        <v>0</v>
      </c>
      <c r="G99" s="28" t="n">
        <f aca="false">C99-E99</f>
        <v>0</v>
      </c>
      <c r="H99" s="28" t="n">
        <f aca="false">E99*INPUTS!$C$29</f>
        <v>0</v>
      </c>
      <c r="J99" s="24"/>
      <c r="K99" s="28" t="n">
        <f aca="false">BUDGET!$D$37*INPUTS!$E$48</f>
        <v>0</v>
      </c>
      <c r="L99" s="24"/>
      <c r="M99" s="28" t="n">
        <f aca="false">BUDGET!$H$37*INPUTS!$E$48</f>
        <v>0</v>
      </c>
      <c r="N99" s="13" t="n">
        <f aca="false">BUDGET!$C$37*INPUTS!$E$48</f>
        <v>0</v>
      </c>
    </row>
    <row r="100" customFormat="false" ht="15" hidden="false" customHeight="false" outlineLevel="0" collapsed="false">
      <c r="A100" s="24" t="s">
        <v>593</v>
      </c>
      <c r="B100" s="24" t="str">
        <f aca="false">IF(INPUTS!$B$49="","","H - "&amp;INPUTS!$B$49&amp;" "&amp;INPUTS!$B$34&amp;" Rough-in (Labour)")</f>
        <v>H - L-07 Hydronic Rough-in (Labour)</v>
      </c>
      <c r="C100" s="28" t="n">
        <f aca="false">(BUDGET!$J$37-BUDGET!$G$37)*INPUTS!$E$49*$P$88</f>
        <v>0</v>
      </c>
      <c r="D100" s="19" t="n">
        <f aca="false">IFERROR(C100/$C$4,0)</f>
        <v>0</v>
      </c>
      <c r="E100" s="49"/>
      <c r="F100" s="19" t="n">
        <f aca="false">IFERROR(E100/C100,0)</f>
        <v>0</v>
      </c>
      <c r="G100" s="28" t="n">
        <f aca="false">C100-E100</f>
        <v>0</v>
      </c>
      <c r="H100" s="28" t="n">
        <f aca="false">E100*INPUTS!$C$29</f>
        <v>0</v>
      </c>
      <c r="J100" s="24"/>
      <c r="K100" s="28" t="n">
        <f aca="false">BUDGET!$D$37*INPUTS!$E$49</f>
        <v>0</v>
      </c>
      <c r="L100" s="24"/>
      <c r="M100" s="28" t="n">
        <f aca="false">BUDGET!$H$37*INPUTS!$E$49</f>
        <v>0</v>
      </c>
      <c r="N100" s="13" t="n">
        <f aca="false">BUDGET!$C$37*INPUTS!$E$49</f>
        <v>0</v>
      </c>
    </row>
    <row r="101" customFormat="false" ht="15" hidden="false" customHeight="false" outlineLevel="0" collapsed="false">
      <c r="A101" s="24" t="s">
        <v>594</v>
      </c>
      <c r="B101" s="24" t="str">
        <f aca="false">IF(INPUTS!$B$50="","","H - "&amp;INPUTS!$B$50&amp;" "&amp;INPUTS!$B$34&amp;" Rough-in (Labour)")</f>
        <v>H - L-08 Hydronic Rough-in (Labour)</v>
      </c>
      <c r="C101" s="28" t="n">
        <f aca="false">(BUDGET!$J$37-BUDGET!$G$37)*INPUTS!$E$50*$P$88</f>
        <v>0</v>
      </c>
      <c r="D101" s="19" t="n">
        <f aca="false">IFERROR(C101/$C$4,0)</f>
        <v>0</v>
      </c>
      <c r="E101" s="49"/>
      <c r="F101" s="19" t="n">
        <f aca="false">IFERROR(E101/C101,0)</f>
        <v>0</v>
      </c>
      <c r="G101" s="28" t="n">
        <f aca="false">C101-E101</f>
        <v>0</v>
      </c>
      <c r="H101" s="28" t="n">
        <f aca="false">E101*INPUTS!$C$29</f>
        <v>0</v>
      </c>
      <c r="J101" s="24"/>
      <c r="K101" s="28" t="n">
        <f aca="false">BUDGET!$D$37*INPUTS!$E$50</f>
        <v>0</v>
      </c>
      <c r="L101" s="24"/>
      <c r="M101" s="28" t="n">
        <f aca="false">BUDGET!$H$37*INPUTS!$E$50</f>
        <v>0</v>
      </c>
      <c r="N101" s="13" t="n">
        <f aca="false">BUDGET!$C$37*INPUTS!$E$50</f>
        <v>0</v>
      </c>
    </row>
    <row r="102" customFormat="false" ht="15" hidden="false" customHeight="false" outlineLevel="0" collapsed="false">
      <c r="A102" s="24" t="s">
        <v>595</v>
      </c>
      <c r="B102" s="24" t="str">
        <f aca="false">IF(INPUTS!$B$51="","","H - "&amp;INPUTS!$B$51&amp;" "&amp;INPUTS!$B$34&amp;" Rough-in (Labour)")</f>
        <v>H - L-09 Hydronic Rough-in (Labour)</v>
      </c>
      <c r="C102" s="28" t="n">
        <f aca="false">(BUDGET!$J$37-BUDGET!$G$37)*INPUTS!$E$51*$P$88</f>
        <v>0</v>
      </c>
      <c r="D102" s="19" t="n">
        <f aca="false">IFERROR(C102/$C$4,0)</f>
        <v>0</v>
      </c>
      <c r="E102" s="49"/>
      <c r="F102" s="19" t="n">
        <f aca="false">IFERROR(E102/C102,0)</f>
        <v>0</v>
      </c>
      <c r="G102" s="28" t="n">
        <f aca="false">C102-E102</f>
        <v>0</v>
      </c>
      <c r="H102" s="28" t="n">
        <f aca="false">E102*INPUTS!$C$29</f>
        <v>0</v>
      </c>
      <c r="J102" s="24"/>
      <c r="K102" s="28" t="n">
        <f aca="false">BUDGET!$D$37*INPUTS!$E$51</f>
        <v>0</v>
      </c>
      <c r="L102" s="24"/>
      <c r="M102" s="28" t="n">
        <f aca="false">BUDGET!$H$37*INPUTS!$E$51</f>
        <v>0</v>
      </c>
      <c r="N102" s="13" t="n">
        <f aca="false">BUDGET!$C$37*INPUTS!$E$51</f>
        <v>0</v>
      </c>
    </row>
    <row r="103" customFormat="false" ht="15" hidden="false" customHeight="false" outlineLevel="0" collapsed="false">
      <c r="A103" s="24" t="s">
        <v>596</v>
      </c>
      <c r="B103" s="24" t="str">
        <f aca="false">IF(INPUTS!$B$52="","","H - "&amp;INPUTS!$B$52&amp;" "&amp;INPUTS!$B$34&amp;" Rough-in (Labour)")</f>
        <v>H - L-10 Hydronic Rough-in (Labour)</v>
      </c>
      <c r="C103" s="28" t="n">
        <f aca="false">(BUDGET!$J$37-BUDGET!$G$37)*INPUTS!$E$52*$P$88</f>
        <v>0</v>
      </c>
      <c r="D103" s="19" t="n">
        <f aca="false">IFERROR(C103/$C$4,0)</f>
        <v>0</v>
      </c>
      <c r="E103" s="49"/>
      <c r="F103" s="19" t="n">
        <f aca="false">IFERROR(E103/C103,0)</f>
        <v>0</v>
      </c>
      <c r="G103" s="28" t="n">
        <f aca="false">C103-E103</f>
        <v>0</v>
      </c>
      <c r="H103" s="28" t="n">
        <f aca="false">E103*INPUTS!$C$29</f>
        <v>0</v>
      </c>
      <c r="J103" s="24"/>
      <c r="K103" s="28" t="n">
        <f aca="false">BUDGET!$D$37*INPUTS!$E$52</f>
        <v>0</v>
      </c>
      <c r="L103" s="24"/>
      <c r="M103" s="28" t="n">
        <f aca="false">BUDGET!$H$37*INPUTS!$E$52</f>
        <v>0</v>
      </c>
      <c r="N103" s="13" t="n">
        <f aca="false">BUDGET!$C$37*INPUTS!$E$52</f>
        <v>0</v>
      </c>
    </row>
    <row r="104" customFormat="false" ht="15" hidden="false" customHeight="false" outlineLevel="0" collapsed="false">
      <c r="A104" s="24" t="s">
        <v>597</v>
      </c>
      <c r="B104" s="24" t="str">
        <f aca="false">IF(INPUTS!$B$53="","","H - "&amp;INPUTS!$B$53&amp;" "&amp;INPUTS!$B$34&amp;" Rough-in (Labour)")</f>
        <v>H - ROOF Hydronic Rough-in (Labour)</v>
      </c>
      <c r="C104" s="28" t="n">
        <f aca="false">(BUDGET!$J$37-BUDGET!$G$37)*INPUTS!$E$53*$P$88</f>
        <v>0</v>
      </c>
      <c r="D104" s="19" t="n">
        <f aca="false">IFERROR(C104/$C$4,0)</f>
        <v>0</v>
      </c>
      <c r="E104" s="49"/>
      <c r="F104" s="19" t="n">
        <f aca="false">IFERROR(E104/C104,0)</f>
        <v>0</v>
      </c>
      <c r="G104" s="28" t="n">
        <f aca="false">C104-E104</f>
        <v>0</v>
      </c>
      <c r="H104" s="28" t="n">
        <f aca="false">E104*INPUTS!$C$29</f>
        <v>0</v>
      </c>
      <c r="J104" s="24"/>
      <c r="K104" s="28" t="n">
        <f aca="false">BUDGET!$D$37*INPUTS!$E$53</f>
        <v>0</v>
      </c>
      <c r="L104" s="24"/>
      <c r="M104" s="28" t="n">
        <f aca="false">BUDGET!$H$37*INPUTS!$E$53</f>
        <v>0</v>
      </c>
      <c r="N104" s="13" t="n">
        <f aca="false">BUDGET!$C$37*INPUTS!$E$53</f>
        <v>0</v>
      </c>
    </row>
    <row r="105" customFormat="false" ht="15" hidden="false" customHeight="false" outlineLevel="0" collapsed="false">
      <c r="A105" s="24" t="s">
        <v>598</v>
      </c>
      <c r="B105" s="24" t="str">
        <f aca="false">IF(INPUTS!$B$54="","","H - "&amp;INPUTS!$B$54&amp;" "&amp;INPUTS!$B$34&amp;" Rough-in (Labour)")</f>
        <v/>
      </c>
      <c r="C105" s="28" t="n">
        <f aca="false">(BUDGET!$J$37-BUDGET!$G$37)*INPUTS!$E$54*$P$88</f>
        <v>0</v>
      </c>
      <c r="D105" s="19" t="n">
        <f aca="false">IFERROR(C105/$C$4,0)</f>
        <v>0</v>
      </c>
      <c r="E105" s="49"/>
      <c r="F105" s="19" t="n">
        <f aca="false">IFERROR(E105/C105,0)</f>
        <v>0</v>
      </c>
      <c r="G105" s="28" t="n">
        <f aca="false">C105-E105</f>
        <v>0</v>
      </c>
      <c r="H105" s="28" t="n">
        <f aca="false">E105*INPUTS!$C$29</f>
        <v>0</v>
      </c>
      <c r="J105" s="24"/>
      <c r="K105" s="28" t="n">
        <f aca="false">BUDGET!$D$37*INPUTS!$E$54</f>
        <v>0</v>
      </c>
      <c r="L105" s="24"/>
      <c r="M105" s="28" t="n">
        <f aca="false">BUDGET!$H$37*INPUTS!$E$54</f>
        <v>0</v>
      </c>
      <c r="N105" s="13" t="n">
        <f aca="false">BUDGET!$C$37*INPUTS!$E$54</f>
        <v>0</v>
      </c>
    </row>
    <row r="106" customFormat="false" ht="15" hidden="false" customHeight="false" outlineLevel="0" collapsed="false">
      <c r="A106" s="24" t="s">
        <v>599</v>
      </c>
      <c r="B106" s="24" t="str">
        <f aca="false">IF(INPUTS!$B$55="","","H - "&amp;INPUTS!$B$55&amp;" "&amp;INPUTS!$B$34&amp;" Rough-in (Labour)")</f>
        <v/>
      </c>
      <c r="C106" s="28" t="n">
        <f aca="false">(BUDGET!$J$37-BUDGET!$G$37)*INPUTS!$E$55*$P$88</f>
        <v>0</v>
      </c>
      <c r="D106" s="19" t="n">
        <f aca="false">IFERROR(C106/$C$4,0)</f>
        <v>0</v>
      </c>
      <c r="E106" s="49"/>
      <c r="F106" s="19" t="n">
        <f aca="false">IFERROR(E106/C106,0)</f>
        <v>0</v>
      </c>
      <c r="G106" s="28" t="n">
        <f aca="false">C106-E106</f>
        <v>0</v>
      </c>
      <c r="H106" s="28" t="n">
        <f aca="false">E106*INPUTS!$C$29</f>
        <v>0</v>
      </c>
      <c r="J106" s="24"/>
      <c r="K106" s="28" t="n">
        <f aca="false">BUDGET!$D$37*INPUTS!$E$55</f>
        <v>0</v>
      </c>
      <c r="L106" s="24"/>
      <c r="M106" s="28" t="n">
        <f aca="false">BUDGET!$H$37*INPUTS!$E$55</f>
        <v>0</v>
      </c>
      <c r="N106" s="13" t="n">
        <f aca="false">BUDGET!$C$37*INPUTS!$E$55</f>
        <v>0</v>
      </c>
    </row>
    <row r="107" customFormat="false" ht="15" hidden="false" customHeight="false" outlineLevel="0" collapsed="false">
      <c r="A107" s="24" t="s">
        <v>600</v>
      </c>
      <c r="B107" s="24" t="str">
        <f aca="false">IF(INPUTS!$B$56="","","H - "&amp;INPUTS!$B$56&amp;" "&amp;INPUTS!$B$34&amp;" Rough-in (Labour)")</f>
        <v/>
      </c>
      <c r="C107" s="28" t="n">
        <f aca="false">(BUDGET!$J$37-BUDGET!$G$37)*INPUTS!$E$56*$P$88</f>
        <v>0</v>
      </c>
      <c r="D107" s="19" t="n">
        <f aca="false">IFERROR(C107/$C$4,0)</f>
        <v>0</v>
      </c>
      <c r="E107" s="49"/>
      <c r="F107" s="19" t="n">
        <f aca="false">IFERROR(E107/C107,0)</f>
        <v>0</v>
      </c>
      <c r="G107" s="28" t="n">
        <f aca="false">C107-E107</f>
        <v>0</v>
      </c>
      <c r="H107" s="28" t="n">
        <f aca="false">E107*INPUTS!$C$29</f>
        <v>0</v>
      </c>
      <c r="J107" s="24"/>
      <c r="K107" s="28" t="n">
        <f aca="false">BUDGET!$D$37*INPUTS!$E$56</f>
        <v>0</v>
      </c>
      <c r="L107" s="24"/>
      <c r="M107" s="28" t="n">
        <f aca="false">BUDGET!$H$37*INPUTS!$E$56</f>
        <v>0</v>
      </c>
      <c r="N107" s="13" t="n">
        <f aca="false">BUDGET!$C$37*INPUTS!$E$56</f>
        <v>0</v>
      </c>
    </row>
    <row r="108" customFormat="false" ht="15" hidden="false" customHeight="false" outlineLevel="0" collapsed="false">
      <c r="A108" s="24" t="s">
        <v>601</v>
      </c>
      <c r="B108" s="24" t="str">
        <f aca="false">IF(INPUTS!$B$57="","","H - "&amp;INPUTS!$B$57&amp;" "&amp;INPUTS!$B$34&amp;" Rough-in (Labour)")</f>
        <v/>
      </c>
      <c r="C108" s="28" t="n">
        <f aca="false">(BUDGET!$J$37-BUDGET!$G$37)*INPUTS!$E$57*$P$88</f>
        <v>0</v>
      </c>
      <c r="D108" s="19" t="n">
        <f aca="false">IFERROR(C108/$C$4,0)</f>
        <v>0</v>
      </c>
      <c r="E108" s="49"/>
      <c r="F108" s="19" t="n">
        <f aca="false">IFERROR(E108/C108,0)</f>
        <v>0</v>
      </c>
      <c r="G108" s="28" t="n">
        <f aca="false">C108-E108</f>
        <v>0</v>
      </c>
      <c r="H108" s="28" t="n">
        <f aca="false">E108*INPUTS!$C$29</f>
        <v>0</v>
      </c>
      <c r="J108" s="24"/>
      <c r="K108" s="28" t="n">
        <f aca="false">BUDGET!$D$37*INPUTS!$E$57</f>
        <v>0</v>
      </c>
      <c r="L108" s="24"/>
      <c r="M108" s="28" t="n">
        <f aca="false">BUDGET!$H$37*INPUTS!$E$57</f>
        <v>0</v>
      </c>
      <c r="N108" s="13" t="n">
        <f aca="false">BUDGET!$C$37*INPUTS!$E$57</f>
        <v>0</v>
      </c>
    </row>
    <row r="109" customFormat="false" ht="15" hidden="false" customHeight="false" outlineLevel="0" collapsed="false">
      <c r="A109" s="24" t="s">
        <v>602</v>
      </c>
      <c r="B109" s="24" t="str">
        <f aca="false">IF(INPUTS!$B$58="","","H - "&amp;INPUTS!$B$58&amp;" "&amp;INPUTS!$B$34&amp;" Rough-in (Labour)")</f>
        <v/>
      </c>
      <c r="C109" s="28" t="n">
        <f aca="false">(BUDGET!$J$37-BUDGET!$G$37)*INPUTS!$E$58*$P$88</f>
        <v>0</v>
      </c>
      <c r="D109" s="19" t="n">
        <f aca="false">IFERROR(C109/$C$4,0)</f>
        <v>0</v>
      </c>
      <c r="E109" s="49"/>
      <c r="F109" s="19" t="n">
        <f aca="false">IFERROR(E109/C109,0)</f>
        <v>0</v>
      </c>
      <c r="G109" s="28" t="n">
        <f aca="false">C109-E109</f>
        <v>0</v>
      </c>
      <c r="H109" s="28" t="n">
        <f aca="false">E109*INPUTS!$C$29</f>
        <v>0</v>
      </c>
      <c r="J109" s="24"/>
      <c r="K109" s="28" t="n">
        <f aca="false">BUDGET!$D$37*INPUTS!$E$58</f>
        <v>0</v>
      </c>
      <c r="L109" s="24"/>
      <c r="M109" s="28" t="n">
        <f aca="false">BUDGET!$H$37*INPUTS!$E$58</f>
        <v>0</v>
      </c>
      <c r="N109" s="13" t="n">
        <f aca="false">BUDGET!$C$37*INPUTS!$E$58</f>
        <v>0</v>
      </c>
    </row>
    <row r="110" customFormat="false" ht="15" hidden="false" customHeight="false" outlineLevel="0" collapsed="false">
      <c r="A110" s="24" t="s">
        <v>603</v>
      </c>
      <c r="B110" s="24" t="str">
        <f aca="false">IF(INPUTS!$B$59="","","H - "&amp;INPUTS!$B$59&amp;" "&amp;INPUTS!$B$34&amp;" Rough-in (Labour)")</f>
        <v/>
      </c>
      <c r="C110" s="28" t="n">
        <f aca="false">(BUDGET!$J$37-BUDGET!$G$37)*INPUTS!$E$59*$P$88</f>
        <v>0</v>
      </c>
      <c r="D110" s="19" t="n">
        <f aca="false">IFERROR(C110/$C$4,0)</f>
        <v>0</v>
      </c>
      <c r="E110" s="49"/>
      <c r="F110" s="19" t="n">
        <f aca="false">IFERROR(E110/C110,0)</f>
        <v>0</v>
      </c>
      <c r="G110" s="28" t="n">
        <f aca="false">C110-E110</f>
        <v>0</v>
      </c>
      <c r="H110" s="28" t="n">
        <f aca="false">E110*INPUTS!$C$29</f>
        <v>0</v>
      </c>
      <c r="J110" s="24"/>
      <c r="K110" s="28" t="n">
        <f aca="false">BUDGET!$D$37*INPUTS!$E$59</f>
        <v>0</v>
      </c>
      <c r="L110" s="24"/>
      <c r="M110" s="28" t="n">
        <f aca="false">BUDGET!$H$37*INPUTS!$E$59</f>
        <v>0</v>
      </c>
      <c r="N110" s="13" t="n">
        <f aca="false">BUDGET!$C$37*INPUTS!$E$59</f>
        <v>0</v>
      </c>
    </row>
    <row r="111" customFormat="false" ht="15" hidden="false" customHeight="false" outlineLevel="0" collapsed="false">
      <c r="A111" s="24" t="s">
        <v>604</v>
      </c>
      <c r="B111" s="24" t="str">
        <f aca="false">IF(INPUTS!$B$60="","","H - "&amp;INPUTS!$B$60&amp;" "&amp;INPUTS!$B$34&amp;" Rough-in (Labour)")</f>
        <v/>
      </c>
      <c r="C111" s="28" t="n">
        <f aca="false">(BUDGET!$J$37-BUDGET!$G$37)*INPUTS!$E$60*$P$88</f>
        <v>0</v>
      </c>
      <c r="D111" s="19" t="n">
        <f aca="false">IFERROR(C111/$C$4,0)</f>
        <v>0</v>
      </c>
      <c r="E111" s="49"/>
      <c r="F111" s="19" t="n">
        <f aca="false">IFERROR(E111/C111,0)</f>
        <v>0</v>
      </c>
      <c r="G111" s="28" t="n">
        <f aca="false">C111-E111</f>
        <v>0</v>
      </c>
      <c r="H111" s="28" t="n">
        <f aca="false">E111*INPUTS!$C$29</f>
        <v>0</v>
      </c>
      <c r="J111" s="24"/>
      <c r="K111" s="28" t="n">
        <f aca="false">BUDGET!$D$37*INPUTS!$E$60</f>
        <v>0</v>
      </c>
      <c r="L111" s="24"/>
      <c r="M111" s="28" t="n">
        <f aca="false">BUDGET!$H$37*INPUTS!$E$60</f>
        <v>0</v>
      </c>
      <c r="N111" s="13" t="n">
        <f aca="false">BUDGET!$C$37*INPUTS!$E$60</f>
        <v>0</v>
      </c>
    </row>
    <row r="112" customFormat="false" ht="15" hidden="false" customHeight="false" outlineLevel="0" collapsed="false">
      <c r="A112" s="24" t="s">
        <v>605</v>
      </c>
      <c r="B112" s="24" t="str">
        <f aca="false">IF(INPUTS!$B$61="","","H - "&amp;INPUTS!$B$61&amp;" "&amp;INPUTS!$B$34&amp;" Rough-in (Labour)")</f>
        <v/>
      </c>
      <c r="C112" s="28" t="n">
        <f aca="false">(BUDGET!$J$37-BUDGET!$G$37)*INPUTS!$E$61*$P$88</f>
        <v>0</v>
      </c>
      <c r="D112" s="19" t="n">
        <f aca="false">IFERROR(C112/$C$4,0)</f>
        <v>0</v>
      </c>
      <c r="E112" s="49"/>
      <c r="F112" s="19" t="n">
        <f aca="false">IFERROR(E112/C112,0)</f>
        <v>0</v>
      </c>
      <c r="G112" s="28" t="n">
        <f aca="false">C112-E112</f>
        <v>0</v>
      </c>
      <c r="H112" s="28" t="n">
        <f aca="false">E112*INPUTS!$C$29</f>
        <v>0</v>
      </c>
      <c r="J112" s="24"/>
      <c r="K112" s="28" t="n">
        <f aca="false">BUDGET!$D$37*INPUTS!$E$61</f>
        <v>0</v>
      </c>
      <c r="L112" s="24"/>
      <c r="M112" s="28" t="n">
        <f aca="false">BUDGET!$H$37*INPUTS!$E$61</f>
        <v>0</v>
      </c>
      <c r="N112" s="13" t="n">
        <f aca="false">BUDGET!$C$37*INPUTS!$E$61</f>
        <v>0</v>
      </c>
    </row>
    <row r="113" customFormat="false" ht="15" hidden="false" customHeight="false" outlineLevel="0" collapsed="false">
      <c r="A113" s="24" t="s">
        <v>606</v>
      </c>
      <c r="B113" s="24" t="str">
        <f aca="false">IF(INPUTS!$B$62="","","H - "&amp;INPUTS!$B$62&amp;" "&amp;INPUTS!$B$34&amp;" Rough-in (Labour)")</f>
        <v/>
      </c>
      <c r="C113" s="28" t="n">
        <f aca="false">(BUDGET!$J$37-BUDGET!$G$37)*INPUTS!$E$62*$P$88</f>
        <v>0</v>
      </c>
      <c r="D113" s="19" t="n">
        <f aca="false">IFERROR(C113/$C$4,0)</f>
        <v>0</v>
      </c>
      <c r="E113" s="49"/>
      <c r="F113" s="19" t="n">
        <f aca="false">IFERROR(E113/C113,0)</f>
        <v>0</v>
      </c>
      <c r="G113" s="28" t="n">
        <f aca="false">C113-E113</f>
        <v>0</v>
      </c>
      <c r="H113" s="28" t="n">
        <f aca="false">E113*INPUTS!$C$29</f>
        <v>0</v>
      </c>
      <c r="J113" s="24"/>
      <c r="K113" s="28" t="n">
        <f aca="false">BUDGET!$D$37*INPUTS!$E$62</f>
        <v>0</v>
      </c>
      <c r="L113" s="24"/>
      <c r="M113" s="28" t="n">
        <f aca="false">BUDGET!$H$37*INPUTS!$E$62</f>
        <v>0</v>
      </c>
      <c r="N113" s="13" t="n">
        <f aca="false">BUDGET!$C$37*INPUTS!$E$62</f>
        <v>0</v>
      </c>
    </row>
    <row r="114" customFormat="false" ht="15" hidden="false" customHeight="false" outlineLevel="0" collapsed="false">
      <c r="A114" s="24" t="s">
        <v>607</v>
      </c>
      <c r="B114" s="24" t="str">
        <f aca="false">IF(INPUTS!$B$63="","","H - "&amp;INPUTS!$B$63&amp;" "&amp;INPUTS!$B$34&amp;" Rough-in (Labour)")</f>
        <v/>
      </c>
      <c r="C114" s="28" t="n">
        <f aca="false">(BUDGET!$J$37-BUDGET!$G$37)*INPUTS!$E$63*$P$88</f>
        <v>0</v>
      </c>
      <c r="D114" s="19" t="n">
        <f aca="false">IFERROR(C114/$C$4,0)</f>
        <v>0</v>
      </c>
      <c r="E114" s="49"/>
      <c r="F114" s="19" t="n">
        <f aca="false">IFERROR(E114/C114,0)</f>
        <v>0</v>
      </c>
      <c r="G114" s="28" t="n">
        <f aca="false">C114-E114</f>
        <v>0</v>
      </c>
      <c r="H114" s="28" t="n">
        <f aca="false">E114*INPUTS!$C$29</f>
        <v>0</v>
      </c>
      <c r="J114" s="24"/>
      <c r="K114" s="28" t="n">
        <f aca="false">BUDGET!$D$37*INPUTS!$E$63</f>
        <v>0</v>
      </c>
      <c r="L114" s="24"/>
      <c r="M114" s="28" t="n">
        <f aca="false">BUDGET!$H$37*INPUTS!$E$63</f>
        <v>0</v>
      </c>
      <c r="N114" s="13" t="n">
        <f aca="false">BUDGET!$C$37*INPUTS!$E$63</f>
        <v>0</v>
      </c>
    </row>
    <row r="115" customFormat="false" ht="15" hidden="false" customHeight="false" outlineLevel="0" collapsed="false">
      <c r="A115" s="24" t="s">
        <v>608</v>
      </c>
      <c r="B115" s="24" t="str">
        <f aca="false">IF(INPUTS!$B$40="","","H - "&amp;INPUTS!$B$40&amp;" "&amp;INPUTS!$B$34&amp;" Finishing (Labour)")</f>
        <v>H - U/G Hydronic Finishing (Labour)</v>
      </c>
      <c r="C115" s="28" t="n">
        <f aca="false">(BUDGET!$J$38-BUDGET!$G$38)*INPUTS!$E$40*$P$88</f>
        <v>0</v>
      </c>
      <c r="D115" s="19" t="n">
        <f aca="false">IFERROR(C115/$C$4,0)</f>
        <v>0</v>
      </c>
      <c r="E115" s="49"/>
      <c r="F115" s="19" t="n">
        <f aca="false">IFERROR(E115/C115,0)</f>
        <v>0</v>
      </c>
      <c r="G115" s="28" t="n">
        <f aca="false">C115-E115</f>
        <v>0</v>
      </c>
      <c r="H115" s="28" t="n">
        <f aca="false">E115*INPUTS!$C$29</f>
        <v>0</v>
      </c>
      <c r="J115" s="24"/>
      <c r="K115" s="28" t="n">
        <f aca="false">BUDGET!$D$38*INPUTS!$E$40</f>
        <v>0</v>
      </c>
      <c r="L115" s="24"/>
      <c r="M115" s="28" t="n">
        <f aca="false">BUDGET!$H$38*INPUTS!$E$40</f>
        <v>0</v>
      </c>
      <c r="N115" s="13" t="n">
        <f aca="false">BUDGET!$C$38*INPUTS!$E$40</f>
        <v>0</v>
      </c>
    </row>
    <row r="116" customFormat="false" ht="15" hidden="false" customHeight="false" outlineLevel="0" collapsed="false">
      <c r="A116" s="24" t="s">
        <v>609</v>
      </c>
      <c r="B116" s="24" t="str">
        <f aca="false">IF(INPUTS!$B$41="","","H - "&amp;INPUTS!$B$41&amp;" "&amp;INPUTS!$B$34&amp;" Finishing (Labour)")</f>
        <v>H - P-02 Hydronic Finishing (Labour)</v>
      </c>
      <c r="C116" s="28" t="n">
        <f aca="false">(BUDGET!$J$38-BUDGET!$G$38)*INPUTS!$E$41*$P$88</f>
        <v>0</v>
      </c>
      <c r="D116" s="19" t="n">
        <f aca="false">IFERROR(C116/$C$4,0)</f>
        <v>0</v>
      </c>
      <c r="E116" s="49"/>
      <c r="F116" s="19" t="n">
        <f aca="false">IFERROR(E116/C116,0)</f>
        <v>0</v>
      </c>
      <c r="G116" s="28" t="n">
        <f aca="false">C116-E116</f>
        <v>0</v>
      </c>
      <c r="H116" s="28" t="n">
        <f aca="false">E116*INPUTS!$C$29</f>
        <v>0</v>
      </c>
      <c r="J116" s="24"/>
      <c r="K116" s="28" t="n">
        <f aca="false">BUDGET!$D$38*INPUTS!$E$41</f>
        <v>0</v>
      </c>
      <c r="L116" s="24"/>
      <c r="M116" s="28" t="n">
        <f aca="false">BUDGET!$H$38*INPUTS!$E$41</f>
        <v>0</v>
      </c>
      <c r="N116" s="13" t="n">
        <f aca="false">BUDGET!$C$38*INPUTS!$E$41</f>
        <v>0</v>
      </c>
    </row>
    <row r="117" customFormat="false" ht="15" hidden="false" customHeight="false" outlineLevel="0" collapsed="false">
      <c r="A117" s="24" t="s">
        <v>610</v>
      </c>
      <c r="B117" s="24" t="str">
        <f aca="false">IF(INPUTS!$B$42="","","H - "&amp;INPUTS!$B$42&amp;" "&amp;INPUTS!$B$34&amp;" Finishing (Labour)")</f>
        <v>H - PRKG Hydronic Finishing (Labour)</v>
      </c>
      <c r="C117" s="28" t="n">
        <f aca="false">(BUDGET!$J$38-BUDGET!$G$38)*INPUTS!$E$42*$P$88</f>
        <v>0</v>
      </c>
      <c r="D117" s="19" t="n">
        <f aca="false">IFERROR(C117/$C$4,0)</f>
        <v>0</v>
      </c>
      <c r="E117" s="49"/>
      <c r="F117" s="19" t="n">
        <f aca="false">IFERROR(E117/C117,0)</f>
        <v>0</v>
      </c>
      <c r="G117" s="28" t="n">
        <f aca="false">C117-E117</f>
        <v>0</v>
      </c>
      <c r="H117" s="28" t="n">
        <f aca="false">E117*INPUTS!$C$29</f>
        <v>0</v>
      </c>
      <c r="J117" s="24"/>
      <c r="K117" s="28" t="n">
        <f aca="false">BUDGET!$D$38*INPUTS!$E$42</f>
        <v>0</v>
      </c>
      <c r="L117" s="24"/>
      <c r="M117" s="28" t="n">
        <f aca="false">BUDGET!$H$38*INPUTS!$E$42</f>
        <v>0</v>
      </c>
      <c r="N117" s="13" t="n">
        <f aca="false">BUDGET!$C$38*INPUTS!$E$42</f>
        <v>0</v>
      </c>
    </row>
    <row r="118" customFormat="false" ht="15" hidden="false" customHeight="false" outlineLevel="0" collapsed="false">
      <c r="A118" s="24" t="s">
        <v>611</v>
      </c>
      <c r="B118" s="24" t="str">
        <f aca="false">IF(INPUTS!$B$43="","","H - "&amp;INPUTS!$B$43&amp;" "&amp;INPUTS!$B$34&amp;" Finishing (Labour)")</f>
        <v>H - L-01 Hydronic Finishing (Labour)</v>
      </c>
      <c r="C118" s="28" t="n">
        <f aca="false">(BUDGET!$J$38-BUDGET!$G$38)*INPUTS!$E$43*$P$88</f>
        <v>0</v>
      </c>
      <c r="D118" s="19" t="n">
        <f aca="false">IFERROR(C118/$C$4,0)</f>
        <v>0</v>
      </c>
      <c r="E118" s="49"/>
      <c r="F118" s="19" t="n">
        <f aca="false">IFERROR(E118/C118,0)</f>
        <v>0</v>
      </c>
      <c r="G118" s="28" t="n">
        <f aca="false">C118-E118</f>
        <v>0</v>
      </c>
      <c r="H118" s="28" t="n">
        <f aca="false">E118*INPUTS!$C$29</f>
        <v>0</v>
      </c>
      <c r="J118" s="24"/>
      <c r="K118" s="28" t="n">
        <f aca="false">BUDGET!$D$38*INPUTS!$E$43</f>
        <v>0</v>
      </c>
      <c r="L118" s="24"/>
      <c r="M118" s="28" t="n">
        <f aca="false">BUDGET!$H$38*INPUTS!$E$43</f>
        <v>0</v>
      </c>
      <c r="N118" s="13" t="n">
        <f aca="false">BUDGET!$C$38*INPUTS!$E$43</f>
        <v>0</v>
      </c>
    </row>
    <row r="119" customFormat="false" ht="15" hidden="false" customHeight="false" outlineLevel="0" collapsed="false">
      <c r="A119" s="24" t="s">
        <v>612</v>
      </c>
      <c r="B119" s="24" t="str">
        <f aca="false">IF(INPUTS!$B$44="","","H - "&amp;INPUTS!$B$44&amp;" "&amp;INPUTS!$B$34&amp;" Finishing (Labour)")</f>
        <v>H - L-02 Hydronic Finishing (Labour)</v>
      </c>
      <c r="C119" s="28" t="n">
        <f aca="false">(BUDGET!$J$38-BUDGET!$G$38)*INPUTS!$E$44*$P$88</f>
        <v>0</v>
      </c>
      <c r="D119" s="19" t="n">
        <f aca="false">IFERROR(C119/$C$4,0)</f>
        <v>0</v>
      </c>
      <c r="E119" s="49"/>
      <c r="F119" s="19" t="n">
        <f aca="false">IFERROR(E119/C119,0)</f>
        <v>0</v>
      </c>
      <c r="G119" s="28" t="n">
        <f aca="false">C119-E119</f>
        <v>0</v>
      </c>
      <c r="H119" s="28" t="n">
        <f aca="false">E119*INPUTS!$C$29</f>
        <v>0</v>
      </c>
      <c r="J119" s="24"/>
      <c r="K119" s="28" t="n">
        <f aca="false">BUDGET!$D$38*INPUTS!$E$44</f>
        <v>0</v>
      </c>
      <c r="L119" s="24"/>
      <c r="M119" s="28" t="n">
        <f aca="false">BUDGET!$H$38*INPUTS!$E$44</f>
        <v>0</v>
      </c>
      <c r="N119" s="13" t="n">
        <f aca="false">BUDGET!$C$38*INPUTS!$E$44</f>
        <v>0</v>
      </c>
    </row>
    <row r="120" customFormat="false" ht="15" hidden="false" customHeight="false" outlineLevel="0" collapsed="false">
      <c r="A120" s="24" t="s">
        <v>613</v>
      </c>
      <c r="B120" s="24" t="str">
        <f aca="false">IF(INPUTS!$B$45="","","H - "&amp;INPUTS!$B$45&amp;" "&amp;INPUTS!$B$34&amp;" Finishing (Labour)")</f>
        <v>H - L-03 Hydronic Finishing (Labour)</v>
      </c>
      <c r="C120" s="28" t="n">
        <f aca="false">(BUDGET!$J$38-BUDGET!$G$38)*INPUTS!$E$45*$P$88</f>
        <v>0</v>
      </c>
      <c r="D120" s="19" t="n">
        <f aca="false">IFERROR(C120/$C$4,0)</f>
        <v>0</v>
      </c>
      <c r="E120" s="49"/>
      <c r="F120" s="19" t="n">
        <f aca="false">IFERROR(E120/C120,0)</f>
        <v>0</v>
      </c>
      <c r="G120" s="28" t="n">
        <f aca="false">C120-E120</f>
        <v>0</v>
      </c>
      <c r="H120" s="28" t="n">
        <f aca="false">E120*INPUTS!$C$29</f>
        <v>0</v>
      </c>
      <c r="J120" s="24"/>
      <c r="K120" s="28" t="n">
        <f aca="false">BUDGET!$D$38*INPUTS!$E$45</f>
        <v>0</v>
      </c>
      <c r="L120" s="24"/>
      <c r="M120" s="28" t="n">
        <f aca="false">BUDGET!$H$38*INPUTS!$E$45</f>
        <v>0</v>
      </c>
      <c r="N120" s="13" t="n">
        <f aca="false">BUDGET!$C$38*INPUTS!$E$45</f>
        <v>0</v>
      </c>
    </row>
    <row r="121" customFormat="false" ht="15" hidden="false" customHeight="false" outlineLevel="0" collapsed="false">
      <c r="A121" s="24" t="s">
        <v>614</v>
      </c>
      <c r="B121" s="24" t="str">
        <f aca="false">IF(INPUTS!$B$46="","","H - "&amp;INPUTS!$B$46&amp;" "&amp;INPUTS!$B$34&amp;" Finishing (Labour)")</f>
        <v>H - L-04 Hydronic Finishing (Labour)</v>
      </c>
      <c r="C121" s="28" t="n">
        <f aca="false">(BUDGET!$J$38-BUDGET!$G$38)*INPUTS!$E$46*$P$88</f>
        <v>0</v>
      </c>
      <c r="D121" s="19" t="n">
        <f aca="false">IFERROR(C121/$C$4,0)</f>
        <v>0</v>
      </c>
      <c r="E121" s="49"/>
      <c r="F121" s="19" t="n">
        <f aca="false">IFERROR(E121/C121,0)</f>
        <v>0</v>
      </c>
      <c r="G121" s="28" t="n">
        <f aca="false">C121-E121</f>
        <v>0</v>
      </c>
      <c r="H121" s="28" t="n">
        <f aca="false">E121*INPUTS!$C$29</f>
        <v>0</v>
      </c>
      <c r="J121" s="24"/>
      <c r="K121" s="28" t="n">
        <f aca="false">BUDGET!$D$38*INPUTS!$E$46</f>
        <v>0</v>
      </c>
      <c r="L121" s="24"/>
      <c r="M121" s="28" t="n">
        <f aca="false">BUDGET!$H$38*INPUTS!$E$46</f>
        <v>0</v>
      </c>
      <c r="N121" s="13" t="n">
        <f aca="false">BUDGET!$C$38*INPUTS!$E$46</f>
        <v>0</v>
      </c>
    </row>
    <row r="122" customFormat="false" ht="15" hidden="false" customHeight="false" outlineLevel="0" collapsed="false">
      <c r="A122" s="24" t="s">
        <v>615</v>
      </c>
      <c r="B122" s="24" t="str">
        <f aca="false">IF(INPUTS!$B$47="","","H - "&amp;INPUTS!$B$47&amp;" "&amp;INPUTS!$B$34&amp;" Finishing (Labour)")</f>
        <v>H - L-05 Hydronic Finishing (Labour)</v>
      </c>
      <c r="C122" s="28" t="n">
        <f aca="false">(BUDGET!$J$38-BUDGET!$G$38)*INPUTS!$E$47*$P$88</f>
        <v>0</v>
      </c>
      <c r="D122" s="19" t="n">
        <f aca="false">IFERROR(C122/$C$4,0)</f>
        <v>0</v>
      </c>
      <c r="E122" s="49"/>
      <c r="F122" s="19" t="n">
        <f aca="false">IFERROR(E122/C122,0)</f>
        <v>0</v>
      </c>
      <c r="G122" s="28" t="n">
        <f aca="false">C122-E122</f>
        <v>0</v>
      </c>
      <c r="H122" s="28" t="n">
        <f aca="false">E122*INPUTS!$C$29</f>
        <v>0</v>
      </c>
      <c r="J122" s="24"/>
      <c r="K122" s="28" t="n">
        <f aca="false">BUDGET!$D$38*INPUTS!$E$47</f>
        <v>0</v>
      </c>
      <c r="L122" s="24"/>
      <c r="M122" s="28" t="n">
        <f aca="false">BUDGET!$H$38*INPUTS!$E$47</f>
        <v>0</v>
      </c>
      <c r="N122" s="13" t="n">
        <f aca="false">BUDGET!$C$38*INPUTS!$E$47</f>
        <v>0</v>
      </c>
    </row>
    <row r="123" customFormat="false" ht="15" hidden="false" customHeight="false" outlineLevel="0" collapsed="false">
      <c r="A123" s="24" t="s">
        <v>616</v>
      </c>
      <c r="B123" s="24" t="str">
        <f aca="false">IF(INPUTS!$B$48="","","H - "&amp;INPUTS!$B$48&amp;" "&amp;INPUTS!$B$34&amp;" Finishing (Labour)")</f>
        <v>H - L-06 Hydronic Finishing (Labour)</v>
      </c>
      <c r="C123" s="28" t="n">
        <f aca="false">(BUDGET!$J$38-BUDGET!$G$38)*INPUTS!$E$48*$P$88</f>
        <v>0</v>
      </c>
      <c r="D123" s="19" t="n">
        <f aca="false">IFERROR(C123/$C$4,0)</f>
        <v>0</v>
      </c>
      <c r="E123" s="49"/>
      <c r="F123" s="19" t="n">
        <f aca="false">IFERROR(E123/C123,0)</f>
        <v>0</v>
      </c>
      <c r="G123" s="28" t="n">
        <f aca="false">C123-E123</f>
        <v>0</v>
      </c>
      <c r="H123" s="28" t="n">
        <f aca="false">E123*INPUTS!$C$29</f>
        <v>0</v>
      </c>
      <c r="J123" s="24"/>
      <c r="K123" s="28" t="n">
        <f aca="false">BUDGET!$D$38*INPUTS!$E$48</f>
        <v>0</v>
      </c>
      <c r="L123" s="24"/>
      <c r="M123" s="28" t="n">
        <f aca="false">BUDGET!$H$38*INPUTS!$E$48</f>
        <v>0</v>
      </c>
      <c r="N123" s="13" t="n">
        <f aca="false">BUDGET!$C$38*INPUTS!$E$48</f>
        <v>0</v>
      </c>
    </row>
    <row r="124" customFormat="false" ht="15" hidden="false" customHeight="false" outlineLevel="0" collapsed="false">
      <c r="A124" s="24" t="s">
        <v>617</v>
      </c>
      <c r="B124" s="24" t="str">
        <f aca="false">IF(INPUTS!$B$49="","","H - "&amp;INPUTS!$B$49&amp;" "&amp;INPUTS!$B$34&amp;" Finishing (Labour)")</f>
        <v>H - L-07 Hydronic Finishing (Labour)</v>
      </c>
      <c r="C124" s="28" t="n">
        <f aca="false">(BUDGET!$J$38-BUDGET!$G$38)*INPUTS!$E$49*$P$88</f>
        <v>0</v>
      </c>
      <c r="D124" s="19" t="n">
        <f aca="false">IFERROR(C124/$C$4,0)</f>
        <v>0</v>
      </c>
      <c r="E124" s="49"/>
      <c r="F124" s="19" t="n">
        <f aca="false">IFERROR(E124/C124,0)</f>
        <v>0</v>
      </c>
      <c r="G124" s="28" t="n">
        <f aca="false">C124-E124</f>
        <v>0</v>
      </c>
      <c r="H124" s="28" t="n">
        <f aca="false">E124*INPUTS!$C$29</f>
        <v>0</v>
      </c>
      <c r="J124" s="24"/>
      <c r="K124" s="28" t="n">
        <f aca="false">BUDGET!$D$38*INPUTS!$E$49</f>
        <v>0</v>
      </c>
      <c r="L124" s="24"/>
      <c r="M124" s="28" t="n">
        <f aca="false">BUDGET!$H$38*INPUTS!$E$49</f>
        <v>0</v>
      </c>
      <c r="N124" s="13" t="n">
        <f aca="false">BUDGET!$C$38*INPUTS!$E$49</f>
        <v>0</v>
      </c>
    </row>
    <row r="125" customFormat="false" ht="15" hidden="false" customHeight="false" outlineLevel="0" collapsed="false">
      <c r="A125" s="24" t="s">
        <v>618</v>
      </c>
      <c r="B125" s="24" t="str">
        <f aca="false">IF(INPUTS!$B$50="","","H - "&amp;INPUTS!$B$50&amp;" "&amp;INPUTS!$B$34&amp;" Finishing (Labour)")</f>
        <v>H - L-08 Hydronic Finishing (Labour)</v>
      </c>
      <c r="C125" s="28" t="n">
        <f aca="false">(BUDGET!$J$38-BUDGET!$G$38)*INPUTS!$E$50*$P$88</f>
        <v>0</v>
      </c>
      <c r="D125" s="19" t="n">
        <f aca="false">IFERROR(C125/$C$4,0)</f>
        <v>0</v>
      </c>
      <c r="E125" s="49"/>
      <c r="F125" s="19" t="n">
        <f aca="false">IFERROR(E125/C125,0)</f>
        <v>0</v>
      </c>
      <c r="G125" s="28" t="n">
        <f aca="false">C125-E125</f>
        <v>0</v>
      </c>
      <c r="H125" s="28" t="n">
        <f aca="false">E125*INPUTS!$C$29</f>
        <v>0</v>
      </c>
      <c r="J125" s="24"/>
      <c r="K125" s="28" t="n">
        <f aca="false">BUDGET!$D$38*INPUTS!$E$50</f>
        <v>0</v>
      </c>
      <c r="L125" s="24"/>
      <c r="M125" s="28" t="n">
        <f aca="false">BUDGET!$H$38*INPUTS!$E$50</f>
        <v>0</v>
      </c>
      <c r="N125" s="13" t="n">
        <f aca="false">BUDGET!$C$38*INPUTS!$E$50</f>
        <v>0</v>
      </c>
    </row>
    <row r="126" customFormat="false" ht="15" hidden="false" customHeight="false" outlineLevel="0" collapsed="false">
      <c r="A126" s="24" t="s">
        <v>619</v>
      </c>
      <c r="B126" s="24" t="str">
        <f aca="false">IF(INPUTS!$B$51="","","H - "&amp;INPUTS!$B$51&amp;" "&amp;INPUTS!$B$34&amp;" Finishing (Labour)")</f>
        <v>H - L-09 Hydronic Finishing (Labour)</v>
      </c>
      <c r="C126" s="28" t="n">
        <f aca="false">(BUDGET!$J$38-BUDGET!$G$38)*INPUTS!$E$51*$P$88</f>
        <v>0</v>
      </c>
      <c r="D126" s="19" t="n">
        <f aca="false">IFERROR(C126/$C$4,0)</f>
        <v>0</v>
      </c>
      <c r="E126" s="49"/>
      <c r="F126" s="19" t="n">
        <f aca="false">IFERROR(E126/C126,0)</f>
        <v>0</v>
      </c>
      <c r="G126" s="28" t="n">
        <f aca="false">C126-E126</f>
        <v>0</v>
      </c>
      <c r="H126" s="28" t="n">
        <f aca="false">E126*INPUTS!$C$29</f>
        <v>0</v>
      </c>
      <c r="J126" s="24"/>
      <c r="K126" s="28" t="n">
        <f aca="false">BUDGET!$D$38*INPUTS!$E$51</f>
        <v>0</v>
      </c>
      <c r="L126" s="24"/>
      <c r="M126" s="28" t="n">
        <f aca="false">BUDGET!$H$38*INPUTS!$E$51</f>
        <v>0</v>
      </c>
      <c r="N126" s="13" t="n">
        <f aca="false">BUDGET!$C$38*INPUTS!$E$51</f>
        <v>0</v>
      </c>
    </row>
    <row r="127" customFormat="false" ht="15" hidden="false" customHeight="false" outlineLevel="0" collapsed="false">
      <c r="A127" s="24" t="s">
        <v>620</v>
      </c>
      <c r="B127" s="24" t="str">
        <f aca="false">IF(INPUTS!$B$52="","","H - "&amp;INPUTS!$B$52&amp;" "&amp;INPUTS!$B$34&amp;" Finishing (Labour)")</f>
        <v>H - L-10 Hydronic Finishing (Labour)</v>
      </c>
      <c r="C127" s="28" t="n">
        <f aca="false">(BUDGET!$J$38-BUDGET!$G$38)*INPUTS!$E$52*$P$88</f>
        <v>0</v>
      </c>
      <c r="D127" s="19" t="n">
        <f aca="false">IFERROR(C127/$C$4,0)</f>
        <v>0</v>
      </c>
      <c r="E127" s="49"/>
      <c r="F127" s="19" t="n">
        <f aca="false">IFERROR(E127/C127,0)</f>
        <v>0</v>
      </c>
      <c r="G127" s="28" t="n">
        <f aca="false">C127-E127</f>
        <v>0</v>
      </c>
      <c r="H127" s="28" t="n">
        <f aca="false">E127*INPUTS!$C$29</f>
        <v>0</v>
      </c>
      <c r="J127" s="24"/>
      <c r="K127" s="28" t="n">
        <f aca="false">BUDGET!$D$38*INPUTS!$E$52</f>
        <v>0</v>
      </c>
      <c r="L127" s="24"/>
      <c r="M127" s="28" t="n">
        <f aca="false">BUDGET!$H$38*INPUTS!$E$52</f>
        <v>0</v>
      </c>
      <c r="N127" s="13" t="n">
        <f aca="false">BUDGET!$C$38*INPUTS!$E$52</f>
        <v>0</v>
      </c>
    </row>
    <row r="128" customFormat="false" ht="15" hidden="false" customHeight="false" outlineLevel="0" collapsed="false">
      <c r="A128" s="24" t="s">
        <v>621</v>
      </c>
      <c r="B128" s="24" t="str">
        <f aca="false">IF(INPUTS!$B$53="","","H - "&amp;INPUTS!$B$53&amp;" "&amp;INPUTS!$B$34&amp;" Finishing (Labour)")</f>
        <v>H - ROOF Hydronic Finishing (Labour)</v>
      </c>
      <c r="C128" s="28" t="n">
        <f aca="false">(BUDGET!$J$38-BUDGET!$G$38)*INPUTS!$E$53*$P$88</f>
        <v>0</v>
      </c>
      <c r="D128" s="19" t="n">
        <f aca="false">IFERROR(C128/$C$4,0)</f>
        <v>0</v>
      </c>
      <c r="E128" s="49"/>
      <c r="F128" s="19" t="n">
        <f aca="false">IFERROR(E128/C128,0)</f>
        <v>0</v>
      </c>
      <c r="G128" s="28" t="n">
        <f aca="false">C128-E128</f>
        <v>0</v>
      </c>
      <c r="H128" s="28" t="n">
        <f aca="false">E128*INPUTS!$C$29</f>
        <v>0</v>
      </c>
      <c r="J128" s="24"/>
      <c r="K128" s="28" t="n">
        <f aca="false">BUDGET!$D$38*INPUTS!$E$53</f>
        <v>0</v>
      </c>
      <c r="L128" s="24"/>
      <c r="M128" s="28" t="n">
        <f aca="false">BUDGET!$H$38*INPUTS!$E$53</f>
        <v>0</v>
      </c>
      <c r="N128" s="13" t="n">
        <f aca="false">BUDGET!$C$38*INPUTS!$E$53</f>
        <v>0</v>
      </c>
    </row>
    <row r="129" customFormat="false" ht="15" hidden="false" customHeight="false" outlineLevel="0" collapsed="false">
      <c r="A129" s="24" t="s">
        <v>622</v>
      </c>
      <c r="B129" s="24" t="str">
        <f aca="false">IF(INPUTS!$B$54="","","H - "&amp;INPUTS!$B$54&amp;" "&amp;INPUTS!$B$34&amp;" Finishing (Labour)")</f>
        <v/>
      </c>
      <c r="C129" s="28" t="n">
        <f aca="false">(BUDGET!$J$38-BUDGET!$G$38)*INPUTS!$E$54*$P$88</f>
        <v>0</v>
      </c>
      <c r="D129" s="19" t="n">
        <f aca="false">IFERROR(C129/$C$4,0)</f>
        <v>0</v>
      </c>
      <c r="E129" s="49"/>
      <c r="F129" s="19" t="n">
        <f aca="false">IFERROR(E129/C129,0)</f>
        <v>0</v>
      </c>
      <c r="G129" s="28" t="n">
        <f aca="false">C129-E129</f>
        <v>0</v>
      </c>
      <c r="H129" s="28" t="n">
        <f aca="false">E129*INPUTS!$C$29</f>
        <v>0</v>
      </c>
      <c r="J129" s="24"/>
      <c r="K129" s="28" t="n">
        <f aca="false">BUDGET!$D$38*INPUTS!$E$54</f>
        <v>0</v>
      </c>
      <c r="L129" s="24"/>
      <c r="M129" s="28" t="n">
        <f aca="false">BUDGET!$H$38*INPUTS!$E$54</f>
        <v>0</v>
      </c>
      <c r="N129" s="13" t="n">
        <f aca="false">BUDGET!$C$38*INPUTS!$E$54</f>
        <v>0</v>
      </c>
    </row>
    <row r="130" customFormat="false" ht="15" hidden="false" customHeight="false" outlineLevel="0" collapsed="false">
      <c r="A130" s="24" t="s">
        <v>623</v>
      </c>
      <c r="B130" s="24" t="str">
        <f aca="false">IF(INPUTS!$B$55="","","H - "&amp;INPUTS!$B$55&amp;" "&amp;INPUTS!$B$34&amp;" Finishing (Labour)")</f>
        <v/>
      </c>
      <c r="C130" s="28" t="n">
        <f aca="false">(BUDGET!$J$38-BUDGET!$G$38)*INPUTS!$E$55*$P$88</f>
        <v>0</v>
      </c>
      <c r="D130" s="19" t="n">
        <f aca="false">IFERROR(C130/$C$4,0)</f>
        <v>0</v>
      </c>
      <c r="E130" s="49"/>
      <c r="F130" s="19" t="n">
        <f aca="false">IFERROR(E130/C130,0)</f>
        <v>0</v>
      </c>
      <c r="G130" s="28" t="n">
        <f aca="false">C130-E130</f>
        <v>0</v>
      </c>
      <c r="H130" s="28" t="n">
        <f aca="false">E130*INPUTS!$C$29</f>
        <v>0</v>
      </c>
      <c r="J130" s="24"/>
      <c r="K130" s="28" t="n">
        <f aca="false">BUDGET!$D$38*INPUTS!$E$55</f>
        <v>0</v>
      </c>
      <c r="L130" s="24"/>
      <c r="M130" s="28" t="n">
        <f aca="false">BUDGET!$H$38*INPUTS!$E$55</f>
        <v>0</v>
      </c>
      <c r="N130" s="13" t="n">
        <f aca="false">BUDGET!$C$38*INPUTS!$E$55</f>
        <v>0</v>
      </c>
    </row>
    <row r="131" customFormat="false" ht="15" hidden="false" customHeight="false" outlineLevel="0" collapsed="false">
      <c r="A131" s="24" t="s">
        <v>624</v>
      </c>
      <c r="B131" s="24" t="str">
        <f aca="false">IF(INPUTS!$B$56="","","H - "&amp;INPUTS!$B$56&amp;" "&amp;INPUTS!$B$34&amp;" Finishing (Labour)")</f>
        <v/>
      </c>
      <c r="C131" s="28" t="n">
        <f aca="false">(BUDGET!$J$38-BUDGET!$G$38)*INPUTS!$E$56*$P$88</f>
        <v>0</v>
      </c>
      <c r="D131" s="19" t="n">
        <f aca="false">IFERROR(C131/$C$4,0)</f>
        <v>0</v>
      </c>
      <c r="E131" s="49"/>
      <c r="F131" s="19" t="n">
        <f aca="false">IFERROR(E131/C131,0)</f>
        <v>0</v>
      </c>
      <c r="G131" s="28" t="n">
        <f aca="false">C131-E131</f>
        <v>0</v>
      </c>
      <c r="H131" s="28" t="n">
        <f aca="false">E131*INPUTS!$C$29</f>
        <v>0</v>
      </c>
      <c r="J131" s="24"/>
      <c r="K131" s="28" t="n">
        <f aca="false">BUDGET!$D$38*INPUTS!$E$56</f>
        <v>0</v>
      </c>
      <c r="L131" s="24"/>
      <c r="M131" s="28" t="n">
        <f aca="false">BUDGET!$H$38*INPUTS!$E$56</f>
        <v>0</v>
      </c>
      <c r="N131" s="13" t="n">
        <f aca="false">BUDGET!$C$38*INPUTS!$E$56</f>
        <v>0</v>
      </c>
    </row>
    <row r="132" customFormat="false" ht="15" hidden="false" customHeight="false" outlineLevel="0" collapsed="false">
      <c r="A132" s="24" t="s">
        <v>625</v>
      </c>
      <c r="B132" s="24" t="str">
        <f aca="false">IF(INPUTS!$B$57="","","H - "&amp;INPUTS!$B$57&amp;" "&amp;INPUTS!$B$34&amp;" Finishing (Labour)")</f>
        <v/>
      </c>
      <c r="C132" s="28" t="n">
        <f aca="false">(BUDGET!$J$38-BUDGET!$G$38)*INPUTS!$E$57*$P$88</f>
        <v>0</v>
      </c>
      <c r="D132" s="19" t="n">
        <f aca="false">IFERROR(C132/$C$4,0)</f>
        <v>0</v>
      </c>
      <c r="E132" s="49"/>
      <c r="F132" s="19" t="n">
        <f aca="false">IFERROR(E132/C132,0)</f>
        <v>0</v>
      </c>
      <c r="G132" s="28" t="n">
        <f aca="false">C132-E132</f>
        <v>0</v>
      </c>
      <c r="H132" s="28" t="n">
        <f aca="false">E132*INPUTS!$C$29</f>
        <v>0</v>
      </c>
      <c r="J132" s="24"/>
      <c r="K132" s="28" t="n">
        <f aca="false">BUDGET!$D$38*INPUTS!$E$57</f>
        <v>0</v>
      </c>
      <c r="L132" s="24"/>
      <c r="M132" s="28" t="n">
        <f aca="false">BUDGET!$H$38*INPUTS!$E$57</f>
        <v>0</v>
      </c>
      <c r="N132" s="13" t="n">
        <f aca="false">BUDGET!$C$38*INPUTS!$E$57</f>
        <v>0</v>
      </c>
    </row>
    <row r="133" customFormat="false" ht="15" hidden="false" customHeight="false" outlineLevel="0" collapsed="false">
      <c r="A133" s="24" t="s">
        <v>626</v>
      </c>
      <c r="B133" s="24" t="str">
        <f aca="false">IF(INPUTS!$B$58="","","H - "&amp;INPUTS!$B$58&amp;" "&amp;INPUTS!$B$34&amp;" Finishing (Labour)")</f>
        <v/>
      </c>
      <c r="C133" s="28" t="n">
        <f aca="false">(BUDGET!$J$38-BUDGET!$G$38)*INPUTS!$E$58*$P$88</f>
        <v>0</v>
      </c>
      <c r="D133" s="19" t="n">
        <f aca="false">IFERROR(C133/$C$4,0)</f>
        <v>0</v>
      </c>
      <c r="E133" s="49"/>
      <c r="F133" s="19" t="n">
        <f aca="false">IFERROR(E133/C133,0)</f>
        <v>0</v>
      </c>
      <c r="G133" s="28" t="n">
        <f aca="false">C133-E133</f>
        <v>0</v>
      </c>
      <c r="H133" s="28" t="n">
        <f aca="false">E133*INPUTS!$C$29</f>
        <v>0</v>
      </c>
      <c r="J133" s="24"/>
      <c r="K133" s="28" t="n">
        <f aca="false">BUDGET!$D$38*INPUTS!$E$58</f>
        <v>0</v>
      </c>
      <c r="L133" s="24"/>
      <c r="M133" s="28" t="n">
        <f aca="false">BUDGET!$H$38*INPUTS!$E$58</f>
        <v>0</v>
      </c>
      <c r="N133" s="13" t="n">
        <f aca="false">BUDGET!$C$38*INPUTS!$E$58</f>
        <v>0</v>
      </c>
    </row>
    <row r="134" customFormat="false" ht="15" hidden="false" customHeight="false" outlineLevel="0" collapsed="false">
      <c r="A134" s="24" t="s">
        <v>627</v>
      </c>
      <c r="B134" s="24" t="str">
        <f aca="false">IF(INPUTS!$B$59="","","H - "&amp;INPUTS!$B$59&amp;" "&amp;INPUTS!$B$34&amp;" Finishing (Labour)")</f>
        <v/>
      </c>
      <c r="C134" s="28" t="n">
        <f aca="false">(BUDGET!$J$38-BUDGET!$G$38)*INPUTS!$E$59*$P$88</f>
        <v>0</v>
      </c>
      <c r="D134" s="19" t="n">
        <f aca="false">IFERROR(C134/$C$4,0)</f>
        <v>0</v>
      </c>
      <c r="E134" s="49"/>
      <c r="F134" s="19" t="n">
        <f aca="false">IFERROR(E134/C134,0)</f>
        <v>0</v>
      </c>
      <c r="G134" s="28" t="n">
        <f aca="false">C134-E134</f>
        <v>0</v>
      </c>
      <c r="H134" s="28" t="n">
        <f aca="false">E134*INPUTS!$C$29</f>
        <v>0</v>
      </c>
      <c r="J134" s="24"/>
      <c r="K134" s="28" t="n">
        <f aca="false">BUDGET!$D$38*INPUTS!$E$59</f>
        <v>0</v>
      </c>
      <c r="L134" s="24"/>
      <c r="M134" s="28" t="n">
        <f aca="false">BUDGET!$H$38*INPUTS!$E$59</f>
        <v>0</v>
      </c>
      <c r="N134" s="13" t="n">
        <f aca="false">BUDGET!$C$38*INPUTS!$E$59</f>
        <v>0</v>
      </c>
    </row>
    <row r="135" customFormat="false" ht="15" hidden="false" customHeight="false" outlineLevel="0" collapsed="false">
      <c r="A135" s="24" t="s">
        <v>628</v>
      </c>
      <c r="B135" s="24" t="str">
        <f aca="false">IF(INPUTS!$B$60="","","H - "&amp;INPUTS!$B$60&amp;" "&amp;INPUTS!$B$34&amp;" Finishing (Labour)")</f>
        <v/>
      </c>
      <c r="C135" s="28" t="n">
        <f aca="false">(BUDGET!$J$38-BUDGET!$G$38)*INPUTS!$E$60*$P$88</f>
        <v>0</v>
      </c>
      <c r="D135" s="19" t="n">
        <f aca="false">IFERROR(C135/$C$4,0)</f>
        <v>0</v>
      </c>
      <c r="E135" s="49"/>
      <c r="F135" s="19" t="n">
        <f aca="false">IFERROR(E135/C135,0)</f>
        <v>0</v>
      </c>
      <c r="G135" s="28" t="n">
        <f aca="false">C135-E135</f>
        <v>0</v>
      </c>
      <c r="H135" s="28" t="n">
        <f aca="false">E135*INPUTS!$C$29</f>
        <v>0</v>
      </c>
      <c r="J135" s="24"/>
      <c r="K135" s="28" t="n">
        <f aca="false">BUDGET!$D$38*INPUTS!$E$60</f>
        <v>0</v>
      </c>
      <c r="L135" s="24"/>
      <c r="M135" s="28" t="n">
        <f aca="false">BUDGET!$H$38*INPUTS!$E$60</f>
        <v>0</v>
      </c>
      <c r="N135" s="13" t="n">
        <f aca="false">BUDGET!$C$38*INPUTS!$E$60</f>
        <v>0</v>
      </c>
    </row>
    <row r="136" customFormat="false" ht="15" hidden="false" customHeight="false" outlineLevel="0" collapsed="false">
      <c r="A136" s="24" t="s">
        <v>629</v>
      </c>
      <c r="B136" s="24" t="str">
        <f aca="false">IF(INPUTS!$B$61="","","H - "&amp;INPUTS!$B$61&amp;" "&amp;INPUTS!$B$34&amp;" Finishing (Labour)")</f>
        <v/>
      </c>
      <c r="C136" s="28" t="n">
        <f aca="false">(BUDGET!$J$38-BUDGET!$G$38)*INPUTS!$E$61*$P$88</f>
        <v>0</v>
      </c>
      <c r="D136" s="19" t="n">
        <f aca="false">IFERROR(C136/$C$4,0)</f>
        <v>0</v>
      </c>
      <c r="E136" s="49"/>
      <c r="F136" s="19" t="n">
        <f aca="false">IFERROR(E136/C136,0)</f>
        <v>0</v>
      </c>
      <c r="G136" s="28" t="n">
        <f aca="false">C136-E136</f>
        <v>0</v>
      </c>
      <c r="H136" s="28" t="n">
        <f aca="false">E136*INPUTS!$C$29</f>
        <v>0</v>
      </c>
      <c r="J136" s="24"/>
      <c r="K136" s="28" t="n">
        <f aca="false">BUDGET!$D$38*INPUTS!$E$61</f>
        <v>0</v>
      </c>
      <c r="L136" s="24"/>
      <c r="M136" s="28" t="n">
        <f aca="false">BUDGET!$H$38*INPUTS!$E$61</f>
        <v>0</v>
      </c>
      <c r="N136" s="13" t="n">
        <f aca="false">BUDGET!$C$38*INPUTS!$E$61</f>
        <v>0</v>
      </c>
    </row>
    <row r="137" customFormat="false" ht="15" hidden="false" customHeight="false" outlineLevel="0" collapsed="false">
      <c r="A137" s="24" t="s">
        <v>630</v>
      </c>
      <c r="B137" s="24" t="str">
        <f aca="false">IF(INPUTS!$B$62="","","H - "&amp;INPUTS!$B$62&amp;" "&amp;INPUTS!$B$34&amp;" Finishing (Labour)")</f>
        <v/>
      </c>
      <c r="C137" s="28" t="n">
        <f aca="false">(BUDGET!$J$38-BUDGET!$G$38)*INPUTS!$E$62*$P$88</f>
        <v>0</v>
      </c>
      <c r="D137" s="19" t="n">
        <f aca="false">IFERROR(C137/$C$4,0)</f>
        <v>0</v>
      </c>
      <c r="E137" s="49"/>
      <c r="F137" s="19" t="n">
        <f aca="false">IFERROR(E137/C137,0)</f>
        <v>0</v>
      </c>
      <c r="G137" s="28" t="n">
        <f aca="false">C137-E137</f>
        <v>0</v>
      </c>
      <c r="H137" s="28" t="n">
        <f aca="false">E137*INPUTS!$C$29</f>
        <v>0</v>
      </c>
      <c r="J137" s="24"/>
      <c r="K137" s="28" t="n">
        <f aca="false">BUDGET!$D$38*INPUTS!$E$62</f>
        <v>0</v>
      </c>
      <c r="L137" s="24"/>
      <c r="M137" s="28" t="n">
        <f aca="false">BUDGET!$H$38*INPUTS!$E$62</f>
        <v>0</v>
      </c>
      <c r="N137" s="13" t="n">
        <f aca="false">BUDGET!$C$38*INPUTS!$E$62</f>
        <v>0</v>
      </c>
    </row>
    <row r="138" customFormat="false" ht="15" hidden="false" customHeight="false" outlineLevel="0" collapsed="false">
      <c r="A138" s="24" t="s">
        <v>631</v>
      </c>
      <c r="B138" s="24" t="str">
        <f aca="false">IF(INPUTS!$B$63="","","H - "&amp;INPUTS!$B$63&amp;" "&amp;INPUTS!$B$34&amp;" Finishing (Labour)")</f>
        <v/>
      </c>
      <c r="C138" s="28" t="n">
        <f aca="false">(BUDGET!$J$38-BUDGET!$G$38)*INPUTS!$E$63*$P$88</f>
        <v>0</v>
      </c>
      <c r="D138" s="19" t="n">
        <f aca="false">IFERROR(C138/$C$4,0)</f>
        <v>0</v>
      </c>
      <c r="E138" s="49"/>
      <c r="F138" s="19" t="n">
        <f aca="false">IFERROR(E138/C138,0)</f>
        <v>0</v>
      </c>
      <c r="G138" s="28" t="n">
        <f aca="false">C138-E138</f>
        <v>0</v>
      </c>
      <c r="H138" s="28" t="n">
        <f aca="false">E138*INPUTS!$C$29</f>
        <v>0</v>
      </c>
      <c r="J138" s="24"/>
      <c r="K138" s="28" t="n">
        <f aca="false">BUDGET!$D$38*INPUTS!$E$63</f>
        <v>0</v>
      </c>
      <c r="L138" s="24"/>
      <c r="M138" s="28" t="n">
        <f aca="false">BUDGET!$H$38*INPUTS!$E$63</f>
        <v>0</v>
      </c>
      <c r="N138" s="13" t="n">
        <f aca="false">BUDGET!$C$38*INPUTS!$E$63</f>
        <v>0</v>
      </c>
    </row>
    <row r="139" customFormat="false" ht="15" hidden="false" customHeight="false" outlineLevel="0" collapsed="false">
      <c r="A139" s="24" t="s">
        <v>632</v>
      </c>
      <c r="B139" s="24" t="str">
        <f aca="false">"H - "&amp;MID(INPUTS!$B$71,4,80)</f>
        <v>H - Material Supply</v>
      </c>
      <c r="C139" s="28" t="n">
        <f aca="false">(BUDGET!$J$39-BUDGET!$G$39)*$P$88</f>
        <v>0</v>
      </c>
      <c r="D139" s="19" t="n">
        <f aca="false">IFERROR(C139/$C$4,0)</f>
        <v>0</v>
      </c>
      <c r="E139" s="49"/>
      <c r="F139" s="19" t="n">
        <f aca="false">IFERROR(E139/C139,0)</f>
        <v>0</v>
      </c>
      <c r="G139" s="28" t="n">
        <f aca="false">C139-E139</f>
        <v>0</v>
      </c>
      <c r="H139" s="28" t="n">
        <f aca="false">E139*INPUTS!$C$29</f>
        <v>0</v>
      </c>
      <c r="J139" s="28" t="n">
        <f aca="false">BUDGET!$F$39+BUDGET!$F$44</f>
        <v>0</v>
      </c>
      <c r="K139" s="28" t="n">
        <f aca="false">BUDGET!$D$39</f>
        <v>0</v>
      </c>
      <c r="L139" s="24"/>
      <c r="M139" s="28" t="n">
        <f aca="false">BUDGET!$H$39</f>
        <v>0</v>
      </c>
      <c r="N139" s="13" t="n">
        <f aca="false">BUDGET!$C$39</f>
        <v>0</v>
      </c>
    </row>
    <row r="140" customFormat="false" ht="15" hidden="false" customHeight="false" outlineLevel="0" collapsed="false">
      <c r="A140" s="24" t="s">
        <v>633</v>
      </c>
      <c r="B140" s="24" t="str">
        <f aca="false">"H - "&amp;MID(INPUTS!$B$72,4,80)</f>
        <v>H - Fixtures &amp; Equipment Supply</v>
      </c>
      <c r="C140" s="28" t="n">
        <f aca="false">(BUDGET!$J$40-BUDGET!$G$40)*$P$88</f>
        <v>0</v>
      </c>
      <c r="D140" s="19" t="n">
        <f aca="false">IFERROR(C140/$C$4,0)</f>
        <v>0</v>
      </c>
      <c r="E140" s="49"/>
      <c r="F140" s="19" t="n">
        <f aca="false">IFERROR(E140/C140,0)</f>
        <v>0</v>
      </c>
      <c r="G140" s="28" t="n">
        <f aca="false">C140-E140</f>
        <v>0</v>
      </c>
      <c r="H140" s="28" t="n">
        <f aca="false">E140*INPUTS!$C$29</f>
        <v>0</v>
      </c>
      <c r="J140" s="28" t="n">
        <f aca="false">BUDGET!$F$40</f>
        <v>0</v>
      </c>
      <c r="K140" s="28" t="n">
        <f aca="false">BUDGET!$D$40</f>
        <v>0</v>
      </c>
      <c r="L140" s="24"/>
      <c r="M140" s="28" t="n">
        <f aca="false">BUDGET!$H$40</f>
        <v>0</v>
      </c>
      <c r="N140" s="13" t="n">
        <f aca="false">BUDGET!$C$40</f>
        <v>0</v>
      </c>
    </row>
    <row r="141" customFormat="false" ht="15" hidden="false" customHeight="false" outlineLevel="0" collapsed="false">
      <c r="A141" s="24" t="s">
        <v>634</v>
      </c>
      <c r="B141" s="24" t="str">
        <f aca="false">"H - "&amp;MID(INPUTS!$B$73,4,80)</f>
        <v>H - Testing, TAB &amp; Commissioning</v>
      </c>
      <c r="C141" s="28" t="n">
        <f aca="false">(BUDGET!$J$41-BUDGET!$G$41)*$P$88</f>
        <v>0</v>
      </c>
      <c r="D141" s="19" t="n">
        <f aca="false">IFERROR(C141/$C$4,0)</f>
        <v>0</v>
      </c>
      <c r="E141" s="49"/>
      <c r="F141" s="19" t="n">
        <f aca="false">IFERROR(E141/C141,0)</f>
        <v>0</v>
      </c>
      <c r="G141" s="28" t="n">
        <f aca="false">C141-E141</f>
        <v>0</v>
      </c>
      <c r="H141" s="28" t="n">
        <f aca="false">E141*INPUTS!$C$29</f>
        <v>0</v>
      </c>
      <c r="J141" s="28" t="n">
        <f aca="false">BUDGET!$F$41</f>
        <v>0</v>
      </c>
      <c r="K141" s="28" t="n">
        <f aca="false">BUDGET!$D$41</f>
        <v>0</v>
      </c>
      <c r="L141" s="24"/>
      <c r="M141" s="28" t="n">
        <f aca="false">BUDGET!$H$41</f>
        <v>0</v>
      </c>
      <c r="N141" s="13" t="n">
        <f aca="false">BUDGET!$C$41</f>
        <v>0</v>
      </c>
    </row>
    <row r="142" customFormat="false" ht="15" hidden="false" customHeight="false" outlineLevel="0" collapsed="false">
      <c r="A142" s="24" t="s">
        <v>635</v>
      </c>
      <c r="B142" s="24" t="str">
        <f aca="false">"H - "&amp;MID(INPUTS!$B$74,4,80)</f>
        <v>H - Completion &amp; Final Documents</v>
      </c>
      <c r="C142" s="28" t="n">
        <f aca="false">(BUDGET!$J$42-BUDGET!$G$42)*$P$88</f>
        <v>0</v>
      </c>
      <c r="D142" s="19" t="n">
        <f aca="false">IFERROR(C142/$C$4,0)</f>
        <v>0</v>
      </c>
      <c r="E142" s="49"/>
      <c r="F142" s="19" t="n">
        <f aca="false">IFERROR(E142/C142,0)</f>
        <v>0</v>
      </c>
      <c r="G142" s="28" t="n">
        <f aca="false">C142-E142</f>
        <v>0</v>
      </c>
      <c r="H142" s="28" t="n">
        <f aca="false">E142*INPUTS!$C$29</f>
        <v>0</v>
      </c>
      <c r="J142" s="28" t="n">
        <f aca="false">BUDGET!$F$42</f>
        <v>0</v>
      </c>
      <c r="K142" s="28" t="n">
        <f aca="false">BUDGET!$D$42</f>
        <v>0</v>
      </c>
      <c r="L142" s="24"/>
      <c r="M142" s="28" t="n">
        <f aca="false">BUDGET!$H$42</f>
        <v>0</v>
      </c>
      <c r="N142" s="13" t="n">
        <f aca="false">BUDGET!$C$42</f>
        <v>0</v>
      </c>
    </row>
    <row r="143" customFormat="false" ht="15" hidden="false" customHeight="false" outlineLevel="0" collapsed="false">
      <c r="A143" s="24" t="s">
        <v>636</v>
      </c>
      <c r="B143" s="24" t="str">
        <f aca="false">"H - "&amp;MID(INPUTS!$B$75,4,80)</f>
        <v>H - Office, Supervision &amp; General</v>
      </c>
      <c r="C143" s="28" t="n">
        <f aca="false">(BUDGET!$J$43-BUDGET!$G$43)*$P$88</f>
        <v>0</v>
      </c>
      <c r="D143" s="19" t="n">
        <f aca="false">IFERROR(C143/$C$4,0)</f>
        <v>0</v>
      </c>
      <c r="E143" s="49"/>
      <c r="F143" s="19" t="n">
        <f aca="false">IFERROR(E143/C143,0)</f>
        <v>0</v>
      </c>
      <c r="G143" s="28" t="n">
        <f aca="false">C143-E143</f>
        <v>0</v>
      </c>
      <c r="H143" s="28" t="n">
        <f aca="false">E143*INPUTS!$C$29</f>
        <v>0</v>
      </c>
      <c r="J143" s="28" t="n">
        <f aca="false">BUDGET!$F$43</f>
        <v>0</v>
      </c>
      <c r="K143" s="28" t="n">
        <f aca="false">BUDGET!$D$43</f>
        <v>0</v>
      </c>
      <c r="L143" s="24"/>
      <c r="M143" s="28" t="n">
        <f aca="false">BUDGET!$H$43</f>
        <v>0</v>
      </c>
      <c r="N143" s="13" t="n">
        <f aca="false">BUDGET!$C$43</f>
        <v>0</v>
      </c>
    </row>
    <row r="144" customFormat="false" ht="15" hidden="false" customHeight="false" outlineLevel="0" collapsed="false">
      <c r="A144" s="24" t="s">
        <v>637</v>
      </c>
      <c r="B144" s="24" t="str">
        <f aca="false">IF('SUBS &amp; GC'!$B$7="","","H - "&amp;'SUBS &amp; GC'!$B$7)</f>
        <v>H - Insulation and Heat Trace</v>
      </c>
      <c r="C144" s="28" t="n">
        <f aca="false">'SUBS &amp; GC'!$N$7*$P$88</f>
        <v>0</v>
      </c>
      <c r="D144" s="19" t="n">
        <f aca="false">IFERROR(C144/$C$4,0)</f>
        <v>0</v>
      </c>
      <c r="E144" s="49"/>
      <c r="F144" s="19" t="n">
        <f aca="false">IFERROR(E144/C144,0)</f>
        <v>0</v>
      </c>
      <c r="G144" s="28" t="n">
        <f aca="false">C144-E144</f>
        <v>0</v>
      </c>
      <c r="H144" s="28" t="n">
        <f aca="false">E144*INPUTS!$C$29</f>
        <v>0</v>
      </c>
      <c r="J144" s="24"/>
      <c r="K144" s="24"/>
      <c r="L144" s="28" t="n">
        <f aca="false">'SUBS &amp; GC'!$N$7</f>
        <v>0</v>
      </c>
      <c r="M144" s="24"/>
      <c r="N144" s="24"/>
    </row>
    <row r="145" customFormat="false" ht="15" hidden="false" customHeight="false" outlineLevel="0" collapsed="false">
      <c r="A145" s="24" t="s">
        <v>638</v>
      </c>
      <c r="B145" s="24" t="str">
        <f aca="false">IF('SUBS &amp; GC'!$B$8="","","H - "&amp;'SUBS &amp; GC'!$B$8)</f>
        <v>H - Duct Insulation</v>
      </c>
      <c r="C145" s="28" t="n">
        <f aca="false">'SUBS &amp; GC'!$N$8*$P$88</f>
        <v>0</v>
      </c>
      <c r="D145" s="19" t="n">
        <f aca="false">IFERROR(C145/$C$4,0)</f>
        <v>0</v>
      </c>
      <c r="E145" s="49"/>
      <c r="F145" s="19" t="n">
        <f aca="false">IFERROR(E145/C145,0)</f>
        <v>0</v>
      </c>
      <c r="G145" s="28" t="n">
        <f aca="false">C145-E145</f>
        <v>0</v>
      </c>
      <c r="H145" s="28" t="n">
        <f aca="false">E145*INPUTS!$C$29</f>
        <v>0</v>
      </c>
      <c r="J145" s="24"/>
      <c r="K145" s="24"/>
      <c r="L145" s="28" t="n">
        <f aca="false">'SUBS &amp; GC'!$N$8</f>
        <v>0</v>
      </c>
      <c r="M145" s="24"/>
      <c r="N145" s="24"/>
    </row>
    <row r="146" customFormat="false" ht="15" hidden="false" customHeight="false" outlineLevel="0" collapsed="false">
      <c r="A146" s="24" t="s">
        <v>639</v>
      </c>
      <c r="B146" s="24" t="str">
        <f aca="false">IF('SUBS &amp; GC'!$B$9="","","H - "&amp;'SUBS &amp; GC'!$B$9)</f>
        <v>H - Fire Sprinklers</v>
      </c>
      <c r="C146" s="28" t="n">
        <f aca="false">'SUBS &amp; GC'!$N$9*$P$88</f>
        <v>0</v>
      </c>
      <c r="D146" s="19" t="n">
        <f aca="false">IFERROR(C146/$C$4,0)</f>
        <v>0</v>
      </c>
      <c r="E146" s="49"/>
      <c r="F146" s="19" t="n">
        <f aca="false">IFERROR(E146/C146,0)</f>
        <v>0</v>
      </c>
      <c r="G146" s="28" t="n">
        <f aca="false">C146-E146</f>
        <v>0</v>
      </c>
      <c r="H146" s="28" t="n">
        <f aca="false">E146*INPUTS!$C$29</f>
        <v>0</v>
      </c>
      <c r="J146" s="24"/>
      <c r="K146" s="24"/>
      <c r="L146" s="28" t="n">
        <f aca="false">'SUBS &amp; GC'!$N$9</f>
        <v>0</v>
      </c>
      <c r="M146" s="24"/>
      <c r="N146" s="24"/>
    </row>
    <row r="147" customFormat="false" ht="15" hidden="false" customHeight="false" outlineLevel="0" collapsed="false">
      <c r="A147" s="24" t="s">
        <v>640</v>
      </c>
      <c r="B147" s="24" t="str">
        <f aca="false">IF('SUBS &amp; GC'!$B$10="","","H - "&amp;'SUBS &amp; GC'!$B$10)</f>
        <v>H - P&amp;H Controls</v>
      </c>
      <c r="C147" s="28" t="n">
        <f aca="false">'SUBS &amp; GC'!$N$10*$P$88</f>
        <v>0</v>
      </c>
      <c r="D147" s="19" t="n">
        <f aca="false">IFERROR(C147/$C$4,0)</f>
        <v>0</v>
      </c>
      <c r="E147" s="49"/>
      <c r="F147" s="19" t="n">
        <f aca="false">IFERROR(E147/C147,0)</f>
        <v>0</v>
      </c>
      <c r="G147" s="28" t="n">
        <f aca="false">C147-E147</f>
        <v>0</v>
      </c>
      <c r="H147" s="28" t="n">
        <f aca="false">E147*INPUTS!$C$29</f>
        <v>0</v>
      </c>
      <c r="J147" s="24"/>
      <c r="K147" s="24"/>
      <c r="L147" s="28" t="n">
        <f aca="false">'SUBS &amp; GC'!$N$10</f>
        <v>0</v>
      </c>
      <c r="M147" s="24"/>
      <c r="N147" s="24"/>
    </row>
    <row r="148" customFormat="false" ht="15" hidden="false" customHeight="false" outlineLevel="0" collapsed="false">
      <c r="A148" s="24" t="s">
        <v>641</v>
      </c>
      <c r="B148" s="24" t="str">
        <f aca="false">IF('SUBS &amp; GC'!$B$11="","","H - "&amp;'SUBS &amp; GC'!$B$11)</f>
        <v>H - HVAC Controls</v>
      </c>
      <c r="C148" s="28" t="n">
        <f aca="false">'SUBS &amp; GC'!$N$11*$P$88</f>
        <v>0</v>
      </c>
      <c r="D148" s="19" t="n">
        <f aca="false">IFERROR(C148/$C$4,0)</f>
        <v>0</v>
      </c>
      <c r="E148" s="49"/>
      <c r="F148" s="19" t="n">
        <f aca="false">IFERROR(E148/C148,0)</f>
        <v>0</v>
      </c>
      <c r="G148" s="28" t="n">
        <f aca="false">C148-E148</f>
        <v>0</v>
      </c>
      <c r="H148" s="28" t="n">
        <f aca="false">E148*INPUTS!$C$29</f>
        <v>0</v>
      </c>
      <c r="J148" s="24"/>
      <c r="K148" s="24"/>
      <c r="L148" s="28" t="n">
        <f aca="false">'SUBS &amp; GC'!$N$11</f>
        <v>0</v>
      </c>
      <c r="M148" s="24"/>
      <c r="N148" s="24"/>
    </row>
    <row r="149" customFormat="false" ht="15" hidden="false" customHeight="false" outlineLevel="0" collapsed="false">
      <c r="A149" s="24" t="s">
        <v>642</v>
      </c>
      <c r="B149" s="24" t="str">
        <f aca="false">IF('SUBS &amp; GC'!$B$12="","","H - "&amp;'SUBS &amp; GC'!$B$12)</f>
        <v>H - TAB and Commissioning</v>
      </c>
      <c r="C149" s="28" t="n">
        <f aca="false">'SUBS &amp; GC'!$N$12*$P$88</f>
        <v>0</v>
      </c>
      <c r="D149" s="19" t="n">
        <f aca="false">IFERROR(C149/$C$4,0)</f>
        <v>0</v>
      </c>
      <c r="E149" s="49"/>
      <c r="F149" s="19" t="n">
        <f aca="false">IFERROR(E149/C149,0)</f>
        <v>0</v>
      </c>
      <c r="G149" s="28" t="n">
        <f aca="false">C149-E149</f>
        <v>0</v>
      </c>
      <c r="H149" s="28" t="n">
        <f aca="false">E149*INPUTS!$C$29</f>
        <v>0</v>
      </c>
      <c r="J149" s="24"/>
      <c r="K149" s="24"/>
      <c r="L149" s="28" t="n">
        <f aca="false">'SUBS &amp; GC'!$N$12</f>
        <v>0</v>
      </c>
      <c r="M149" s="24"/>
      <c r="N149" s="24"/>
    </row>
    <row r="150" customFormat="false" ht="15" hidden="false" customHeight="false" outlineLevel="0" collapsed="false">
      <c r="A150" s="24" t="s">
        <v>643</v>
      </c>
      <c r="B150" s="24" t="str">
        <f aca="false">IF('SUBS &amp; GC'!$B$13="","","H - "&amp;'SUBS &amp; GC'!$B$13)</f>
        <v>H - A/C Commissioning</v>
      </c>
      <c r="C150" s="28" t="n">
        <f aca="false">'SUBS &amp; GC'!$N$13*$P$88</f>
        <v>0</v>
      </c>
      <c r="D150" s="19" t="n">
        <f aca="false">IFERROR(C150/$C$4,0)</f>
        <v>0</v>
      </c>
      <c r="E150" s="49"/>
      <c r="F150" s="19" t="n">
        <f aca="false">IFERROR(E150/C150,0)</f>
        <v>0</v>
      </c>
      <c r="G150" s="28" t="n">
        <f aca="false">C150-E150</f>
        <v>0</v>
      </c>
      <c r="H150" s="28" t="n">
        <f aca="false">E150*INPUTS!$C$29</f>
        <v>0</v>
      </c>
      <c r="J150" s="24"/>
      <c r="K150" s="24"/>
      <c r="L150" s="28" t="n">
        <f aca="false">'SUBS &amp; GC'!$N$13</f>
        <v>0</v>
      </c>
      <c r="M150" s="24"/>
      <c r="N150" s="24"/>
    </row>
    <row r="151" customFormat="false" ht="15" hidden="false" customHeight="false" outlineLevel="0" collapsed="false">
      <c r="A151" s="24" t="s">
        <v>644</v>
      </c>
      <c r="B151" s="24" t="str">
        <f aca="false">IF('SUBS &amp; GC'!$B$14="","","H - "&amp;'SUBS &amp; GC'!$B$14)</f>
        <v>H - Canning / Piping Plans</v>
      </c>
      <c r="C151" s="28" t="n">
        <f aca="false">'SUBS &amp; GC'!$N$14*$P$88</f>
        <v>0</v>
      </c>
      <c r="D151" s="19" t="n">
        <f aca="false">IFERROR(C151/$C$4,0)</f>
        <v>0</v>
      </c>
      <c r="E151" s="49"/>
      <c r="F151" s="19" t="n">
        <f aca="false">IFERROR(E151/C151,0)</f>
        <v>0</v>
      </c>
      <c r="G151" s="28" t="n">
        <f aca="false">C151-E151</f>
        <v>0</v>
      </c>
      <c r="H151" s="28" t="n">
        <f aca="false">E151*INPUTS!$C$29</f>
        <v>0</v>
      </c>
      <c r="J151" s="24"/>
      <c r="K151" s="24"/>
      <c r="L151" s="28" t="n">
        <f aca="false">'SUBS &amp; GC'!$N$14</f>
        <v>0</v>
      </c>
      <c r="M151" s="24"/>
      <c r="N151" s="24"/>
    </row>
    <row r="152" customFormat="false" ht="15" hidden="false" customHeight="false" outlineLevel="0" collapsed="false">
      <c r="A152" s="24" t="s">
        <v>645</v>
      </c>
      <c r="B152" s="24" t="str">
        <f aca="false">IF('SUBS &amp; GC'!$B$15="","","H - "&amp;'SUBS &amp; GC'!$B$15)</f>
        <v>H - Coring / Scanning</v>
      </c>
      <c r="C152" s="28" t="n">
        <f aca="false">'SUBS &amp; GC'!$N$15*$P$88</f>
        <v>0</v>
      </c>
      <c r="D152" s="19" t="n">
        <f aca="false">IFERROR(C152/$C$4,0)</f>
        <v>0</v>
      </c>
      <c r="E152" s="49"/>
      <c r="F152" s="19" t="n">
        <f aca="false">IFERROR(E152/C152,0)</f>
        <v>0</v>
      </c>
      <c r="G152" s="28" t="n">
        <f aca="false">C152-E152</f>
        <v>0</v>
      </c>
      <c r="H152" s="28" t="n">
        <f aca="false">E152*INPUTS!$C$29</f>
        <v>0</v>
      </c>
      <c r="J152" s="24"/>
      <c r="K152" s="24"/>
      <c r="L152" s="28" t="n">
        <f aca="false">'SUBS &amp; GC'!$N$15</f>
        <v>0</v>
      </c>
      <c r="M152" s="24"/>
      <c r="N152" s="24"/>
    </row>
    <row r="153" customFormat="false" ht="15" hidden="false" customHeight="false" outlineLevel="0" collapsed="false">
      <c r="A153" s="24" t="s">
        <v>646</v>
      </c>
      <c r="B153" s="24" t="str">
        <f aca="false">IF('SUBS &amp; GC'!$B$16="","","H - "&amp;'SUBS &amp; GC'!$B$16)</f>
        <v>H - Fixtures Caulking</v>
      </c>
      <c r="C153" s="28" t="n">
        <f aca="false">'SUBS &amp; GC'!$N$16*$P$88</f>
        <v>0</v>
      </c>
      <c r="D153" s="19" t="n">
        <f aca="false">IFERROR(C153/$C$4,0)</f>
        <v>0</v>
      </c>
      <c r="E153" s="49"/>
      <c r="F153" s="19" t="n">
        <f aca="false">IFERROR(E153/C153,0)</f>
        <v>0</v>
      </c>
      <c r="G153" s="28" t="n">
        <f aca="false">C153-E153</f>
        <v>0</v>
      </c>
      <c r="H153" s="28" t="n">
        <f aca="false">E153*INPUTS!$C$29</f>
        <v>0</v>
      </c>
      <c r="J153" s="24"/>
      <c r="K153" s="24"/>
      <c r="L153" s="28" t="n">
        <f aca="false">'SUBS &amp; GC'!$N$16</f>
        <v>0</v>
      </c>
      <c r="M153" s="24"/>
      <c r="N153" s="24"/>
    </row>
    <row r="154" customFormat="false" ht="15" hidden="false" customHeight="false" outlineLevel="0" collapsed="false">
      <c r="A154" s="24" t="s">
        <v>647</v>
      </c>
      <c r="B154" s="24" t="str">
        <f aca="false">IF('SUBS &amp; GC'!$B$17="","","H - "&amp;'SUBS &amp; GC'!$B$17)</f>
        <v>H - Water Balancing</v>
      </c>
      <c r="C154" s="28" t="n">
        <f aca="false">'SUBS &amp; GC'!$N$17*$P$88</f>
        <v>0</v>
      </c>
      <c r="D154" s="19" t="n">
        <f aca="false">IFERROR(C154/$C$4,0)</f>
        <v>0</v>
      </c>
      <c r="E154" s="49"/>
      <c r="F154" s="19" t="n">
        <f aca="false">IFERROR(E154/C154,0)</f>
        <v>0</v>
      </c>
      <c r="G154" s="28" t="n">
        <f aca="false">C154-E154</f>
        <v>0</v>
      </c>
      <c r="H154" s="28" t="n">
        <f aca="false">E154*INPUTS!$C$29</f>
        <v>0</v>
      </c>
      <c r="J154" s="24"/>
      <c r="K154" s="24"/>
      <c r="L154" s="28" t="n">
        <f aca="false">'SUBS &amp; GC'!$N$17</f>
        <v>0</v>
      </c>
      <c r="M154" s="24"/>
      <c r="N154" s="24"/>
    </row>
    <row r="155" customFormat="false" ht="15" hidden="false" customHeight="false" outlineLevel="0" collapsed="false">
      <c r="A155" s="24" t="s">
        <v>648</v>
      </c>
      <c r="B155" s="24" t="str">
        <f aca="false">IF('SUBS &amp; GC'!$B$18="","","H - "&amp;'SUBS &amp; GC'!$B$18)</f>
        <v>H - Sump Pumps</v>
      </c>
      <c r="C155" s="28" t="n">
        <f aca="false">'SUBS &amp; GC'!$N$18*$P$88</f>
        <v>0</v>
      </c>
      <c r="D155" s="19" t="n">
        <f aca="false">IFERROR(C155/$C$4,0)</f>
        <v>0</v>
      </c>
      <c r="E155" s="49"/>
      <c r="F155" s="19" t="n">
        <f aca="false">IFERROR(E155/C155,0)</f>
        <v>0</v>
      </c>
      <c r="G155" s="28" t="n">
        <f aca="false">C155-E155</f>
        <v>0</v>
      </c>
      <c r="H155" s="28" t="n">
        <f aca="false">E155*INPUTS!$C$29</f>
        <v>0</v>
      </c>
      <c r="J155" s="24"/>
      <c r="K155" s="24"/>
      <c r="L155" s="28" t="n">
        <f aca="false">'SUBS &amp; GC'!$N$18</f>
        <v>0</v>
      </c>
      <c r="M155" s="24"/>
      <c r="N155" s="24"/>
    </row>
    <row r="156" customFormat="false" ht="15" hidden="false" customHeight="false" outlineLevel="0" collapsed="false">
      <c r="A156" s="24" t="s">
        <v>649</v>
      </c>
      <c r="B156" s="24" t="str">
        <f aca="false">IF('SUBS &amp; GC'!$B$19="","","H - "&amp;'SUBS &amp; GC'!$B$19)</f>
        <v>H - Chemical Treatment</v>
      </c>
      <c r="C156" s="28" t="n">
        <f aca="false">'SUBS &amp; GC'!$N$19*$P$88</f>
        <v>0</v>
      </c>
      <c r="D156" s="19" t="n">
        <f aca="false">IFERROR(C156/$C$4,0)</f>
        <v>0</v>
      </c>
      <c r="E156" s="49"/>
      <c r="F156" s="19" t="n">
        <f aca="false">IFERROR(E156/C156,0)</f>
        <v>0</v>
      </c>
      <c r="G156" s="28" t="n">
        <f aca="false">C156-E156</f>
        <v>0</v>
      </c>
      <c r="H156" s="28" t="n">
        <f aca="false">E156*INPUTS!$C$29</f>
        <v>0</v>
      </c>
      <c r="J156" s="24"/>
      <c r="K156" s="24"/>
      <c r="L156" s="28" t="n">
        <f aca="false">'SUBS &amp; GC'!$N$19</f>
        <v>0</v>
      </c>
      <c r="M156" s="24"/>
      <c r="N156" s="24"/>
    </row>
    <row r="157" customFormat="false" ht="15" hidden="false" customHeight="false" outlineLevel="0" collapsed="false">
      <c r="A157" s="24" t="s">
        <v>650</v>
      </c>
      <c r="B157" s="24" t="str">
        <f aca="false">IF('SUBS &amp; GC'!$B$20="","","H - "&amp;'SUBS &amp; GC'!$B$20)</f>
        <v>H - P&amp;H Seismic / Schedule</v>
      </c>
      <c r="C157" s="28" t="n">
        <f aca="false">'SUBS &amp; GC'!$N$20*$P$88</f>
        <v>0</v>
      </c>
      <c r="D157" s="19" t="n">
        <f aca="false">IFERROR(C157/$C$4,0)</f>
        <v>0</v>
      </c>
      <c r="E157" s="49"/>
      <c r="F157" s="19" t="n">
        <f aca="false">IFERROR(E157/C157,0)</f>
        <v>0</v>
      </c>
      <c r="G157" s="28" t="n">
        <f aca="false">C157-E157</f>
        <v>0</v>
      </c>
      <c r="H157" s="28" t="n">
        <f aca="false">E157*INPUTS!$C$29</f>
        <v>0</v>
      </c>
      <c r="J157" s="24"/>
      <c r="K157" s="24"/>
      <c r="L157" s="28" t="n">
        <f aca="false">'SUBS &amp; GC'!$N$20</f>
        <v>0</v>
      </c>
      <c r="M157" s="24"/>
      <c r="N157" s="24"/>
    </row>
    <row r="158" customFormat="false" ht="15" hidden="false" customHeight="false" outlineLevel="0" collapsed="false">
      <c r="A158" s="24" t="s">
        <v>651</v>
      </c>
      <c r="B158" s="24" t="str">
        <f aca="false">IF('SUBS &amp; GC'!$B$21="","","H - "&amp;'SUBS &amp; GC'!$B$21)</f>
        <v>H - HVAC Seismic / Schedule</v>
      </c>
      <c r="C158" s="28" t="n">
        <f aca="false">'SUBS &amp; GC'!$N$21*$P$88</f>
        <v>0</v>
      </c>
      <c r="D158" s="19" t="n">
        <f aca="false">IFERROR(C158/$C$4,0)</f>
        <v>0</v>
      </c>
      <c r="E158" s="49"/>
      <c r="F158" s="19" t="n">
        <f aca="false">IFERROR(E158/C158,0)</f>
        <v>0</v>
      </c>
      <c r="G158" s="28" t="n">
        <f aca="false">C158-E158</f>
        <v>0</v>
      </c>
      <c r="H158" s="28" t="n">
        <f aca="false">E158*INPUTS!$C$29</f>
        <v>0</v>
      </c>
      <c r="J158" s="24"/>
      <c r="K158" s="24"/>
      <c r="L158" s="28" t="n">
        <f aca="false">'SUBS &amp; GC'!$N$21</f>
        <v>0</v>
      </c>
      <c r="M158" s="24"/>
      <c r="N158" s="24"/>
    </row>
    <row r="159" customFormat="false" ht="15" hidden="false" customHeight="false" outlineLevel="0" collapsed="false">
      <c r="A159" s="24" t="s">
        <v>652</v>
      </c>
      <c r="B159" s="24" t="str">
        <f aca="false">IF('SUBS &amp; GC'!$B$22="","","H - "&amp;'SUBS &amp; GC'!$B$22)</f>
        <v>H - As-built Drawings</v>
      </c>
      <c r="C159" s="28" t="n">
        <f aca="false">'SUBS &amp; GC'!$N$22*$P$88</f>
        <v>0</v>
      </c>
      <c r="D159" s="19" t="n">
        <f aca="false">IFERROR(C159/$C$4,0)</f>
        <v>0</v>
      </c>
      <c r="E159" s="49"/>
      <c r="F159" s="19" t="n">
        <f aca="false">IFERROR(E159/C159,0)</f>
        <v>0</v>
      </c>
      <c r="G159" s="28" t="n">
        <f aca="false">C159-E159</f>
        <v>0</v>
      </c>
      <c r="H159" s="28" t="n">
        <f aca="false">E159*INPUTS!$C$29</f>
        <v>0</v>
      </c>
      <c r="J159" s="24"/>
      <c r="K159" s="24"/>
      <c r="L159" s="28" t="n">
        <f aca="false">'SUBS &amp; GC'!$N$22</f>
        <v>0</v>
      </c>
      <c r="M159" s="24"/>
      <c r="N159" s="24"/>
    </row>
    <row r="160" customFormat="false" ht="15" hidden="false" customHeight="false" outlineLevel="0" collapsed="false">
      <c r="A160" s="24" t="s">
        <v>653</v>
      </c>
      <c r="B160" s="24" t="str">
        <f aca="false">IF('SUBS &amp; GC'!$B$23="","","H - "&amp;'SUBS &amp; GC'!$B$23)</f>
        <v>H - O&amp;M Manuals</v>
      </c>
      <c r="C160" s="28" t="n">
        <f aca="false">'SUBS &amp; GC'!$N$23*$P$88</f>
        <v>0</v>
      </c>
      <c r="D160" s="19" t="n">
        <f aca="false">IFERROR(C160/$C$4,0)</f>
        <v>0</v>
      </c>
      <c r="E160" s="49"/>
      <c r="F160" s="19" t="n">
        <f aca="false">IFERROR(E160/C160,0)</f>
        <v>0</v>
      </c>
      <c r="G160" s="28" t="n">
        <f aca="false">C160-E160</f>
        <v>0</v>
      </c>
      <c r="H160" s="28" t="n">
        <f aca="false">E160*INPUTS!$C$29</f>
        <v>0</v>
      </c>
      <c r="J160" s="24"/>
      <c r="K160" s="24"/>
      <c r="L160" s="28" t="n">
        <f aca="false">'SUBS &amp; GC'!$N$23</f>
        <v>0</v>
      </c>
      <c r="M160" s="24"/>
      <c r="N160" s="24"/>
    </row>
    <row r="161" customFormat="false" ht="15" hidden="false" customHeight="false" outlineLevel="0" collapsed="false">
      <c r="A161" s="24" t="s">
        <v>654</v>
      </c>
      <c r="B161" s="24" t="str">
        <f aca="false">IF('SUBS &amp; GC'!$B$24="","","H - "&amp;'SUBS &amp; GC'!$B$24)</f>
        <v>H - Plumbing Bond</v>
      </c>
      <c r="C161" s="28" t="n">
        <f aca="false">'SUBS &amp; GC'!$N$24*$P$88</f>
        <v>0</v>
      </c>
      <c r="D161" s="19" t="n">
        <f aca="false">IFERROR(C161/$C$4,0)</f>
        <v>0</v>
      </c>
      <c r="E161" s="49"/>
      <c r="F161" s="19" t="n">
        <f aca="false">IFERROR(E161/C161,0)</f>
        <v>0</v>
      </c>
      <c r="G161" s="28" t="n">
        <f aca="false">C161-E161</f>
        <v>0</v>
      </c>
      <c r="H161" s="28" t="n">
        <f aca="false">E161*INPUTS!$C$29</f>
        <v>0</v>
      </c>
      <c r="J161" s="24"/>
      <c r="K161" s="24"/>
      <c r="L161" s="28" t="n">
        <f aca="false">'SUBS &amp; GC'!$N$24</f>
        <v>0</v>
      </c>
      <c r="M161" s="24"/>
      <c r="N161" s="24"/>
    </row>
    <row r="162" customFormat="false" ht="15" hidden="false" customHeight="false" outlineLevel="0" collapsed="false">
      <c r="A162" s="24" t="s">
        <v>655</v>
      </c>
      <c r="B162" s="24" t="str">
        <f aca="false">IF('SUBS &amp; GC'!$B$25="","","H - "&amp;'SUBS &amp; GC'!$B$25)</f>
        <v>H - HVAC Bond</v>
      </c>
      <c r="C162" s="28" t="n">
        <f aca="false">'SUBS &amp; GC'!$N$25*$P$88</f>
        <v>0</v>
      </c>
      <c r="D162" s="19" t="n">
        <f aca="false">IFERROR(C162/$C$4,0)</f>
        <v>0</v>
      </c>
      <c r="E162" s="49"/>
      <c r="F162" s="19" t="n">
        <f aca="false">IFERROR(E162/C162,0)</f>
        <v>0</v>
      </c>
      <c r="G162" s="28" t="n">
        <f aca="false">C162-E162</f>
        <v>0</v>
      </c>
      <c r="H162" s="28" t="n">
        <f aca="false">E162*INPUTS!$C$29</f>
        <v>0</v>
      </c>
      <c r="J162" s="24"/>
      <c r="K162" s="24"/>
      <c r="L162" s="28" t="n">
        <f aca="false">'SUBS &amp; GC'!$N$25</f>
        <v>0</v>
      </c>
      <c r="M162" s="24"/>
      <c r="N162" s="24"/>
    </row>
    <row r="163" customFormat="false" ht="15" hidden="false" customHeight="false" outlineLevel="0" collapsed="false">
      <c r="A163" s="24" t="s">
        <v>656</v>
      </c>
      <c r="B163" s="24" t="str">
        <f aca="false">IF('SUBS &amp; GC'!$B$26="","","H - "&amp;'SUBS &amp; GC'!$B$26)</f>
        <v>H - Welding</v>
      </c>
      <c r="C163" s="28" t="n">
        <f aca="false">'SUBS &amp; GC'!$N$26*$P$88</f>
        <v>0</v>
      </c>
      <c r="D163" s="19" t="n">
        <f aca="false">IFERROR(C163/$C$4,0)</f>
        <v>0</v>
      </c>
      <c r="E163" s="49"/>
      <c r="F163" s="19" t="n">
        <f aca="false">IFERROR(E163/C163,0)</f>
        <v>0</v>
      </c>
      <c r="G163" s="28" t="n">
        <f aca="false">C163-E163</f>
        <v>0</v>
      </c>
      <c r="H163" s="28" t="n">
        <f aca="false">E163*INPUTS!$C$29</f>
        <v>0</v>
      </c>
      <c r="J163" s="24"/>
      <c r="K163" s="24"/>
      <c r="L163" s="28" t="n">
        <f aca="false">'SUBS &amp; GC'!$N$26</f>
        <v>0</v>
      </c>
      <c r="M163" s="24"/>
      <c r="N163" s="24"/>
    </row>
    <row r="164" customFormat="false" ht="15" hidden="false" customHeight="false" outlineLevel="0" collapsed="false">
      <c r="A164" s="24" t="s">
        <v>657</v>
      </c>
      <c r="B164" s="24" t="str">
        <f aca="false">IF('SUBS &amp; GC'!$B$27="","","H - "&amp;'SUBS &amp; GC'!$B$27)</f>
        <v>H - Gas Service / Other</v>
      </c>
      <c r="C164" s="28" t="n">
        <f aca="false">'SUBS &amp; GC'!$N$27*$P$88</f>
        <v>0</v>
      </c>
      <c r="D164" s="19" t="n">
        <f aca="false">IFERROR(C164/$C$4,0)</f>
        <v>0</v>
      </c>
      <c r="E164" s="49"/>
      <c r="F164" s="19" t="n">
        <f aca="false">IFERROR(E164/C164,0)</f>
        <v>0</v>
      </c>
      <c r="G164" s="28" t="n">
        <f aca="false">C164-E164</f>
        <v>0</v>
      </c>
      <c r="H164" s="28" t="n">
        <f aca="false">E164*INPUTS!$C$29</f>
        <v>0</v>
      </c>
      <c r="J164" s="24"/>
      <c r="K164" s="24"/>
      <c r="L164" s="28" t="n">
        <f aca="false">'SUBS &amp; GC'!$N$27</f>
        <v>0</v>
      </c>
      <c r="M164" s="24"/>
      <c r="N164" s="24"/>
    </row>
    <row r="165" customFormat="false" ht="15" hidden="false" customHeight="false" outlineLevel="0" collapsed="false">
      <c r="A165" s="24" t="s">
        <v>658</v>
      </c>
      <c r="B165" s="24" t="str">
        <f aca="false">IF('SUBS &amp; GC'!$B$28="","","H - "&amp;'SUBS &amp; GC'!$B$28)</f>
        <v/>
      </c>
      <c r="C165" s="28" t="n">
        <f aca="false">'SUBS &amp; GC'!$N$28*$P$88</f>
        <v>0</v>
      </c>
      <c r="D165" s="19" t="n">
        <f aca="false">IFERROR(C165/$C$4,0)</f>
        <v>0</v>
      </c>
      <c r="E165" s="49"/>
      <c r="F165" s="19" t="n">
        <f aca="false">IFERROR(E165/C165,0)</f>
        <v>0</v>
      </c>
      <c r="G165" s="28" t="n">
        <f aca="false">C165-E165</f>
        <v>0</v>
      </c>
      <c r="H165" s="28" t="n">
        <f aca="false">E165*INPUTS!$C$29</f>
        <v>0</v>
      </c>
      <c r="J165" s="24"/>
      <c r="K165" s="24"/>
      <c r="L165" s="28" t="n">
        <f aca="false">'SUBS &amp; GC'!$N$28</f>
        <v>0</v>
      </c>
      <c r="M165" s="24"/>
      <c r="N165" s="24"/>
    </row>
    <row r="167" customFormat="false" ht="15" hidden="false" customHeight="false" outlineLevel="0" collapsed="false">
      <c r="A167" s="73" t="s">
        <v>102</v>
      </c>
      <c r="B167" s="73" t="str">
        <f aca="false">UPPER(INPUTS!B35)</f>
        <v>VENTILATION</v>
      </c>
      <c r="C167" s="74" t="n">
        <f aca="false">SUM(C168:C244)</f>
        <v>0</v>
      </c>
      <c r="D167" s="75" t="n">
        <f aca="false">IFERROR(C167/$C$4,0)</f>
        <v>0</v>
      </c>
      <c r="E167" s="74" t="n">
        <f aca="false">SUM(E168:E244)</f>
        <v>0</v>
      </c>
      <c r="G167" s="74" t="n">
        <f aca="false">SUM(G168:G244)</f>
        <v>0</v>
      </c>
      <c r="H167" s="74" t="n">
        <f aca="false">SUM(H168:H244)</f>
        <v>0</v>
      </c>
      <c r="J167" s="74" t="n">
        <f aca="false">SUM(J168:J244)</f>
        <v>0</v>
      </c>
      <c r="K167" s="74" t="n">
        <f aca="false">SUM(K168:K244)</f>
        <v>0</v>
      </c>
      <c r="L167" s="74" t="n">
        <f aca="false">SUM(L168:L244)</f>
        <v>0</v>
      </c>
      <c r="M167" s="74" t="n">
        <f aca="false">SUM(M168:M244)</f>
        <v>0</v>
      </c>
      <c r="N167" s="76" t="n">
        <f aca="false">SUM(N168:N244)</f>
        <v>0</v>
      </c>
      <c r="P167" s="77" t="n">
        <f aca="false">IFERROR('BID SUMMARY'!N8/(BUDGET!$J$54+BUDGET!$J$55+BUDGET!$J$56+BUDGET!$J$57+BUDGET!$J$58+BUDGET!$J$59+BUDGET!$J$60+BUDGET!$J$61+BUDGET!$J$62),0)</f>
        <v>0</v>
      </c>
    </row>
    <row r="168" customFormat="false" ht="15" hidden="false" customHeight="false" outlineLevel="0" collapsed="false">
      <c r="A168" s="24" t="s">
        <v>659</v>
      </c>
      <c r="B168" s="24" t="str">
        <f aca="false">"V - "&amp;MID(INPUTS!$B$67,4,80)</f>
        <v>V - Shop Drawings, Permits &amp; Mobilization</v>
      </c>
      <c r="C168" s="28" t="n">
        <f aca="false">(BUDGET!$J$54-BUDGET!$G$54)*$P$167</f>
        <v>0</v>
      </c>
      <c r="D168" s="19" t="n">
        <f aca="false">IFERROR(C168/$C$4,0)</f>
        <v>0</v>
      </c>
      <c r="E168" s="49"/>
      <c r="F168" s="19" t="n">
        <f aca="false">IFERROR(E168/C168,0)</f>
        <v>0</v>
      </c>
      <c r="G168" s="28" t="n">
        <f aca="false">C168-E168</f>
        <v>0</v>
      </c>
      <c r="H168" s="28" t="n">
        <f aca="false">E168*INPUTS!$C$29</f>
        <v>0</v>
      </c>
      <c r="J168" s="28" t="n">
        <f aca="false">BUDGET!$F$54</f>
        <v>0</v>
      </c>
      <c r="K168" s="28" t="n">
        <f aca="false">BUDGET!$D$54</f>
        <v>0</v>
      </c>
      <c r="L168" s="24"/>
      <c r="M168" s="28" t="n">
        <f aca="false">BUDGET!$H$54</f>
        <v>0</v>
      </c>
      <c r="N168" s="13" t="n">
        <f aca="false">BUDGET!$C$54</f>
        <v>0</v>
      </c>
    </row>
    <row r="169" customFormat="false" ht="15" hidden="false" customHeight="false" outlineLevel="0" collapsed="false">
      <c r="A169" s="24" t="s">
        <v>660</v>
      </c>
      <c r="B169" s="24" t="str">
        <f aca="false">"V - "&amp;MID(INPUTS!$B$68,4,80)</f>
        <v>V - Foundation &amp; Underground</v>
      </c>
      <c r="C169" s="28" t="n">
        <f aca="false">(BUDGET!$J$55-BUDGET!$G$55)*$P$167</f>
        <v>0</v>
      </c>
      <c r="D169" s="19" t="n">
        <f aca="false">IFERROR(C169/$C$4,0)</f>
        <v>0</v>
      </c>
      <c r="E169" s="49"/>
      <c r="F169" s="19" t="n">
        <f aca="false">IFERROR(E169/C169,0)</f>
        <v>0</v>
      </c>
      <c r="G169" s="28" t="n">
        <f aca="false">C169-E169</f>
        <v>0</v>
      </c>
      <c r="H169" s="28" t="n">
        <f aca="false">E169*INPUTS!$C$29</f>
        <v>0</v>
      </c>
      <c r="J169" s="28" t="n">
        <f aca="false">BUDGET!$F$55</f>
        <v>0</v>
      </c>
      <c r="K169" s="28" t="n">
        <f aca="false">BUDGET!$D$55</f>
        <v>0</v>
      </c>
      <c r="L169" s="24"/>
      <c r="M169" s="28" t="n">
        <f aca="false">BUDGET!$H$55</f>
        <v>0</v>
      </c>
      <c r="N169" s="13" t="n">
        <f aca="false">BUDGET!$C$55</f>
        <v>0</v>
      </c>
    </row>
    <row r="170" customFormat="false" ht="15" hidden="false" customHeight="false" outlineLevel="0" collapsed="false">
      <c r="A170" s="24" t="s">
        <v>661</v>
      </c>
      <c r="B170" s="24" t="str">
        <f aca="false">IF(INPUTS!$B$40="","","V - "&amp;INPUTS!$B$40&amp;" "&amp;INPUTS!$B$35&amp;" Rough-in (Labour)")</f>
        <v>V - U/G Ventilation Rough-in (Labour)</v>
      </c>
      <c r="C170" s="28" t="n">
        <f aca="false">(BUDGET!$J$56-BUDGET!$G$56)*INPUTS!$E$40*$P$167</f>
        <v>0</v>
      </c>
      <c r="D170" s="19" t="n">
        <f aca="false">IFERROR(C170/$C$4,0)</f>
        <v>0</v>
      </c>
      <c r="E170" s="49"/>
      <c r="F170" s="19" t="n">
        <f aca="false">IFERROR(E170/C170,0)</f>
        <v>0</v>
      </c>
      <c r="G170" s="28" t="n">
        <f aca="false">C170-E170</f>
        <v>0</v>
      </c>
      <c r="H170" s="28" t="n">
        <f aca="false">E170*INPUTS!$C$29</f>
        <v>0</v>
      </c>
      <c r="J170" s="24"/>
      <c r="K170" s="28" t="n">
        <f aca="false">BUDGET!$D$56*INPUTS!$E$40</f>
        <v>0</v>
      </c>
      <c r="L170" s="24"/>
      <c r="M170" s="28" t="n">
        <f aca="false">BUDGET!$H$56*INPUTS!$E$40</f>
        <v>0</v>
      </c>
      <c r="N170" s="13" t="n">
        <f aca="false">BUDGET!$C$56*INPUTS!$E$40</f>
        <v>0</v>
      </c>
    </row>
    <row r="171" customFormat="false" ht="15" hidden="false" customHeight="false" outlineLevel="0" collapsed="false">
      <c r="A171" s="24" t="s">
        <v>662</v>
      </c>
      <c r="B171" s="24" t="str">
        <f aca="false">IF(INPUTS!$B$41="","","V - "&amp;INPUTS!$B$41&amp;" "&amp;INPUTS!$B$35&amp;" Rough-in (Labour)")</f>
        <v>V - P-02 Ventilation Rough-in (Labour)</v>
      </c>
      <c r="C171" s="28" t="n">
        <f aca="false">(BUDGET!$J$56-BUDGET!$G$56)*INPUTS!$E$41*$P$167</f>
        <v>0</v>
      </c>
      <c r="D171" s="19" t="n">
        <f aca="false">IFERROR(C171/$C$4,0)</f>
        <v>0</v>
      </c>
      <c r="E171" s="49"/>
      <c r="F171" s="19" t="n">
        <f aca="false">IFERROR(E171/C171,0)</f>
        <v>0</v>
      </c>
      <c r="G171" s="28" t="n">
        <f aca="false">C171-E171</f>
        <v>0</v>
      </c>
      <c r="H171" s="28" t="n">
        <f aca="false">E171*INPUTS!$C$29</f>
        <v>0</v>
      </c>
      <c r="J171" s="24"/>
      <c r="K171" s="28" t="n">
        <f aca="false">BUDGET!$D$56*INPUTS!$E$41</f>
        <v>0</v>
      </c>
      <c r="L171" s="24"/>
      <c r="M171" s="28" t="n">
        <f aca="false">BUDGET!$H$56*INPUTS!$E$41</f>
        <v>0</v>
      </c>
      <c r="N171" s="13" t="n">
        <f aca="false">BUDGET!$C$56*INPUTS!$E$41</f>
        <v>0</v>
      </c>
    </row>
    <row r="172" customFormat="false" ht="15" hidden="false" customHeight="false" outlineLevel="0" collapsed="false">
      <c r="A172" s="24" t="s">
        <v>663</v>
      </c>
      <c r="B172" s="24" t="str">
        <f aca="false">IF(INPUTS!$B$42="","","V - "&amp;INPUTS!$B$42&amp;" "&amp;INPUTS!$B$35&amp;" Rough-in (Labour)")</f>
        <v>V - PRKG Ventilation Rough-in (Labour)</v>
      </c>
      <c r="C172" s="28" t="n">
        <f aca="false">(BUDGET!$J$56-BUDGET!$G$56)*INPUTS!$E$42*$P$167</f>
        <v>0</v>
      </c>
      <c r="D172" s="19" t="n">
        <f aca="false">IFERROR(C172/$C$4,0)</f>
        <v>0</v>
      </c>
      <c r="E172" s="49"/>
      <c r="F172" s="19" t="n">
        <f aca="false">IFERROR(E172/C172,0)</f>
        <v>0</v>
      </c>
      <c r="G172" s="28" t="n">
        <f aca="false">C172-E172</f>
        <v>0</v>
      </c>
      <c r="H172" s="28" t="n">
        <f aca="false">E172*INPUTS!$C$29</f>
        <v>0</v>
      </c>
      <c r="J172" s="24"/>
      <c r="K172" s="28" t="n">
        <f aca="false">BUDGET!$D$56*INPUTS!$E$42</f>
        <v>0</v>
      </c>
      <c r="L172" s="24"/>
      <c r="M172" s="28" t="n">
        <f aca="false">BUDGET!$H$56*INPUTS!$E$42</f>
        <v>0</v>
      </c>
      <c r="N172" s="13" t="n">
        <f aca="false">BUDGET!$C$56*INPUTS!$E$42</f>
        <v>0</v>
      </c>
    </row>
    <row r="173" customFormat="false" ht="15" hidden="false" customHeight="false" outlineLevel="0" collapsed="false">
      <c r="A173" s="24" t="s">
        <v>664</v>
      </c>
      <c r="B173" s="24" t="str">
        <f aca="false">IF(INPUTS!$B$43="","","V - "&amp;INPUTS!$B$43&amp;" "&amp;INPUTS!$B$35&amp;" Rough-in (Labour)")</f>
        <v>V - L-01 Ventilation Rough-in (Labour)</v>
      </c>
      <c r="C173" s="28" t="n">
        <f aca="false">(BUDGET!$J$56-BUDGET!$G$56)*INPUTS!$E$43*$P$167</f>
        <v>0</v>
      </c>
      <c r="D173" s="19" t="n">
        <f aca="false">IFERROR(C173/$C$4,0)</f>
        <v>0</v>
      </c>
      <c r="E173" s="49"/>
      <c r="F173" s="19" t="n">
        <f aca="false">IFERROR(E173/C173,0)</f>
        <v>0</v>
      </c>
      <c r="G173" s="28" t="n">
        <f aca="false">C173-E173</f>
        <v>0</v>
      </c>
      <c r="H173" s="28" t="n">
        <f aca="false">E173*INPUTS!$C$29</f>
        <v>0</v>
      </c>
      <c r="J173" s="24"/>
      <c r="K173" s="28" t="n">
        <f aca="false">BUDGET!$D$56*INPUTS!$E$43</f>
        <v>0</v>
      </c>
      <c r="L173" s="24"/>
      <c r="M173" s="28" t="n">
        <f aca="false">BUDGET!$H$56*INPUTS!$E$43</f>
        <v>0</v>
      </c>
      <c r="N173" s="13" t="n">
        <f aca="false">BUDGET!$C$56*INPUTS!$E$43</f>
        <v>0</v>
      </c>
    </row>
    <row r="174" customFormat="false" ht="15" hidden="false" customHeight="false" outlineLevel="0" collapsed="false">
      <c r="A174" s="24" t="s">
        <v>665</v>
      </c>
      <c r="B174" s="24" t="str">
        <f aca="false">IF(INPUTS!$B$44="","","V - "&amp;INPUTS!$B$44&amp;" "&amp;INPUTS!$B$35&amp;" Rough-in (Labour)")</f>
        <v>V - L-02 Ventilation Rough-in (Labour)</v>
      </c>
      <c r="C174" s="28" t="n">
        <f aca="false">(BUDGET!$J$56-BUDGET!$G$56)*INPUTS!$E$44*$P$167</f>
        <v>0</v>
      </c>
      <c r="D174" s="19" t="n">
        <f aca="false">IFERROR(C174/$C$4,0)</f>
        <v>0</v>
      </c>
      <c r="E174" s="49"/>
      <c r="F174" s="19" t="n">
        <f aca="false">IFERROR(E174/C174,0)</f>
        <v>0</v>
      </c>
      <c r="G174" s="28" t="n">
        <f aca="false">C174-E174</f>
        <v>0</v>
      </c>
      <c r="H174" s="28" t="n">
        <f aca="false">E174*INPUTS!$C$29</f>
        <v>0</v>
      </c>
      <c r="J174" s="24"/>
      <c r="K174" s="28" t="n">
        <f aca="false">BUDGET!$D$56*INPUTS!$E$44</f>
        <v>0</v>
      </c>
      <c r="L174" s="24"/>
      <c r="M174" s="28" t="n">
        <f aca="false">BUDGET!$H$56*INPUTS!$E$44</f>
        <v>0</v>
      </c>
      <c r="N174" s="13" t="n">
        <f aca="false">BUDGET!$C$56*INPUTS!$E$44</f>
        <v>0</v>
      </c>
    </row>
    <row r="175" customFormat="false" ht="15" hidden="false" customHeight="false" outlineLevel="0" collapsed="false">
      <c r="A175" s="24" t="s">
        <v>666</v>
      </c>
      <c r="B175" s="24" t="str">
        <f aca="false">IF(INPUTS!$B$45="","","V - "&amp;INPUTS!$B$45&amp;" "&amp;INPUTS!$B$35&amp;" Rough-in (Labour)")</f>
        <v>V - L-03 Ventilation Rough-in (Labour)</v>
      </c>
      <c r="C175" s="28" t="n">
        <f aca="false">(BUDGET!$J$56-BUDGET!$G$56)*INPUTS!$E$45*$P$167</f>
        <v>0</v>
      </c>
      <c r="D175" s="19" t="n">
        <f aca="false">IFERROR(C175/$C$4,0)</f>
        <v>0</v>
      </c>
      <c r="E175" s="49"/>
      <c r="F175" s="19" t="n">
        <f aca="false">IFERROR(E175/C175,0)</f>
        <v>0</v>
      </c>
      <c r="G175" s="28" t="n">
        <f aca="false">C175-E175</f>
        <v>0</v>
      </c>
      <c r="H175" s="28" t="n">
        <f aca="false">E175*INPUTS!$C$29</f>
        <v>0</v>
      </c>
      <c r="J175" s="24"/>
      <c r="K175" s="28" t="n">
        <f aca="false">BUDGET!$D$56*INPUTS!$E$45</f>
        <v>0</v>
      </c>
      <c r="L175" s="24"/>
      <c r="M175" s="28" t="n">
        <f aca="false">BUDGET!$H$56*INPUTS!$E$45</f>
        <v>0</v>
      </c>
      <c r="N175" s="13" t="n">
        <f aca="false">BUDGET!$C$56*INPUTS!$E$45</f>
        <v>0</v>
      </c>
    </row>
    <row r="176" customFormat="false" ht="15" hidden="false" customHeight="false" outlineLevel="0" collapsed="false">
      <c r="A176" s="24" t="s">
        <v>667</v>
      </c>
      <c r="B176" s="24" t="str">
        <f aca="false">IF(INPUTS!$B$46="","","V - "&amp;INPUTS!$B$46&amp;" "&amp;INPUTS!$B$35&amp;" Rough-in (Labour)")</f>
        <v>V - L-04 Ventilation Rough-in (Labour)</v>
      </c>
      <c r="C176" s="28" t="n">
        <f aca="false">(BUDGET!$J$56-BUDGET!$G$56)*INPUTS!$E$46*$P$167</f>
        <v>0</v>
      </c>
      <c r="D176" s="19" t="n">
        <f aca="false">IFERROR(C176/$C$4,0)</f>
        <v>0</v>
      </c>
      <c r="E176" s="49"/>
      <c r="F176" s="19" t="n">
        <f aca="false">IFERROR(E176/C176,0)</f>
        <v>0</v>
      </c>
      <c r="G176" s="28" t="n">
        <f aca="false">C176-E176</f>
        <v>0</v>
      </c>
      <c r="H176" s="28" t="n">
        <f aca="false">E176*INPUTS!$C$29</f>
        <v>0</v>
      </c>
      <c r="J176" s="24"/>
      <c r="K176" s="28" t="n">
        <f aca="false">BUDGET!$D$56*INPUTS!$E$46</f>
        <v>0</v>
      </c>
      <c r="L176" s="24"/>
      <c r="M176" s="28" t="n">
        <f aca="false">BUDGET!$H$56*INPUTS!$E$46</f>
        <v>0</v>
      </c>
      <c r="N176" s="13" t="n">
        <f aca="false">BUDGET!$C$56*INPUTS!$E$46</f>
        <v>0</v>
      </c>
    </row>
    <row r="177" customFormat="false" ht="15" hidden="false" customHeight="false" outlineLevel="0" collapsed="false">
      <c r="A177" s="24" t="s">
        <v>668</v>
      </c>
      <c r="B177" s="24" t="str">
        <f aca="false">IF(INPUTS!$B$47="","","V - "&amp;INPUTS!$B$47&amp;" "&amp;INPUTS!$B$35&amp;" Rough-in (Labour)")</f>
        <v>V - L-05 Ventilation Rough-in (Labour)</v>
      </c>
      <c r="C177" s="28" t="n">
        <f aca="false">(BUDGET!$J$56-BUDGET!$G$56)*INPUTS!$E$47*$P$167</f>
        <v>0</v>
      </c>
      <c r="D177" s="19" t="n">
        <f aca="false">IFERROR(C177/$C$4,0)</f>
        <v>0</v>
      </c>
      <c r="E177" s="49"/>
      <c r="F177" s="19" t="n">
        <f aca="false">IFERROR(E177/C177,0)</f>
        <v>0</v>
      </c>
      <c r="G177" s="28" t="n">
        <f aca="false">C177-E177</f>
        <v>0</v>
      </c>
      <c r="H177" s="28" t="n">
        <f aca="false">E177*INPUTS!$C$29</f>
        <v>0</v>
      </c>
      <c r="J177" s="24"/>
      <c r="K177" s="28" t="n">
        <f aca="false">BUDGET!$D$56*INPUTS!$E$47</f>
        <v>0</v>
      </c>
      <c r="L177" s="24"/>
      <c r="M177" s="28" t="n">
        <f aca="false">BUDGET!$H$56*INPUTS!$E$47</f>
        <v>0</v>
      </c>
      <c r="N177" s="13" t="n">
        <f aca="false">BUDGET!$C$56*INPUTS!$E$47</f>
        <v>0</v>
      </c>
    </row>
    <row r="178" customFormat="false" ht="15" hidden="false" customHeight="false" outlineLevel="0" collapsed="false">
      <c r="A178" s="24" t="s">
        <v>669</v>
      </c>
      <c r="B178" s="24" t="str">
        <f aca="false">IF(INPUTS!$B$48="","","V - "&amp;INPUTS!$B$48&amp;" "&amp;INPUTS!$B$35&amp;" Rough-in (Labour)")</f>
        <v>V - L-06 Ventilation Rough-in (Labour)</v>
      </c>
      <c r="C178" s="28" t="n">
        <f aca="false">(BUDGET!$J$56-BUDGET!$G$56)*INPUTS!$E$48*$P$167</f>
        <v>0</v>
      </c>
      <c r="D178" s="19" t="n">
        <f aca="false">IFERROR(C178/$C$4,0)</f>
        <v>0</v>
      </c>
      <c r="E178" s="49"/>
      <c r="F178" s="19" t="n">
        <f aca="false">IFERROR(E178/C178,0)</f>
        <v>0</v>
      </c>
      <c r="G178" s="28" t="n">
        <f aca="false">C178-E178</f>
        <v>0</v>
      </c>
      <c r="H178" s="28" t="n">
        <f aca="false">E178*INPUTS!$C$29</f>
        <v>0</v>
      </c>
      <c r="J178" s="24"/>
      <c r="K178" s="28" t="n">
        <f aca="false">BUDGET!$D$56*INPUTS!$E$48</f>
        <v>0</v>
      </c>
      <c r="L178" s="24"/>
      <c r="M178" s="28" t="n">
        <f aca="false">BUDGET!$H$56*INPUTS!$E$48</f>
        <v>0</v>
      </c>
      <c r="N178" s="13" t="n">
        <f aca="false">BUDGET!$C$56*INPUTS!$E$48</f>
        <v>0</v>
      </c>
    </row>
    <row r="179" customFormat="false" ht="15" hidden="false" customHeight="false" outlineLevel="0" collapsed="false">
      <c r="A179" s="24" t="s">
        <v>670</v>
      </c>
      <c r="B179" s="24" t="str">
        <f aca="false">IF(INPUTS!$B$49="","","V - "&amp;INPUTS!$B$49&amp;" "&amp;INPUTS!$B$35&amp;" Rough-in (Labour)")</f>
        <v>V - L-07 Ventilation Rough-in (Labour)</v>
      </c>
      <c r="C179" s="28" t="n">
        <f aca="false">(BUDGET!$J$56-BUDGET!$G$56)*INPUTS!$E$49*$P$167</f>
        <v>0</v>
      </c>
      <c r="D179" s="19" t="n">
        <f aca="false">IFERROR(C179/$C$4,0)</f>
        <v>0</v>
      </c>
      <c r="E179" s="49"/>
      <c r="F179" s="19" t="n">
        <f aca="false">IFERROR(E179/C179,0)</f>
        <v>0</v>
      </c>
      <c r="G179" s="28" t="n">
        <f aca="false">C179-E179</f>
        <v>0</v>
      </c>
      <c r="H179" s="28" t="n">
        <f aca="false">E179*INPUTS!$C$29</f>
        <v>0</v>
      </c>
      <c r="J179" s="24"/>
      <c r="K179" s="28" t="n">
        <f aca="false">BUDGET!$D$56*INPUTS!$E$49</f>
        <v>0</v>
      </c>
      <c r="L179" s="24"/>
      <c r="M179" s="28" t="n">
        <f aca="false">BUDGET!$H$56*INPUTS!$E$49</f>
        <v>0</v>
      </c>
      <c r="N179" s="13" t="n">
        <f aca="false">BUDGET!$C$56*INPUTS!$E$49</f>
        <v>0</v>
      </c>
    </row>
    <row r="180" customFormat="false" ht="15" hidden="false" customHeight="false" outlineLevel="0" collapsed="false">
      <c r="A180" s="24" t="s">
        <v>671</v>
      </c>
      <c r="B180" s="24" t="str">
        <f aca="false">IF(INPUTS!$B$50="","","V - "&amp;INPUTS!$B$50&amp;" "&amp;INPUTS!$B$35&amp;" Rough-in (Labour)")</f>
        <v>V - L-08 Ventilation Rough-in (Labour)</v>
      </c>
      <c r="C180" s="28" t="n">
        <f aca="false">(BUDGET!$J$56-BUDGET!$G$56)*INPUTS!$E$50*$P$167</f>
        <v>0</v>
      </c>
      <c r="D180" s="19" t="n">
        <f aca="false">IFERROR(C180/$C$4,0)</f>
        <v>0</v>
      </c>
      <c r="E180" s="49"/>
      <c r="F180" s="19" t="n">
        <f aca="false">IFERROR(E180/C180,0)</f>
        <v>0</v>
      </c>
      <c r="G180" s="28" t="n">
        <f aca="false">C180-E180</f>
        <v>0</v>
      </c>
      <c r="H180" s="28" t="n">
        <f aca="false">E180*INPUTS!$C$29</f>
        <v>0</v>
      </c>
      <c r="J180" s="24"/>
      <c r="K180" s="28" t="n">
        <f aca="false">BUDGET!$D$56*INPUTS!$E$50</f>
        <v>0</v>
      </c>
      <c r="L180" s="24"/>
      <c r="M180" s="28" t="n">
        <f aca="false">BUDGET!$H$56*INPUTS!$E$50</f>
        <v>0</v>
      </c>
      <c r="N180" s="13" t="n">
        <f aca="false">BUDGET!$C$56*INPUTS!$E$50</f>
        <v>0</v>
      </c>
    </row>
    <row r="181" customFormat="false" ht="15" hidden="false" customHeight="false" outlineLevel="0" collapsed="false">
      <c r="A181" s="24" t="s">
        <v>672</v>
      </c>
      <c r="B181" s="24" t="str">
        <f aca="false">IF(INPUTS!$B$51="","","V - "&amp;INPUTS!$B$51&amp;" "&amp;INPUTS!$B$35&amp;" Rough-in (Labour)")</f>
        <v>V - L-09 Ventilation Rough-in (Labour)</v>
      </c>
      <c r="C181" s="28" t="n">
        <f aca="false">(BUDGET!$J$56-BUDGET!$G$56)*INPUTS!$E$51*$P$167</f>
        <v>0</v>
      </c>
      <c r="D181" s="19" t="n">
        <f aca="false">IFERROR(C181/$C$4,0)</f>
        <v>0</v>
      </c>
      <c r="E181" s="49"/>
      <c r="F181" s="19" t="n">
        <f aca="false">IFERROR(E181/C181,0)</f>
        <v>0</v>
      </c>
      <c r="G181" s="28" t="n">
        <f aca="false">C181-E181</f>
        <v>0</v>
      </c>
      <c r="H181" s="28" t="n">
        <f aca="false">E181*INPUTS!$C$29</f>
        <v>0</v>
      </c>
      <c r="J181" s="24"/>
      <c r="K181" s="28" t="n">
        <f aca="false">BUDGET!$D$56*INPUTS!$E$51</f>
        <v>0</v>
      </c>
      <c r="L181" s="24"/>
      <c r="M181" s="28" t="n">
        <f aca="false">BUDGET!$H$56*INPUTS!$E$51</f>
        <v>0</v>
      </c>
      <c r="N181" s="13" t="n">
        <f aca="false">BUDGET!$C$56*INPUTS!$E$51</f>
        <v>0</v>
      </c>
    </row>
    <row r="182" customFormat="false" ht="15" hidden="false" customHeight="false" outlineLevel="0" collapsed="false">
      <c r="A182" s="24" t="s">
        <v>673</v>
      </c>
      <c r="B182" s="24" t="str">
        <f aca="false">IF(INPUTS!$B$52="","","V - "&amp;INPUTS!$B$52&amp;" "&amp;INPUTS!$B$35&amp;" Rough-in (Labour)")</f>
        <v>V - L-10 Ventilation Rough-in (Labour)</v>
      </c>
      <c r="C182" s="28" t="n">
        <f aca="false">(BUDGET!$J$56-BUDGET!$G$56)*INPUTS!$E$52*$P$167</f>
        <v>0</v>
      </c>
      <c r="D182" s="19" t="n">
        <f aca="false">IFERROR(C182/$C$4,0)</f>
        <v>0</v>
      </c>
      <c r="E182" s="49"/>
      <c r="F182" s="19" t="n">
        <f aca="false">IFERROR(E182/C182,0)</f>
        <v>0</v>
      </c>
      <c r="G182" s="28" t="n">
        <f aca="false">C182-E182</f>
        <v>0</v>
      </c>
      <c r="H182" s="28" t="n">
        <f aca="false">E182*INPUTS!$C$29</f>
        <v>0</v>
      </c>
      <c r="J182" s="24"/>
      <c r="K182" s="28" t="n">
        <f aca="false">BUDGET!$D$56*INPUTS!$E$52</f>
        <v>0</v>
      </c>
      <c r="L182" s="24"/>
      <c r="M182" s="28" t="n">
        <f aca="false">BUDGET!$H$56*INPUTS!$E$52</f>
        <v>0</v>
      </c>
      <c r="N182" s="13" t="n">
        <f aca="false">BUDGET!$C$56*INPUTS!$E$52</f>
        <v>0</v>
      </c>
    </row>
    <row r="183" customFormat="false" ht="15" hidden="false" customHeight="false" outlineLevel="0" collapsed="false">
      <c r="A183" s="24" t="s">
        <v>674</v>
      </c>
      <c r="B183" s="24" t="str">
        <f aca="false">IF(INPUTS!$B$53="","","V - "&amp;INPUTS!$B$53&amp;" "&amp;INPUTS!$B$35&amp;" Rough-in (Labour)")</f>
        <v>V - ROOF Ventilation Rough-in (Labour)</v>
      </c>
      <c r="C183" s="28" t="n">
        <f aca="false">(BUDGET!$J$56-BUDGET!$G$56)*INPUTS!$E$53*$P$167</f>
        <v>0</v>
      </c>
      <c r="D183" s="19" t="n">
        <f aca="false">IFERROR(C183/$C$4,0)</f>
        <v>0</v>
      </c>
      <c r="E183" s="49"/>
      <c r="F183" s="19" t="n">
        <f aca="false">IFERROR(E183/C183,0)</f>
        <v>0</v>
      </c>
      <c r="G183" s="28" t="n">
        <f aca="false">C183-E183</f>
        <v>0</v>
      </c>
      <c r="H183" s="28" t="n">
        <f aca="false">E183*INPUTS!$C$29</f>
        <v>0</v>
      </c>
      <c r="J183" s="24"/>
      <c r="K183" s="28" t="n">
        <f aca="false">BUDGET!$D$56*INPUTS!$E$53</f>
        <v>0</v>
      </c>
      <c r="L183" s="24"/>
      <c r="M183" s="28" t="n">
        <f aca="false">BUDGET!$H$56*INPUTS!$E$53</f>
        <v>0</v>
      </c>
      <c r="N183" s="13" t="n">
        <f aca="false">BUDGET!$C$56*INPUTS!$E$53</f>
        <v>0</v>
      </c>
    </row>
    <row r="184" customFormat="false" ht="15" hidden="false" customHeight="false" outlineLevel="0" collapsed="false">
      <c r="A184" s="24" t="s">
        <v>675</v>
      </c>
      <c r="B184" s="24" t="str">
        <f aca="false">IF(INPUTS!$B$54="","","V - "&amp;INPUTS!$B$54&amp;" "&amp;INPUTS!$B$35&amp;" Rough-in (Labour)")</f>
        <v/>
      </c>
      <c r="C184" s="28" t="n">
        <f aca="false">(BUDGET!$J$56-BUDGET!$G$56)*INPUTS!$E$54*$P$167</f>
        <v>0</v>
      </c>
      <c r="D184" s="19" t="n">
        <f aca="false">IFERROR(C184/$C$4,0)</f>
        <v>0</v>
      </c>
      <c r="E184" s="49"/>
      <c r="F184" s="19" t="n">
        <f aca="false">IFERROR(E184/C184,0)</f>
        <v>0</v>
      </c>
      <c r="G184" s="28" t="n">
        <f aca="false">C184-E184</f>
        <v>0</v>
      </c>
      <c r="H184" s="28" t="n">
        <f aca="false">E184*INPUTS!$C$29</f>
        <v>0</v>
      </c>
      <c r="J184" s="24"/>
      <c r="K184" s="28" t="n">
        <f aca="false">BUDGET!$D$56*INPUTS!$E$54</f>
        <v>0</v>
      </c>
      <c r="L184" s="24"/>
      <c r="M184" s="28" t="n">
        <f aca="false">BUDGET!$H$56*INPUTS!$E$54</f>
        <v>0</v>
      </c>
      <c r="N184" s="13" t="n">
        <f aca="false">BUDGET!$C$56*INPUTS!$E$54</f>
        <v>0</v>
      </c>
    </row>
    <row r="185" customFormat="false" ht="15" hidden="false" customHeight="false" outlineLevel="0" collapsed="false">
      <c r="A185" s="24" t="s">
        <v>676</v>
      </c>
      <c r="B185" s="24" t="str">
        <f aca="false">IF(INPUTS!$B$55="","","V - "&amp;INPUTS!$B$55&amp;" "&amp;INPUTS!$B$35&amp;" Rough-in (Labour)")</f>
        <v/>
      </c>
      <c r="C185" s="28" t="n">
        <f aca="false">(BUDGET!$J$56-BUDGET!$G$56)*INPUTS!$E$55*$P$167</f>
        <v>0</v>
      </c>
      <c r="D185" s="19" t="n">
        <f aca="false">IFERROR(C185/$C$4,0)</f>
        <v>0</v>
      </c>
      <c r="E185" s="49"/>
      <c r="F185" s="19" t="n">
        <f aca="false">IFERROR(E185/C185,0)</f>
        <v>0</v>
      </c>
      <c r="G185" s="28" t="n">
        <f aca="false">C185-E185</f>
        <v>0</v>
      </c>
      <c r="H185" s="28" t="n">
        <f aca="false">E185*INPUTS!$C$29</f>
        <v>0</v>
      </c>
      <c r="J185" s="24"/>
      <c r="K185" s="28" t="n">
        <f aca="false">BUDGET!$D$56*INPUTS!$E$55</f>
        <v>0</v>
      </c>
      <c r="L185" s="24"/>
      <c r="M185" s="28" t="n">
        <f aca="false">BUDGET!$H$56*INPUTS!$E$55</f>
        <v>0</v>
      </c>
      <c r="N185" s="13" t="n">
        <f aca="false">BUDGET!$C$56*INPUTS!$E$55</f>
        <v>0</v>
      </c>
    </row>
    <row r="186" customFormat="false" ht="15" hidden="false" customHeight="false" outlineLevel="0" collapsed="false">
      <c r="A186" s="24" t="s">
        <v>677</v>
      </c>
      <c r="B186" s="24" t="str">
        <f aca="false">IF(INPUTS!$B$56="","","V - "&amp;INPUTS!$B$56&amp;" "&amp;INPUTS!$B$35&amp;" Rough-in (Labour)")</f>
        <v/>
      </c>
      <c r="C186" s="28" t="n">
        <f aca="false">(BUDGET!$J$56-BUDGET!$G$56)*INPUTS!$E$56*$P$167</f>
        <v>0</v>
      </c>
      <c r="D186" s="19" t="n">
        <f aca="false">IFERROR(C186/$C$4,0)</f>
        <v>0</v>
      </c>
      <c r="E186" s="49"/>
      <c r="F186" s="19" t="n">
        <f aca="false">IFERROR(E186/C186,0)</f>
        <v>0</v>
      </c>
      <c r="G186" s="28" t="n">
        <f aca="false">C186-E186</f>
        <v>0</v>
      </c>
      <c r="H186" s="28" t="n">
        <f aca="false">E186*INPUTS!$C$29</f>
        <v>0</v>
      </c>
      <c r="J186" s="24"/>
      <c r="K186" s="28" t="n">
        <f aca="false">BUDGET!$D$56*INPUTS!$E$56</f>
        <v>0</v>
      </c>
      <c r="L186" s="24"/>
      <c r="M186" s="28" t="n">
        <f aca="false">BUDGET!$H$56*INPUTS!$E$56</f>
        <v>0</v>
      </c>
      <c r="N186" s="13" t="n">
        <f aca="false">BUDGET!$C$56*INPUTS!$E$56</f>
        <v>0</v>
      </c>
    </row>
    <row r="187" customFormat="false" ht="15" hidden="false" customHeight="false" outlineLevel="0" collapsed="false">
      <c r="A187" s="24" t="s">
        <v>678</v>
      </c>
      <c r="B187" s="24" t="str">
        <f aca="false">IF(INPUTS!$B$57="","","V - "&amp;INPUTS!$B$57&amp;" "&amp;INPUTS!$B$35&amp;" Rough-in (Labour)")</f>
        <v/>
      </c>
      <c r="C187" s="28" t="n">
        <f aca="false">(BUDGET!$J$56-BUDGET!$G$56)*INPUTS!$E$57*$P$167</f>
        <v>0</v>
      </c>
      <c r="D187" s="19" t="n">
        <f aca="false">IFERROR(C187/$C$4,0)</f>
        <v>0</v>
      </c>
      <c r="E187" s="49"/>
      <c r="F187" s="19" t="n">
        <f aca="false">IFERROR(E187/C187,0)</f>
        <v>0</v>
      </c>
      <c r="G187" s="28" t="n">
        <f aca="false">C187-E187</f>
        <v>0</v>
      </c>
      <c r="H187" s="28" t="n">
        <f aca="false">E187*INPUTS!$C$29</f>
        <v>0</v>
      </c>
      <c r="J187" s="24"/>
      <c r="K187" s="28" t="n">
        <f aca="false">BUDGET!$D$56*INPUTS!$E$57</f>
        <v>0</v>
      </c>
      <c r="L187" s="24"/>
      <c r="M187" s="28" t="n">
        <f aca="false">BUDGET!$H$56*INPUTS!$E$57</f>
        <v>0</v>
      </c>
      <c r="N187" s="13" t="n">
        <f aca="false">BUDGET!$C$56*INPUTS!$E$57</f>
        <v>0</v>
      </c>
    </row>
    <row r="188" customFormat="false" ht="15" hidden="false" customHeight="false" outlineLevel="0" collapsed="false">
      <c r="A188" s="24" t="s">
        <v>679</v>
      </c>
      <c r="B188" s="24" t="str">
        <f aca="false">IF(INPUTS!$B$58="","","V - "&amp;INPUTS!$B$58&amp;" "&amp;INPUTS!$B$35&amp;" Rough-in (Labour)")</f>
        <v/>
      </c>
      <c r="C188" s="28" t="n">
        <f aca="false">(BUDGET!$J$56-BUDGET!$G$56)*INPUTS!$E$58*$P$167</f>
        <v>0</v>
      </c>
      <c r="D188" s="19" t="n">
        <f aca="false">IFERROR(C188/$C$4,0)</f>
        <v>0</v>
      </c>
      <c r="E188" s="49"/>
      <c r="F188" s="19" t="n">
        <f aca="false">IFERROR(E188/C188,0)</f>
        <v>0</v>
      </c>
      <c r="G188" s="28" t="n">
        <f aca="false">C188-E188</f>
        <v>0</v>
      </c>
      <c r="H188" s="28" t="n">
        <f aca="false">E188*INPUTS!$C$29</f>
        <v>0</v>
      </c>
      <c r="J188" s="24"/>
      <c r="K188" s="28" t="n">
        <f aca="false">BUDGET!$D$56*INPUTS!$E$58</f>
        <v>0</v>
      </c>
      <c r="L188" s="24"/>
      <c r="M188" s="28" t="n">
        <f aca="false">BUDGET!$H$56*INPUTS!$E$58</f>
        <v>0</v>
      </c>
      <c r="N188" s="13" t="n">
        <f aca="false">BUDGET!$C$56*INPUTS!$E$58</f>
        <v>0</v>
      </c>
    </row>
    <row r="189" customFormat="false" ht="15" hidden="false" customHeight="false" outlineLevel="0" collapsed="false">
      <c r="A189" s="24" t="s">
        <v>680</v>
      </c>
      <c r="B189" s="24" t="str">
        <f aca="false">IF(INPUTS!$B$59="","","V - "&amp;INPUTS!$B$59&amp;" "&amp;INPUTS!$B$35&amp;" Rough-in (Labour)")</f>
        <v/>
      </c>
      <c r="C189" s="28" t="n">
        <f aca="false">(BUDGET!$J$56-BUDGET!$G$56)*INPUTS!$E$59*$P$167</f>
        <v>0</v>
      </c>
      <c r="D189" s="19" t="n">
        <f aca="false">IFERROR(C189/$C$4,0)</f>
        <v>0</v>
      </c>
      <c r="E189" s="49"/>
      <c r="F189" s="19" t="n">
        <f aca="false">IFERROR(E189/C189,0)</f>
        <v>0</v>
      </c>
      <c r="G189" s="28" t="n">
        <f aca="false">C189-E189</f>
        <v>0</v>
      </c>
      <c r="H189" s="28" t="n">
        <f aca="false">E189*INPUTS!$C$29</f>
        <v>0</v>
      </c>
      <c r="J189" s="24"/>
      <c r="K189" s="28" t="n">
        <f aca="false">BUDGET!$D$56*INPUTS!$E$59</f>
        <v>0</v>
      </c>
      <c r="L189" s="24"/>
      <c r="M189" s="28" t="n">
        <f aca="false">BUDGET!$H$56*INPUTS!$E$59</f>
        <v>0</v>
      </c>
      <c r="N189" s="13" t="n">
        <f aca="false">BUDGET!$C$56*INPUTS!$E$59</f>
        <v>0</v>
      </c>
    </row>
    <row r="190" customFormat="false" ht="15" hidden="false" customHeight="false" outlineLevel="0" collapsed="false">
      <c r="A190" s="24" t="s">
        <v>681</v>
      </c>
      <c r="B190" s="24" t="str">
        <f aca="false">IF(INPUTS!$B$60="","","V - "&amp;INPUTS!$B$60&amp;" "&amp;INPUTS!$B$35&amp;" Rough-in (Labour)")</f>
        <v/>
      </c>
      <c r="C190" s="28" t="n">
        <f aca="false">(BUDGET!$J$56-BUDGET!$G$56)*INPUTS!$E$60*$P$167</f>
        <v>0</v>
      </c>
      <c r="D190" s="19" t="n">
        <f aca="false">IFERROR(C190/$C$4,0)</f>
        <v>0</v>
      </c>
      <c r="E190" s="49"/>
      <c r="F190" s="19" t="n">
        <f aca="false">IFERROR(E190/C190,0)</f>
        <v>0</v>
      </c>
      <c r="G190" s="28" t="n">
        <f aca="false">C190-E190</f>
        <v>0</v>
      </c>
      <c r="H190" s="28" t="n">
        <f aca="false">E190*INPUTS!$C$29</f>
        <v>0</v>
      </c>
      <c r="J190" s="24"/>
      <c r="K190" s="28" t="n">
        <f aca="false">BUDGET!$D$56*INPUTS!$E$60</f>
        <v>0</v>
      </c>
      <c r="L190" s="24"/>
      <c r="M190" s="28" t="n">
        <f aca="false">BUDGET!$H$56*INPUTS!$E$60</f>
        <v>0</v>
      </c>
      <c r="N190" s="13" t="n">
        <f aca="false">BUDGET!$C$56*INPUTS!$E$60</f>
        <v>0</v>
      </c>
    </row>
    <row r="191" customFormat="false" ht="15" hidden="false" customHeight="false" outlineLevel="0" collapsed="false">
      <c r="A191" s="24" t="s">
        <v>682</v>
      </c>
      <c r="B191" s="24" t="str">
        <f aca="false">IF(INPUTS!$B$61="","","V - "&amp;INPUTS!$B$61&amp;" "&amp;INPUTS!$B$35&amp;" Rough-in (Labour)")</f>
        <v/>
      </c>
      <c r="C191" s="28" t="n">
        <f aca="false">(BUDGET!$J$56-BUDGET!$G$56)*INPUTS!$E$61*$P$167</f>
        <v>0</v>
      </c>
      <c r="D191" s="19" t="n">
        <f aca="false">IFERROR(C191/$C$4,0)</f>
        <v>0</v>
      </c>
      <c r="E191" s="49"/>
      <c r="F191" s="19" t="n">
        <f aca="false">IFERROR(E191/C191,0)</f>
        <v>0</v>
      </c>
      <c r="G191" s="28" t="n">
        <f aca="false">C191-E191</f>
        <v>0</v>
      </c>
      <c r="H191" s="28" t="n">
        <f aca="false">E191*INPUTS!$C$29</f>
        <v>0</v>
      </c>
      <c r="J191" s="24"/>
      <c r="K191" s="28" t="n">
        <f aca="false">BUDGET!$D$56*INPUTS!$E$61</f>
        <v>0</v>
      </c>
      <c r="L191" s="24"/>
      <c r="M191" s="28" t="n">
        <f aca="false">BUDGET!$H$56*INPUTS!$E$61</f>
        <v>0</v>
      </c>
      <c r="N191" s="13" t="n">
        <f aca="false">BUDGET!$C$56*INPUTS!$E$61</f>
        <v>0</v>
      </c>
    </row>
    <row r="192" customFormat="false" ht="15" hidden="false" customHeight="false" outlineLevel="0" collapsed="false">
      <c r="A192" s="24" t="s">
        <v>683</v>
      </c>
      <c r="B192" s="24" t="str">
        <f aca="false">IF(INPUTS!$B$62="","","V - "&amp;INPUTS!$B$62&amp;" "&amp;INPUTS!$B$35&amp;" Rough-in (Labour)")</f>
        <v/>
      </c>
      <c r="C192" s="28" t="n">
        <f aca="false">(BUDGET!$J$56-BUDGET!$G$56)*INPUTS!$E$62*$P$167</f>
        <v>0</v>
      </c>
      <c r="D192" s="19" t="n">
        <f aca="false">IFERROR(C192/$C$4,0)</f>
        <v>0</v>
      </c>
      <c r="E192" s="49"/>
      <c r="F192" s="19" t="n">
        <f aca="false">IFERROR(E192/C192,0)</f>
        <v>0</v>
      </c>
      <c r="G192" s="28" t="n">
        <f aca="false">C192-E192</f>
        <v>0</v>
      </c>
      <c r="H192" s="28" t="n">
        <f aca="false">E192*INPUTS!$C$29</f>
        <v>0</v>
      </c>
      <c r="J192" s="24"/>
      <c r="K192" s="28" t="n">
        <f aca="false">BUDGET!$D$56*INPUTS!$E$62</f>
        <v>0</v>
      </c>
      <c r="L192" s="24"/>
      <c r="M192" s="28" t="n">
        <f aca="false">BUDGET!$H$56*INPUTS!$E$62</f>
        <v>0</v>
      </c>
      <c r="N192" s="13" t="n">
        <f aca="false">BUDGET!$C$56*INPUTS!$E$62</f>
        <v>0</v>
      </c>
    </row>
    <row r="193" customFormat="false" ht="15" hidden="false" customHeight="false" outlineLevel="0" collapsed="false">
      <c r="A193" s="24" t="s">
        <v>684</v>
      </c>
      <c r="B193" s="24" t="str">
        <f aca="false">IF(INPUTS!$B$63="","","V - "&amp;INPUTS!$B$63&amp;" "&amp;INPUTS!$B$35&amp;" Rough-in (Labour)")</f>
        <v/>
      </c>
      <c r="C193" s="28" t="n">
        <f aca="false">(BUDGET!$J$56-BUDGET!$G$56)*INPUTS!$E$63*$P$167</f>
        <v>0</v>
      </c>
      <c r="D193" s="19" t="n">
        <f aca="false">IFERROR(C193/$C$4,0)</f>
        <v>0</v>
      </c>
      <c r="E193" s="49"/>
      <c r="F193" s="19" t="n">
        <f aca="false">IFERROR(E193/C193,0)</f>
        <v>0</v>
      </c>
      <c r="G193" s="28" t="n">
        <f aca="false">C193-E193</f>
        <v>0</v>
      </c>
      <c r="H193" s="28" t="n">
        <f aca="false">E193*INPUTS!$C$29</f>
        <v>0</v>
      </c>
      <c r="J193" s="24"/>
      <c r="K193" s="28" t="n">
        <f aca="false">BUDGET!$D$56*INPUTS!$E$63</f>
        <v>0</v>
      </c>
      <c r="L193" s="24"/>
      <c r="M193" s="28" t="n">
        <f aca="false">BUDGET!$H$56*INPUTS!$E$63</f>
        <v>0</v>
      </c>
      <c r="N193" s="13" t="n">
        <f aca="false">BUDGET!$C$56*INPUTS!$E$63</f>
        <v>0</v>
      </c>
    </row>
    <row r="194" customFormat="false" ht="15" hidden="false" customHeight="false" outlineLevel="0" collapsed="false">
      <c r="A194" s="24" t="s">
        <v>685</v>
      </c>
      <c r="B194" s="24" t="str">
        <f aca="false">IF(INPUTS!$B$40="","","V - "&amp;INPUTS!$B$40&amp;" "&amp;INPUTS!$B$35&amp;" Finishing (Labour)")</f>
        <v>V - U/G Ventilation Finishing (Labour)</v>
      </c>
      <c r="C194" s="28" t="n">
        <f aca="false">(BUDGET!$J$57-BUDGET!$G$57)*INPUTS!$E$40*$P$167</f>
        <v>0</v>
      </c>
      <c r="D194" s="19" t="n">
        <f aca="false">IFERROR(C194/$C$4,0)</f>
        <v>0</v>
      </c>
      <c r="E194" s="49"/>
      <c r="F194" s="19" t="n">
        <f aca="false">IFERROR(E194/C194,0)</f>
        <v>0</v>
      </c>
      <c r="G194" s="28" t="n">
        <f aca="false">C194-E194</f>
        <v>0</v>
      </c>
      <c r="H194" s="28" t="n">
        <f aca="false">E194*INPUTS!$C$29</f>
        <v>0</v>
      </c>
      <c r="J194" s="24"/>
      <c r="K194" s="28" t="n">
        <f aca="false">BUDGET!$D$57*INPUTS!$E$40</f>
        <v>0</v>
      </c>
      <c r="L194" s="24"/>
      <c r="M194" s="28" t="n">
        <f aca="false">BUDGET!$H$57*INPUTS!$E$40</f>
        <v>0</v>
      </c>
      <c r="N194" s="13" t="n">
        <f aca="false">BUDGET!$C$57*INPUTS!$E$40</f>
        <v>0</v>
      </c>
    </row>
    <row r="195" customFormat="false" ht="15" hidden="false" customHeight="false" outlineLevel="0" collapsed="false">
      <c r="A195" s="24" t="s">
        <v>686</v>
      </c>
      <c r="B195" s="24" t="str">
        <f aca="false">IF(INPUTS!$B$41="","","V - "&amp;INPUTS!$B$41&amp;" "&amp;INPUTS!$B$35&amp;" Finishing (Labour)")</f>
        <v>V - P-02 Ventilation Finishing (Labour)</v>
      </c>
      <c r="C195" s="28" t="n">
        <f aca="false">(BUDGET!$J$57-BUDGET!$G$57)*INPUTS!$E$41*$P$167</f>
        <v>0</v>
      </c>
      <c r="D195" s="19" t="n">
        <f aca="false">IFERROR(C195/$C$4,0)</f>
        <v>0</v>
      </c>
      <c r="E195" s="49"/>
      <c r="F195" s="19" t="n">
        <f aca="false">IFERROR(E195/C195,0)</f>
        <v>0</v>
      </c>
      <c r="G195" s="28" t="n">
        <f aca="false">C195-E195</f>
        <v>0</v>
      </c>
      <c r="H195" s="28" t="n">
        <f aca="false">E195*INPUTS!$C$29</f>
        <v>0</v>
      </c>
      <c r="J195" s="24"/>
      <c r="K195" s="28" t="n">
        <f aca="false">BUDGET!$D$57*INPUTS!$E$41</f>
        <v>0</v>
      </c>
      <c r="L195" s="24"/>
      <c r="M195" s="28" t="n">
        <f aca="false">BUDGET!$H$57*INPUTS!$E$41</f>
        <v>0</v>
      </c>
      <c r="N195" s="13" t="n">
        <f aca="false">BUDGET!$C$57*INPUTS!$E$41</f>
        <v>0</v>
      </c>
    </row>
    <row r="196" customFormat="false" ht="15" hidden="false" customHeight="false" outlineLevel="0" collapsed="false">
      <c r="A196" s="24" t="s">
        <v>687</v>
      </c>
      <c r="B196" s="24" t="str">
        <f aca="false">IF(INPUTS!$B$42="","","V - "&amp;INPUTS!$B$42&amp;" "&amp;INPUTS!$B$35&amp;" Finishing (Labour)")</f>
        <v>V - PRKG Ventilation Finishing (Labour)</v>
      </c>
      <c r="C196" s="28" t="n">
        <f aca="false">(BUDGET!$J$57-BUDGET!$G$57)*INPUTS!$E$42*$P$167</f>
        <v>0</v>
      </c>
      <c r="D196" s="19" t="n">
        <f aca="false">IFERROR(C196/$C$4,0)</f>
        <v>0</v>
      </c>
      <c r="E196" s="49"/>
      <c r="F196" s="19" t="n">
        <f aca="false">IFERROR(E196/C196,0)</f>
        <v>0</v>
      </c>
      <c r="G196" s="28" t="n">
        <f aca="false">C196-E196</f>
        <v>0</v>
      </c>
      <c r="H196" s="28" t="n">
        <f aca="false">E196*INPUTS!$C$29</f>
        <v>0</v>
      </c>
      <c r="J196" s="24"/>
      <c r="K196" s="28" t="n">
        <f aca="false">BUDGET!$D$57*INPUTS!$E$42</f>
        <v>0</v>
      </c>
      <c r="L196" s="24"/>
      <c r="M196" s="28" t="n">
        <f aca="false">BUDGET!$H$57*INPUTS!$E$42</f>
        <v>0</v>
      </c>
      <c r="N196" s="13" t="n">
        <f aca="false">BUDGET!$C$57*INPUTS!$E$42</f>
        <v>0</v>
      </c>
    </row>
    <row r="197" customFormat="false" ht="15" hidden="false" customHeight="false" outlineLevel="0" collapsed="false">
      <c r="A197" s="24" t="s">
        <v>688</v>
      </c>
      <c r="B197" s="24" t="str">
        <f aca="false">IF(INPUTS!$B$43="","","V - "&amp;INPUTS!$B$43&amp;" "&amp;INPUTS!$B$35&amp;" Finishing (Labour)")</f>
        <v>V - L-01 Ventilation Finishing (Labour)</v>
      </c>
      <c r="C197" s="28" t="n">
        <f aca="false">(BUDGET!$J$57-BUDGET!$G$57)*INPUTS!$E$43*$P$167</f>
        <v>0</v>
      </c>
      <c r="D197" s="19" t="n">
        <f aca="false">IFERROR(C197/$C$4,0)</f>
        <v>0</v>
      </c>
      <c r="E197" s="49"/>
      <c r="F197" s="19" t="n">
        <f aca="false">IFERROR(E197/C197,0)</f>
        <v>0</v>
      </c>
      <c r="G197" s="28" t="n">
        <f aca="false">C197-E197</f>
        <v>0</v>
      </c>
      <c r="H197" s="28" t="n">
        <f aca="false">E197*INPUTS!$C$29</f>
        <v>0</v>
      </c>
      <c r="J197" s="24"/>
      <c r="K197" s="28" t="n">
        <f aca="false">BUDGET!$D$57*INPUTS!$E$43</f>
        <v>0</v>
      </c>
      <c r="L197" s="24"/>
      <c r="M197" s="28" t="n">
        <f aca="false">BUDGET!$H$57*INPUTS!$E$43</f>
        <v>0</v>
      </c>
      <c r="N197" s="13" t="n">
        <f aca="false">BUDGET!$C$57*INPUTS!$E$43</f>
        <v>0</v>
      </c>
    </row>
    <row r="198" customFormat="false" ht="15" hidden="false" customHeight="false" outlineLevel="0" collapsed="false">
      <c r="A198" s="24" t="s">
        <v>689</v>
      </c>
      <c r="B198" s="24" t="str">
        <f aca="false">IF(INPUTS!$B$44="","","V - "&amp;INPUTS!$B$44&amp;" "&amp;INPUTS!$B$35&amp;" Finishing (Labour)")</f>
        <v>V - L-02 Ventilation Finishing (Labour)</v>
      </c>
      <c r="C198" s="28" t="n">
        <f aca="false">(BUDGET!$J$57-BUDGET!$G$57)*INPUTS!$E$44*$P$167</f>
        <v>0</v>
      </c>
      <c r="D198" s="19" t="n">
        <f aca="false">IFERROR(C198/$C$4,0)</f>
        <v>0</v>
      </c>
      <c r="E198" s="49"/>
      <c r="F198" s="19" t="n">
        <f aca="false">IFERROR(E198/C198,0)</f>
        <v>0</v>
      </c>
      <c r="G198" s="28" t="n">
        <f aca="false">C198-E198</f>
        <v>0</v>
      </c>
      <c r="H198" s="28" t="n">
        <f aca="false">E198*INPUTS!$C$29</f>
        <v>0</v>
      </c>
      <c r="J198" s="24"/>
      <c r="K198" s="28" t="n">
        <f aca="false">BUDGET!$D$57*INPUTS!$E$44</f>
        <v>0</v>
      </c>
      <c r="L198" s="24"/>
      <c r="M198" s="28" t="n">
        <f aca="false">BUDGET!$H$57*INPUTS!$E$44</f>
        <v>0</v>
      </c>
      <c r="N198" s="13" t="n">
        <f aca="false">BUDGET!$C$57*INPUTS!$E$44</f>
        <v>0</v>
      </c>
    </row>
    <row r="199" customFormat="false" ht="15" hidden="false" customHeight="false" outlineLevel="0" collapsed="false">
      <c r="A199" s="24" t="s">
        <v>690</v>
      </c>
      <c r="B199" s="24" t="str">
        <f aca="false">IF(INPUTS!$B$45="","","V - "&amp;INPUTS!$B$45&amp;" "&amp;INPUTS!$B$35&amp;" Finishing (Labour)")</f>
        <v>V - L-03 Ventilation Finishing (Labour)</v>
      </c>
      <c r="C199" s="28" t="n">
        <f aca="false">(BUDGET!$J$57-BUDGET!$G$57)*INPUTS!$E$45*$P$167</f>
        <v>0</v>
      </c>
      <c r="D199" s="19" t="n">
        <f aca="false">IFERROR(C199/$C$4,0)</f>
        <v>0</v>
      </c>
      <c r="E199" s="49"/>
      <c r="F199" s="19" t="n">
        <f aca="false">IFERROR(E199/C199,0)</f>
        <v>0</v>
      </c>
      <c r="G199" s="28" t="n">
        <f aca="false">C199-E199</f>
        <v>0</v>
      </c>
      <c r="H199" s="28" t="n">
        <f aca="false">E199*INPUTS!$C$29</f>
        <v>0</v>
      </c>
      <c r="J199" s="24"/>
      <c r="K199" s="28" t="n">
        <f aca="false">BUDGET!$D$57*INPUTS!$E$45</f>
        <v>0</v>
      </c>
      <c r="L199" s="24"/>
      <c r="M199" s="28" t="n">
        <f aca="false">BUDGET!$H$57*INPUTS!$E$45</f>
        <v>0</v>
      </c>
      <c r="N199" s="13" t="n">
        <f aca="false">BUDGET!$C$57*INPUTS!$E$45</f>
        <v>0</v>
      </c>
    </row>
    <row r="200" customFormat="false" ht="15" hidden="false" customHeight="false" outlineLevel="0" collapsed="false">
      <c r="A200" s="24" t="s">
        <v>691</v>
      </c>
      <c r="B200" s="24" t="str">
        <f aca="false">IF(INPUTS!$B$46="","","V - "&amp;INPUTS!$B$46&amp;" "&amp;INPUTS!$B$35&amp;" Finishing (Labour)")</f>
        <v>V - L-04 Ventilation Finishing (Labour)</v>
      </c>
      <c r="C200" s="28" t="n">
        <f aca="false">(BUDGET!$J$57-BUDGET!$G$57)*INPUTS!$E$46*$P$167</f>
        <v>0</v>
      </c>
      <c r="D200" s="19" t="n">
        <f aca="false">IFERROR(C200/$C$4,0)</f>
        <v>0</v>
      </c>
      <c r="E200" s="49"/>
      <c r="F200" s="19" t="n">
        <f aca="false">IFERROR(E200/C200,0)</f>
        <v>0</v>
      </c>
      <c r="G200" s="28" t="n">
        <f aca="false">C200-E200</f>
        <v>0</v>
      </c>
      <c r="H200" s="28" t="n">
        <f aca="false">E200*INPUTS!$C$29</f>
        <v>0</v>
      </c>
      <c r="J200" s="24"/>
      <c r="K200" s="28" t="n">
        <f aca="false">BUDGET!$D$57*INPUTS!$E$46</f>
        <v>0</v>
      </c>
      <c r="L200" s="24"/>
      <c r="M200" s="28" t="n">
        <f aca="false">BUDGET!$H$57*INPUTS!$E$46</f>
        <v>0</v>
      </c>
      <c r="N200" s="13" t="n">
        <f aca="false">BUDGET!$C$57*INPUTS!$E$46</f>
        <v>0</v>
      </c>
    </row>
    <row r="201" customFormat="false" ht="15" hidden="false" customHeight="false" outlineLevel="0" collapsed="false">
      <c r="A201" s="24" t="s">
        <v>692</v>
      </c>
      <c r="B201" s="24" t="str">
        <f aca="false">IF(INPUTS!$B$47="","","V - "&amp;INPUTS!$B$47&amp;" "&amp;INPUTS!$B$35&amp;" Finishing (Labour)")</f>
        <v>V - L-05 Ventilation Finishing (Labour)</v>
      </c>
      <c r="C201" s="28" t="n">
        <f aca="false">(BUDGET!$J$57-BUDGET!$G$57)*INPUTS!$E$47*$P$167</f>
        <v>0</v>
      </c>
      <c r="D201" s="19" t="n">
        <f aca="false">IFERROR(C201/$C$4,0)</f>
        <v>0</v>
      </c>
      <c r="E201" s="49"/>
      <c r="F201" s="19" t="n">
        <f aca="false">IFERROR(E201/C201,0)</f>
        <v>0</v>
      </c>
      <c r="G201" s="28" t="n">
        <f aca="false">C201-E201</f>
        <v>0</v>
      </c>
      <c r="H201" s="28" t="n">
        <f aca="false">E201*INPUTS!$C$29</f>
        <v>0</v>
      </c>
      <c r="J201" s="24"/>
      <c r="K201" s="28" t="n">
        <f aca="false">BUDGET!$D$57*INPUTS!$E$47</f>
        <v>0</v>
      </c>
      <c r="L201" s="24"/>
      <c r="M201" s="28" t="n">
        <f aca="false">BUDGET!$H$57*INPUTS!$E$47</f>
        <v>0</v>
      </c>
      <c r="N201" s="13" t="n">
        <f aca="false">BUDGET!$C$57*INPUTS!$E$47</f>
        <v>0</v>
      </c>
    </row>
    <row r="202" customFormat="false" ht="15" hidden="false" customHeight="false" outlineLevel="0" collapsed="false">
      <c r="A202" s="24" t="s">
        <v>693</v>
      </c>
      <c r="B202" s="24" t="str">
        <f aca="false">IF(INPUTS!$B$48="","","V - "&amp;INPUTS!$B$48&amp;" "&amp;INPUTS!$B$35&amp;" Finishing (Labour)")</f>
        <v>V - L-06 Ventilation Finishing (Labour)</v>
      </c>
      <c r="C202" s="28" t="n">
        <f aca="false">(BUDGET!$J$57-BUDGET!$G$57)*INPUTS!$E$48*$P$167</f>
        <v>0</v>
      </c>
      <c r="D202" s="19" t="n">
        <f aca="false">IFERROR(C202/$C$4,0)</f>
        <v>0</v>
      </c>
      <c r="E202" s="49"/>
      <c r="F202" s="19" t="n">
        <f aca="false">IFERROR(E202/C202,0)</f>
        <v>0</v>
      </c>
      <c r="G202" s="28" t="n">
        <f aca="false">C202-E202</f>
        <v>0</v>
      </c>
      <c r="H202" s="28" t="n">
        <f aca="false">E202*INPUTS!$C$29</f>
        <v>0</v>
      </c>
      <c r="J202" s="24"/>
      <c r="K202" s="28" t="n">
        <f aca="false">BUDGET!$D$57*INPUTS!$E$48</f>
        <v>0</v>
      </c>
      <c r="L202" s="24"/>
      <c r="M202" s="28" t="n">
        <f aca="false">BUDGET!$H$57*INPUTS!$E$48</f>
        <v>0</v>
      </c>
      <c r="N202" s="13" t="n">
        <f aca="false">BUDGET!$C$57*INPUTS!$E$48</f>
        <v>0</v>
      </c>
    </row>
    <row r="203" customFormat="false" ht="15" hidden="false" customHeight="false" outlineLevel="0" collapsed="false">
      <c r="A203" s="24" t="s">
        <v>694</v>
      </c>
      <c r="B203" s="24" t="str">
        <f aca="false">IF(INPUTS!$B$49="","","V - "&amp;INPUTS!$B$49&amp;" "&amp;INPUTS!$B$35&amp;" Finishing (Labour)")</f>
        <v>V - L-07 Ventilation Finishing (Labour)</v>
      </c>
      <c r="C203" s="28" t="n">
        <f aca="false">(BUDGET!$J$57-BUDGET!$G$57)*INPUTS!$E$49*$P$167</f>
        <v>0</v>
      </c>
      <c r="D203" s="19" t="n">
        <f aca="false">IFERROR(C203/$C$4,0)</f>
        <v>0</v>
      </c>
      <c r="E203" s="49"/>
      <c r="F203" s="19" t="n">
        <f aca="false">IFERROR(E203/C203,0)</f>
        <v>0</v>
      </c>
      <c r="G203" s="28" t="n">
        <f aca="false">C203-E203</f>
        <v>0</v>
      </c>
      <c r="H203" s="28" t="n">
        <f aca="false">E203*INPUTS!$C$29</f>
        <v>0</v>
      </c>
      <c r="J203" s="24"/>
      <c r="K203" s="28" t="n">
        <f aca="false">BUDGET!$D$57*INPUTS!$E$49</f>
        <v>0</v>
      </c>
      <c r="L203" s="24"/>
      <c r="M203" s="28" t="n">
        <f aca="false">BUDGET!$H$57*INPUTS!$E$49</f>
        <v>0</v>
      </c>
      <c r="N203" s="13" t="n">
        <f aca="false">BUDGET!$C$57*INPUTS!$E$49</f>
        <v>0</v>
      </c>
    </row>
    <row r="204" customFormat="false" ht="15" hidden="false" customHeight="false" outlineLevel="0" collapsed="false">
      <c r="A204" s="24" t="s">
        <v>695</v>
      </c>
      <c r="B204" s="24" t="str">
        <f aca="false">IF(INPUTS!$B$50="","","V - "&amp;INPUTS!$B$50&amp;" "&amp;INPUTS!$B$35&amp;" Finishing (Labour)")</f>
        <v>V - L-08 Ventilation Finishing (Labour)</v>
      </c>
      <c r="C204" s="28" t="n">
        <f aca="false">(BUDGET!$J$57-BUDGET!$G$57)*INPUTS!$E$50*$P$167</f>
        <v>0</v>
      </c>
      <c r="D204" s="19" t="n">
        <f aca="false">IFERROR(C204/$C$4,0)</f>
        <v>0</v>
      </c>
      <c r="E204" s="49"/>
      <c r="F204" s="19" t="n">
        <f aca="false">IFERROR(E204/C204,0)</f>
        <v>0</v>
      </c>
      <c r="G204" s="28" t="n">
        <f aca="false">C204-E204</f>
        <v>0</v>
      </c>
      <c r="H204" s="28" t="n">
        <f aca="false">E204*INPUTS!$C$29</f>
        <v>0</v>
      </c>
      <c r="J204" s="24"/>
      <c r="K204" s="28" t="n">
        <f aca="false">BUDGET!$D$57*INPUTS!$E$50</f>
        <v>0</v>
      </c>
      <c r="L204" s="24"/>
      <c r="M204" s="28" t="n">
        <f aca="false">BUDGET!$H$57*INPUTS!$E$50</f>
        <v>0</v>
      </c>
      <c r="N204" s="13" t="n">
        <f aca="false">BUDGET!$C$57*INPUTS!$E$50</f>
        <v>0</v>
      </c>
    </row>
    <row r="205" customFormat="false" ht="15" hidden="false" customHeight="false" outlineLevel="0" collapsed="false">
      <c r="A205" s="24" t="s">
        <v>696</v>
      </c>
      <c r="B205" s="24" t="str">
        <f aca="false">IF(INPUTS!$B$51="","","V - "&amp;INPUTS!$B$51&amp;" "&amp;INPUTS!$B$35&amp;" Finishing (Labour)")</f>
        <v>V - L-09 Ventilation Finishing (Labour)</v>
      </c>
      <c r="C205" s="28" t="n">
        <f aca="false">(BUDGET!$J$57-BUDGET!$G$57)*INPUTS!$E$51*$P$167</f>
        <v>0</v>
      </c>
      <c r="D205" s="19" t="n">
        <f aca="false">IFERROR(C205/$C$4,0)</f>
        <v>0</v>
      </c>
      <c r="E205" s="49"/>
      <c r="F205" s="19" t="n">
        <f aca="false">IFERROR(E205/C205,0)</f>
        <v>0</v>
      </c>
      <c r="G205" s="28" t="n">
        <f aca="false">C205-E205</f>
        <v>0</v>
      </c>
      <c r="H205" s="28" t="n">
        <f aca="false">E205*INPUTS!$C$29</f>
        <v>0</v>
      </c>
      <c r="J205" s="24"/>
      <c r="K205" s="28" t="n">
        <f aca="false">BUDGET!$D$57*INPUTS!$E$51</f>
        <v>0</v>
      </c>
      <c r="L205" s="24"/>
      <c r="M205" s="28" t="n">
        <f aca="false">BUDGET!$H$57*INPUTS!$E$51</f>
        <v>0</v>
      </c>
      <c r="N205" s="13" t="n">
        <f aca="false">BUDGET!$C$57*INPUTS!$E$51</f>
        <v>0</v>
      </c>
    </row>
    <row r="206" customFormat="false" ht="15" hidden="false" customHeight="false" outlineLevel="0" collapsed="false">
      <c r="A206" s="24" t="s">
        <v>697</v>
      </c>
      <c r="B206" s="24" t="str">
        <f aca="false">IF(INPUTS!$B$52="","","V - "&amp;INPUTS!$B$52&amp;" "&amp;INPUTS!$B$35&amp;" Finishing (Labour)")</f>
        <v>V - L-10 Ventilation Finishing (Labour)</v>
      </c>
      <c r="C206" s="28" t="n">
        <f aca="false">(BUDGET!$J$57-BUDGET!$G$57)*INPUTS!$E$52*$P$167</f>
        <v>0</v>
      </c>
      <c r="D206" s="19" t="n">
        <f aca="false">IFERROR(C206/$C$4,0)</f>
        <v>0</v>
      </c>
      <c r="E206" s="49"/>
      <c r="F206" s="19" t="n">
        <f aca="false">IFERROR(E206/C206,0)</f>
        <v>0</v>
      </c>
      <c r="G206" s="28" t="n">
        <f aca="false">C206-E206</f>
        <v>0</v>
      </c>
      <c r="H206" s="28" t="n">
        <f aca="false">E206*INPUTS!$C$29</f>
        <v>0</v>
      </c>
      <c r="J206" s="24"/>
      <c r="K206" s="28" t="n">
        <f aca="false">BUDGET!$D$57*INPUTS!$E$52</f>
        <v>0</v>
      </c>
      <c r="L206" s="24"/>
      <c r="M206" s="28" t="n">
        <f aca="false">BUDGET!$H$57*INPUTS!$E$52</f>
        <v>0</v>
      </c>
      <c r="N206" s="13" t="n">
        <f aca="false">BUDGET!$C$57*INPUTS!$E$52</f>
        <v>0</v>
      </c>
    </row>
    <row r="207" customFormat="false" ht="15" hidden="false" customHeight="false" outlineLevel="0" collapsed="false">
      <c r="A207" s="24" t="s">
        <v>698</v>
      </c>
      <c r="B207" s="24" t="str">
        <f aca="false">IF(INPUTS!$B$53="","","V - "&amp;INPUTS!$B$53&amp;" "&amp;INPUTS!$B$35&amp;" Finishing (Labour)")</f>
        <v>V - ROOF Ventilation Finishing (Labour)</v>
      </c>
      <c r="C207" s="28" t="n">
        <f aca="false">(BUDGET!$J$57-BUDGET!$G$57)*INPUTS!$E$53*$P$167</f>
        <v>0</v>
      </c>
      <c r="D207" s="19" t="n">
        <f aca="false">IFERROR(C207/$C$4,0)</f>
        <v>0</v>
      </c>
      <c r="E207" s="49"/>
      <c r="F207" s="19" t="n">
        <f aca="false">IFERROR(E207/C207,0)</f>
        <v>0</v>
      </c>
      <c r="G207" s="28" t="n">
        <f aca="false">C207-E207</f>
        <v>0</v>
      </c>
      <c r="H207" s="28" t="n">
        <f aca="false">E207*INPUTS!$C$29</f>
        <v>0</v>
      </c>
      <c r="J207" s="24"/>
      <c r="K207" s="28" t="n">
        <f aca="false">BUDGET!$D$57*INPUTS!$E$53</f>
        <v>0</v>
      </c>
      <c r="L207" s="24"/>
      <c r="M207" s="28" t="n">
        <f aca="false">BUDGET!$H$57*INPUTS!$E$53</f>
        <v>0</v>
      </c>
      <c r="N207" s="13" t="n">
        <f aca="false">BUDGET!$C$57*INPUTS!$E$53</f>
        <v>0</v>
      </c>
    </row>
    <row r="208" customFormat="false" ht="15" hidden="false" customHeight="false" outlineLevel="0" collapsed="false">
      <c r="A208" s="24" t="s">
        <v>699</v>
      </c>
      <c r="B208" s="24" t="str">
        <f aca="false">IF(INPUTS!$B$54="","","V - "&amp;INPUTS!$B$54&amp;" "&amp;INPUTS!$B$35&amp;" Finishing (Labour)")</f>
        <v/>
      </c>
      <c r="C208" s="28" t="n">
        <f aca="false">(BUDGET!$J$57-BUDGET!$G$57)*INPUTS!$E$54*$P$167</f>
        <v>0</v>
      </c>
      <c r="D208" s="19" t="n">
        <f aca="false">IFERROR(C208/$C$4,0)</f>
        <v>0</v>
      </c>
      <c r="E208" s="49"/>
      <c r="F208" s="19" t="n">
        <f aca="false">IFERROR(E208/C208,0)</f>
        <v>0</v>
      </c>
      <c r="G208" s="28" t="n">
        <f aca="false">C208-E208</f>
        <v>0</v>
      </c>
      <c r="H208" s="28" t="n">
        <f aca="false">E208*INPUTS!$C$29</f>
        <v>0</v>
      </c>
      <c r="J208" s="24"/>
      <c r="K208" s="28" t="n">
        <f aca="false">BUDGET!$D$57*INPUTS!$E$54</f>
        <v>0</v>
      </c>
      <c r="L208" s="24"/>
      <c r="M208" s="28" t="n">
        <f aca="false">BUDGET!$H$57*INPUTS!$E$54</f>
        <v>0</v>
      </c>
      <c r="N208" s="13" t="n">
        <f aca="false">BUDGET!$C$57*INPUTS!$E$54</f>
        <v>0</v>
      </c>
    </row>
    <row r="209" customFormat="false" ht="15" hidden="false" customHeight="false" outlineLevel="0" collapsed="false">
      <c r="A209" s="24" t="s">
        <v>700</v>
      </c>
      <c r="B209" s="24" t="str">
        <f aca="false">IF(INPUTS!$B$55="","","V - "&amp;INPUTS!$B$55&amp;" "&amp;INPUTS!$B$35&amp;" Finishing (Labour)")</f>
        <v/>
      </c>
      <c r="C209" s="28" t="n">
        <f aca="false">(BUDGET!$J$57-BUDGET!$G$57)*INPUTS!$E$55*$P$167</f>
        <v>0</v>
      </c>
      <c r="D209" s="19" t="n">
        <f aca="false">IFERROR(C209/$C$4,0)</f>
        <v>0</v>
      </c>
      <c r="E209" s="49"/>
      <c r="F209" s="19" t="n">
        <f aca="false">IFERROR(E209/C209,0)</f>
        <v>0</v>
      </c>
      <c r="G209" s="28" t="n">
        <f aca="false">C209-E209</f>
        <v>0</v>
      </c>
      <c r="H209" s="28" t="n">
        <f aca="false">E209*INPUTS!$C$29</f>
        <v>0</v>
      </c>
      <c r="J209" s="24"/>
      <c r="K209" s="28" t="n">
        <f aca="false">BUDGET!$D$57*INPUTS!$E$55</f>
        <v>0</v>
      </c>
      <c r="L209" s="24"/>
      <c r="M209" s="28" t="n">
        <f aca="false">BUDGET!$H$57*INPUTS!$E$55</f>
        <v>0</v>
      </c>
      <c r="N209" s="13" t="n">
        <f aca="false">BUDGET!$C$57*INPUTS!$E$55</f>
        <v>0</v>
      </c>
    </row>
    <row r="210" customFormat="false" ht="15" hidden="false" customHeight="false" outlineLevel="0" collapsed="false">
      <c r="A210" s="24" t="s">
        <v>701</v>
      </c>
      <c r="B210" s="24" t="str">
        <f aca="false">IF(INPUTS!$B$56="","","V - "&amp;INPUTS!$B$56&amp;" "&amp;INPUTS!$B$35&amp;" Finishing (Labour)")</f>
        <v/>
      </c>
      <c r="C210" s="28" t="n">
        <f aca="false">(BUDGET!$J$57-BUDGET!$G$57)*INPUTS!$E$56*$P$167</f>
        <v>0</v>
      </c>
      <c r="D210" s="19" t="n">
        <f aca="false">IFERROR(C210/$C$4,0)</f>
        <v>0</v>
      </c>
      <c r="E210" s="49"/>
      <c r="F210" s="19" t="n">
        <f aca="false">IFERROR(E210/C210,0)</f>
        <v>0</v>
      </c>
      <c r="G210" s="28" t="n">
        <f aca="false">C210-E210</f>
        <v>0</v>
      </c>
      <c r="H210" s="28" t="n">
        <f aca="false">E210*INPUTS!$C$29</f>
        <v>0</v>
      </c>
      <c r="J210" s="24"/>
      <c r="K210" s="28" t="n">
        <f aca="false">BUDGET!$D$57*INPUTS!$E$56</f>
        <v>0</v>
      </c>
      <c r="L210" s="24"/>
      <c r="M210" s="28" t="n">
        <f aca="false">BUDGET!$H$57*INPUTS!$E$56</f>
        <v>0</v>
      </c>
      <c r="N210" s="13" t="n">
        <f aca="false">BUDGET!$C$57*INPUTS!$E$56</f>
        <v>0</v>
      </c>
    </row>
    <row r="211" customFormat="false" ht="15" hidden="false" customHeight="false" outlineLevel="0" collapsed="false">
      <c r="A211" s="24" t="s">
        <v>702</v>
      </c>
      <c r="B211" s="24" t="str">
        <f aca="false">IF(INPUTS!$B$57="","","V - "&amp;INPUTS!$B$57&amp;" "&amp;INPUTS!$B$35&amp;" Finishing (Labour)")</f>
        <v/>
      </c>
      <c r="C211" s="28" t="n">
        <f aca="false">(BUDGET!$J$57-BUDGET!$G$57)*INPUTS!$E$57*$P$167</f>
        <v>0</v>
      </c>
      <c r="D211" s="19" t="n">
        <f aca="false">IFERROR(C211/$C$4,0)</f>
        <v>0</v>
      </c>
      <c r="E211" s="49"/>
      <c r="F211" s="19" t="n">
        <f aca="false">IFERROR(E211/C211,0)</f>
        <v>0</v>
      </c>
      <c r="G211" s="28" t="n">
        <f aca="false">C211-E211</f>
        <v>0</v>
      </c>
      <c r="H211" s="28" t="n">
        <f aca="false">E211*INPUTS!$C$29</f>
        <v>0</v>
      </c>
      <c r="J211" s="24"/>
      <c r="K211" s="28" t="n">
        <f aca="false">BUDGET!$D$57*INPUTS!$E$57</f>
        <v>0</v>
      </c>
      <c r="L211" s="24"/>
      <c r="M211" s="28" t="n">
        <f aca="false">BUDGET!$H$57*INPUTS!$E$57</f>
        <v>0</v>
      </c>
      <c r="N211" s="13" t="n">
        <f aca="false">BUDGET!$C$57*INPUTS!$E$57</f>
        <v>0</v>
      </c>
    </row>
    <row r="212" customFormat="false" ht="15" hidden="false" customHeight="false" outlineLevel="0" collapsed="false">
      <c r="A212" s="24" t="s">
        <v>703</v>
      </c>
      <c r="B212" s="24" t="str">
        <f aca="false">IF(INPUTS!$B$58="","","V - "&amp;INPUTS!$B$58&amp;" "&amp;INPUTS!$B$35&amp;" Finishing (Labour)")</f>
        <v/>
      </c>
      <c r="C212" s="28" t="n">
        <f aca="false">(BUDGET!$J$57-BUDGET!$G$57)*INPUTS!$E$58*$P$167</f>
        <v>0</v>
      </c>
      <c r="D212" s="19" t="n">
        <f aca="false">IFERROR(C212/$C$4,0)</f>
        <v>0</v>
      </c>
      <c r="E212" s="49"/>
      <c r="F212" s="19" t="n">
        <f aca="false">IFERROR(E212/C212,0)</f>
        <v>0</v>
      </c>
      <c r="G212" s="28" t="n">
        <f aca="false">C212-E212</f>
        <v>0</v>
      </c>
      <c r="H212" s="28" t="n">
        <f aca="false">E212*INPUTS!$C$29</f>
        <v>0</v>
      </c>
      <c r="J212" s="24"/>
      <c r="K212" s="28" t="n">
        <f aca="false">BUDGET!$D$57*INPUTS!$E$58</f>
        <v>0</v>
      </c>
      <c r="L212" s="24"/>
      <c r="M212" s="28" t="n">
        <f aca="false">BUDGET!$H$57*INPUTS!$E$58</f>
        <v>0</v>
      </c>
      <c r="N212" s="13" t="n">
        <f aca="false">BUDGET!$C$57*INPUTS!$E$58</f>
        <v>0</v>
      </c>
    </row>
    <row r="213" customFormat="false" ht="15" hidden="false" customHeight="false" outlineLevel="0" collapsed="false">
      <c r="A213" s="24" t="s">
        <v>704</v>
      </c>
      <c r="B213" s="24" t="str">
        <f aca="false">IF(INPUTS!$B$59="","","V - "&amp;INPUTS!$B$59&amp;" "&amp;INPUTS!$B$35&amp;" Finishing (Labour)")</f>
        <v/>
      </c>
      <c r="C213" s="28" t="n">
        <f aca="false">(BUDGET!$J$57-BUDGET!$G$57)*INPUTS!$E$59*$P$167</f>
        <v>0</v>
      </c>
      <c r="D213" s="19" t="n">
        <f aca="false">IFERROR(C213/$C$4,0)</f>
        <v>0</v>
      </c>
      <c r="E213" s="49"/>
      <c r="F213" s="19" t="n">
        <f aca="false">IFERROR(E213/C213,0)</f>
        <v>0</v>
      </c>
      <c r="G213" s="28" t="n">
        <f aca="false">C213-E213</f>
        <v>0</v>
      </c>
      <c r="H213" s="28" t="n">
        <f aca="false">E213*INPUTS!$C$29</f>
        <v>0</v>
      </c>
      <c r="J213" s="24"/>
      <c r="K213" s="28" t="n">
        <f aca="false">BUDGET!$D$57*INPUTS!$E$59</f>
        <v>0</v>
      </c>
      <c r="L213" s="24"/>
      <c r="M213" s="28" t="n">
        <f aca="false">BUDGET!$H$57*INPUTS!$E$59</f>
        <v>0</v>
      </c>
      <c r="N213" s="13" t="n">
        <f aca="false">BUDGET!$C$57*INPUTS!$E$59</f>
        <v>0</v>
      </c>
    </row>
    <row r="214" customFormat="false" ht="15" hidden="false" customHeight="false" outlineLevel="0" collapsed="false">
      <c r="A214" s="24" t="s">
        <v>705</v>
      </c>
      <c r="B214" s="24" t="str">
        <f aca="false">IF(INPUTS!$B$60="","","V - "&amp;INPUTS!$B$60&amp;" "&amp;INPUTS!$B$35&amp;" Finishing (Labour)")</f>
        <v/>
      </c>
      <c r="C214" s="28" t="n">
        <f aca="false">(BUDGET!$J$57-BUDGET!$G$57)*INPUTS!$E$60*$P$167</f>
        <v>0</v>
      </c>
      <c r="D214" s="19" t="n">
        <f aca="false">IFERROR(C214/$C$4,0)</f>
        <v>0</v>
      </c>
      <c r="E214" s="49"/>
      <c r="F214" s="19" t="n">
        <f aca="false">IFERROR(E214/C214,0)</f>
        <v>0</v>
      </c>
      <c r="G214" s="28" t="n">
        <f aca="false">C214-E214</f>
        <v>0</v>
      </c>
      <c r="H214" s="28" t="n">
        <f aca="false">E214*INPUTS!$C$29</f>
        <v>0</v>
      </c>
      <c r="J214" s="24"/>
      <c r="K214" s="28" t="n">
        <f aca="false">BUDGET!$D$57*INPUTS!$E$60</f>
        <v>0</v>
      </c>
      <c r="L214" s="24"/>
      <c r="M214" s="28" t="n">
        <f aca="false">BUDGET!$H$57*INPUTS!$E$60</f>
        <v>0</v>
      </c>
      <c r="N214" s="13" t="n">
        <f aca="false">BUDGET!$C$57*INPUTS!$E$60</f>
        <v>0</v>
      </c>
    </row>
    <row r="215" customFormat="false" ht="15" hidden="false" customHeight="false" outlineLevel="0" collapsed="false">
      <c r="A215" s="24" t="s">
        <v>706</v>
      </c>
      <c r="B215" s="24" t="str">
        <f aca="false">IF(INPUTS!$B$61="","","V - "&amp;INPUTS!$B$61&amp;" "&amp;INPUTS!$B$35&amp;" Finishing (Labour)")</f>
        <v/>
      </c>
      <c r="C215" s="28" t="n">
        <f aca="false">(BUDGET!$J$57-BUDGET!$G$57)*INPUTS!$E$61*$P$167</f>
        <v>0</v>
      </c>
      <c r="D215" s="19" t="n">
        <f aca="false">IFERROR(C215/$C$4,0)</f>
        <v>0</v>
      </c>
      <c r="E215" s="49"/>
      <c r="F215" s="19" t="n">
        <f aca="false">IFERROR(E215/C215,0)</f>
        <v>0</v>
      </c>
      <c r="G215" s="28" t="n">
        <f aca="false">C215-E215</f>
        <v>0</v>
      </c>
      <c r="H215" s="28" t="n">
        <f aca="false">E215*INPUTS!$C$29</f>
        <v>0</v>
      </c>
      <c r="J215" s="24"/>
      <c r="K215" s="28" t="n">
        <f aca="false">BUDGET!$D$57*INPUTS!$E$61</f>
        <v>0</v>
      </c>
      <c r="L215" s="24"/>
      <c r="M215" s="28" t="n">
        <f aca="false">BUDGET!$H$57*INPUTS!$E$61</f>
        <v>0</v>
      </c>
      <c r="N215" s="13" t="n">
        <f aca="false">BUDGET!$C$57*INPUTS!$E$61</f>
        <v>0</v>
      </c>
    </row>
    <row r="216" customFormat="false" ht="15" hidden="false" customHeight="false" outlineLevel="0" collapsed="false">
      <c r="A216" s="24" t="s">
        <v>707</v>
      </c>
      <c r="B216" s="24" t="str">
        <f aca="false">IF(INPUTS!$B$62="","","V - "&amp;INPUTS!$B$62&amp;" "&amp;INPUTS!$B$35&amp;" Finishing (Labour)")</f>
        <v/>
      </c>
      <c r="C216" s="28" t="n">
        <f aca="false">(BUDGET!$J$57-BUDGET!$G$57)*INPUTS!$E$62*$P$167</f>
        <v>0</v>
      </c>
      <c r="D216" s="19" t="n">
        <f aca="false">IFERROR(C216/$C$4,0)</f>
        <v>0</v>
      </c>
      <c r="E216" s="49"/>
      <c r="F216" s="19" t="n">
        <f aca="false">IFERROR(E216/C216,0)</f>
        <v>0</v>
      </c>
      <c r="G216" s="28" t="n">
        <f aca="false">C216-E216</f>
        <v>0</v>
      </c>
      <c r="H216" s="28" t="n">
        <f aca="false">E216*INPUTS!$C$29</f>
        <v>0</v>
      </c>
      <c r="J216" s="24"/>
      <c r="K216" s="28" t="n">
        <f aca="false">BUDGET!$D$57*INPUTS!$E$62</f>
        <v>0</v>
      </c>
      <c r="L216" s="24"/>
      <c r="M216" s="28" t="n">
        <f aca="false">BUDGET!$H$57*INPUTS!$E$62</f>
        <v>0</v>
      </c>
      <c r="N216" s="13" t="n">
        <f aca="false">BUDGET!$C$57*INPUTS!$E$62</f>
        <v>0</v>
      </c>
    </row>
    <row r="217" customFormat="false" ht="15" hidden="false" customHeight="false" outlineLevel="0" collapsed="false">
      <c r="A217" s="24" t="s">
        <v>708</v>
      </c>
      <c r="B217" s="24" t="str">
        <f aca="false">IF(INPUTS!$B$63="","","V - "&amp;INPUTS!$B$63&amp;" "&amp;INPUTS!$B$35&amp;" Finishing (Labour)")</f>
        <v/>
      </c>
      <c r="C217" s="28" t="n">
        <f aca="false">(BUDGET!$J$57-BUDGET!$G$57)*INPUTS!$E$63*$P$167</f>
        <v>0</v>
      </c>
      <c r="D217" s="19" t="n">
        <f aca="false">IFERROR(C217/$C$4,0)</f>
        <v>0</v>
      </c>
      <c r="E217" s="49"/>
      <c r="F217" s="19" t="n">
        <f aca="false">IFERROR(E217/C217,0)</f>
        <v>0</v>
      </c>
      <c r="G217" s="28" t="n">
        <f aca="false">C217-E217</f>
        <v>0</v>
      </c>
      <c r="H217" s="28" t="n">
        <f aca="false">E217*INPUTS!$C$29</f>
        <v>0</v>
      </c>
      <c r="J217" s="24"/>
      <c r="K217" s="28" t="n">
        <f aca="false">BUDGET!$D$57*INPUTS!$E$63</f>
        <v>0</v>
      </c>
      <c r="L217" s="24"/>
      <c r="M217" s="28" t="n">
        <f aca="false">BUDGET!$H$57*INPUTS!$E$63</f>
        <v>0</v>
      </c>
      <c r="N217" s="13" t="n">
        <f aca="false">BUDGET!$C$57*INPUTS!$E$63</f>
        <v>0</v>
      </c>
    </row>
    <row r="218" customFormat="false" ht="15" hidden="false" customHeight="false" outlineLevel="0" collapsed="false">
      <c r="A218" s="24" t="s">
        <v>709</v>
      </c>
      <c r="B218" s="24" t="str">
        <f aca="false">"V - "&amp;MID(INPUTS!$B$71,4,80)</f>
        <v>V - Material Supply</v>
      </c>
      <c r="C218" s="28" t="n">
        <f aca="false">(BUDGET!$J$58-BUDGET!$G$58)*$P$167</f>
        <v>0</v>
      </c>
      <c r="D218" s="19" t="n">
        <f aca="false">IFERROR(C218/$C$4,0)</f>
        <v>0</v>
      </c>
      <c r="E218" s="49"/>
      <c r="F218" s="19" t="n">
        <f aca="false">IFERROR(E218/C218,0)</f>
        <v>0</v>
      </c>
      <c r="G218" s="28" t="n">
        <f aca="false">C218-E218</f>
        <v>0</v>
      </c>
      <c r="H218" s="28" t="n">
        <f aca="false">E218*INPUTS!$C$29</f>
        <v>0</v>
      </c>
      <c r="J218" s="28" t="n">
        <f aca="false">BUDGET!$F$58+BUDGET!$F$63</f>
        <v>0</v>
      </c>
      <c r="K218" s="28" t="n">
        <f aca="false">BUDGET!$D$58</f>
        <v>0</v>
      </c>
      <c r="L218" s="24"/>
      <c r="M218" s="28" t="n">
        <f aca="false">BUDGET!$H$58</f>
        <v>0</v>
      </c>
      <c r="N218" s="13" t="n">
        <f aca="false">BUDGET!$C$58</f>
        <v>0</v>
      </c>
    </row>
    <row r="219" customFormat="false" ht="15" hidden="false" customHeight="false" outlineLevel="0" collapsed="false">
      <c r="A219" s="24" t="s">
        <v>710</v>
      </c>
      <c r="B219" s="24" t="str">
        <f aca="false">"V - "&amp;MID(INPUTS!$B$72,4,80)</f>
        <v>V - Fixtures &amp; Equipment Supply</v>
      </c>
      <c r="C219" s="28" t="n">
        <f aca="false">(BUDGET!$J$59-BUDGET!$G$59)*$P$167</f>
        <v>0</v>
      </c>
      <c r="D219" s="19" t="n">
        <f aca="false">IFERROR(C219/$C$4,0)</f>
        <v>0</v>
      </c>
      <c r="E219" s="49"/>
      <c r="F219" s="19" t="n">
        <f aca="false">IFERROR(E219/C219,0)</f>
        <v>0</v>
      </c>
      <c r="G219" s="28" t="n">
        <f aca="false">C219-E219</f>
        <v>0</v>
      </c>
      <c r="H219" s="28" t="n">
        <f aca="false">E219*INPUTS!$C$29</f>
        <v>0</v>
      </c>
      <c r="J219" s="28" t="n">
        <f aca="false">BUDGET!$F$59</f>
        <v>0</v>
      </c>
      <c r="K219" s="28" t="n">
        <f aca="false">BUDGET!$D$59</f>
        <v>0</v>
      </c>
      <c r="L219" s="24"/>
      <c r="M219" s="28" t="n">
        <f aca="false">BUDGET!$H$59</f>
        <v>0</v>
      </c>
      <c r="N219" s="13" t="n">
        <f aca="false">BUDGET!$C$59</f>
        <v>0</v>
      </c>
    </row>
    <row r="220" customFormat="false" ht="15" hidden="false" customHeight="false" outlineLevel="0" collapsed="false">
      <c r="A220" s="24" t="s">
        <v>711</v>
      </c>
      <c r="B220" s="24" t="str">
        <f aca="false">"V - "&amp;MID(INPUTS!$B$73,4,80)</f>
        <v>V - Testing, TAB &amp; Commissioning</v>
      </c>
      <c r="C220" s="28" t="n">
        <f aca="false">(BUDGET!$J$60-BUDGET!$G$60)*$P$167</f>
        <v>0</v>
      </c>
      <c r="D220" s="19" t="n">
        <f aca="false">IFERROR(C220/$C$4,0)</f>
        <v>0</v>
      </c>
      <c r="E220" s="49"/>
      <c r="F220" s="19" t="n">
        <f aca="false">IFERROR(E220/C220,0)</f>
        <v>0</v>
      </c>
      <c r="G220" s="28" t="n">
        <f aca="false">C220-E220</f>
        <v>0</v>
      </c>
      <c r="H220" s="28" t="n">
        <f aca="false">E220*INPUTS!$C$29</f>
        <v>0</v>
      </c>
      <c r="J220" s="28" t="n">
        <f aca="false">BUDGET!$F$60</f>
        <v>0</v>
      </c>
      <c r="K220" s="28" t="n">
        <f aca="false">BUDGET!$D$60</f>
        <v>0</v>
      </c>
      <c r="L220" s="24"/>
      <c r="M220" s="28" t="n">
        <f aca="false">BUDGET!$H$60</f>
        <v>0</v>
      </c>
      <c r="N220" s="13" t="n">
        <f aca="false">BUDGET!$C$60</f>
        <v>0</v>
      </c>
    </row>
    <row r="221" customFormat="false" ht="15" hidden="false" customHeight="false" outlineLevel="0" collapsed="false">
      <c r="A221" s="24" t="s">
        <v>712</v>
      </c>
      <c r="B221" s="24" t="str">
        <f aca="false">"V - "&amp;MID(INPUTS!$B$74,4,80)</f>
        <v>V - Completion &amp; Final Documents</v>
      </c>
      <c r="C221" s="28" t="n">
        <f aca="false">(BUDGET!$J$61-BUDGET!$G$61)*$P$167</f>
        <v>0</v>
      </c>
      <c r="D221" s="19" t="n">
        <f aca="false">IFERROR(C221/$C$4,0)</f>
        <v>0</v>
      </c>
      <c r="E221" s="49"/>
      <c r="F221" s="19" t="n">
        <f aca="false">IFERROR(E221/C221,0)</f>
        <v>0</v>
      </c>
      <c r="G221" s="28" t="n">
        <f aca="false">C221-E221</f>
        <v>0</v>
      </c>
      <c r="H221" s="28" t="n">
        <f aca="false">E221*INPUTS!$C$29</f>
        <v>0</v>
      </c>
      <c r="J221" s="28" t="n">
        <f aca="false">BUDGET!$F$61</f>
        <v>0</v>
      </c>
      <c r="K221" s="28" t="n">
        <f aca="false">BUDGET!$D$61</f>
        <v>0</v>
      </c>
      <c r="L221" s="24"/>
      <c r="M221" s="28" t="n">
        <f aca="false">BUDGET!$H$61</f>
        <v>0</v>
      </c>
      <c r="N221" s="13" t="n">
        <f aca="false">BUDGET!$C$61</f>
        <v>0</v>
      </c>
    </row>
    <row r="222" customFormat="false" ht="15" hidden="false" customHeight="false" outlineLevel="0" collapsed="false">
      <c r="A222" s="24" t="s">
        <v>713</v>
      </c>
      <c r="B222" s="24" t="str">
        <f aca="false">"V - "&amp;MID(INPUTS!$B$75,4,80)</f>
        <v>V - Office, Supervision &amp; General</v>
      </c>
      <c r="C222" s="28" t="n">
        <f aca="false">(BUDGET!$J$62-BUDGET!$G$62)*$P$167</f>
        <v>0</v>
      </c>
      <c r="D222" s="19" t="n">
        <f aca="false">IFERROR(C222/$C$4,0)</f>
        <v>0</v>
      </c>
      <c r="E222" s="49"/>
      <c r="F222" s="19" t="n">
        <f aca="false">IFERROR(E222/C222,0)</f>
        <v>0</v>
      </c>
      <c r="G222" s="28" t="n">
        <f aca="false">C222-E222</f>
        <v>0</v>
      </c>
      <c r="H222" s="28" t="n">
        <f aca="false">E222*INPUTS!$C$29</f>
        <v>0</v>
      </c>
      <c r="J222" s="28" t="n">
        <f aca="false">BUDGET!$F$62</f>
        <v>0</v>
      </c>
      <c r="K222" s="28" t="n">
        <f aca="false">BUDGET!$D$62</f>
        <v>0</v>
      </c>
      <c r="L222" s="24"/>
      <c r="M222" s="28" t="n">
        <f aca="false">BUDGET!$H$62</f>
        <v>0</v>
      </c>
      <c r="N222" s="13" t="n">
        <f aca="false">BUDGET!$C$62</f>
        <v>0</v>
      </c>
    </row>
    <row r="223" customFormat="false" ht="15" hidden="false" customHeight="false" outlineLevel="0" collapsed="false">
      <c r="A223" s="24" t="s">
        <v>714</v>
      </c>
      <c r="B223" s="24" t="str">
        <f aca="false">IF('SUBS &amp; GC'!$B$7="","","V - "&amp;'SUBS &amp; GC'!$B$7)</f>
        <v>V - Insulation and Heat Trace</v>
      </c>
      <c r="C223" s="28" t="n">
        <f aca="false">'SUBS &amp; GC'!$O$7*$P$167</f>
        <v>0</v>
      </c>
      <c r="D223" s="19" t="n">
        <f aca="false">IFERROR(C223/$C$4,0)</f>
        <v>0</v>
      </c>
      <c r="E223" s="49"/>
      <c r="F223" s="19" t="n">
        <f aca="false">IFERROR(E223/C223,0)</f>
        <v>0</v>
      </c>
      <c r="G223" s="28" t="n">
        <f aca="false">C223-E223</f>
        <v>0</v>
      </c>
      <c r="H223" s="28" t="n">
        <f aca="false">E223*INPUTS!$C$29</f>
        <v>0</v>
      </c>
      <c r="J223" s="24"/>
      <c r="K223" s="24"/>
      <c r="L223" s="28" t="n">
        <f aca="false">'SUBS &amp; GC'!$O$7</f>
        <v>0</v>
      </c>
      <c r="M223" s="24"/>
      <c r="N223" s="24"/>
    </row>
    <row r="224" customFormat="false" ht="15" hidden="false" customHeight="false" outlineLevel="0" collapsed="false">
      <c r="A224" s="24" t="s">
        <v>715</v>
      </c>
      <c r="B224" s="24" t="str">
        <f aca="false">IF('SUBS &amp; GC'!$B$8="","","V - "&amp;'SUBS &amp; GC'!$B$8)</f>
        <v>V - Duct Insulation</v>
      </c>
      <c r="C224" s="28" t="n">
        <f aca="false">'SUBS &amp; GC'!$O$8*$P$167</f>
        <v>0</v>
      </c>
      <c r="D224" s="19" t="n">
        <f aca="false">IFERROR(C224/$C$4,0)</f>
        <v>0</v>
      </c>
      <c r="E224" s="49"/>
      <c r="F224" s="19" t="n">
        <f aca="false">IFERROR(E224/C224,0)</f>
        <v>0</v>
      </c>
      <c r="G224" s="28" t="n">
        <f aca="false">C224-E224</f>
        <v>0</v>
      </c>
      <c r="H224" s="28" t="n">
        <f aca="false">E224*INPUTS!$C$29</f>
        <v>0</v>
      </c>
      <c r="J224" s="24"/>
      <c r="K224" s="24"/>
      <c r="L224" s="28" t="n">
        <f aca="false">'SUBS &amp; GC'!$O$8</f>
        <v>0</v>
      </c>
      <c r="M224" s="24"/>
      <c r="N224" s="24"/>
    </row>
    <row r="225" customFormat="false" ht="15" hidden="false" customHeight="false" outlineLevel="0" collapsed="false">
      <c r="A225" s="24" t="s">
        <v>716</v>
      </c>
      <c r="B225" s="24" t="str">
        <f aca="false">IF('SUBS &amp; GC'!$B$9="","","V - "&amp;'SUBS &amp; GC'!$B$9)</f>
        <v>V - Fire Sprinklers</v>
      </c>
      <c r="C225" s="28" t="n">
        <f aca="false">'SUBS &amp; GC'!$O$9*$P$167</f>
        <v>0</v>
      </c>
      <c r="D225" s="19" t="n">
        <f aca="false">IFERROR(C225/$C$4,0)</f>
        <v>0</v>
      </c>
      <c r="E225" s="49"/>
      <c r="F225" s="19" t="n">
        <f aca="false">IFERROR(E225/C225,0)</f>
        <v>0</v>
      </c>
      <c r="G225" s="28" t="n">
        <f aca="false">C225-E225</f>
        <v>0</v>
      </c>
      <c r="H225" s="28" t="n">
        <f aca="false">E225*INPUTS!$C$29</f>
        <v>0</v>
      </c>
      <c r="J225" s="24"/>
      <c r="K225" s="24"/>
      <c r="L225" s="28" t="n">
        <f aca="false">'SUBS &amp; GC'!$O$9</f>
        <v>0</v>
      </c>
      <c r="M225" s="24"/>
      <c r="N225" s="24"/>
    </row>
    <row r="226" customFormat="false" ht="15" hidden="false" customHeight="false" outlineLevel="0" collapsed="false">
      <c r="A226" s="24" t="s">
        <v>717</v>
      </c>
      <c r="B226" s="24" t="str">
        <f aca="false">IF('SUBS &amp; GC'!$B$10="","","V - "&amp;'SUBS &amp; GC'!$B$10)</f>
        <v>V - P&amp;H Controls</v>
      </c>
      <c r="C226" s="28" t="n">
        <f aca="false">'SUBS &amp; GC'!$O$10*$P$167</f>
        <v>0</v>
      </c>
      <c r="D226" s="19" t="n">
        <f aca="false">IFERROR(C226/$C$4,0)</f>
        <v>0</v>
      </c>
      <c r="E226" s="49"/>
      <c r="F226" s="19" t="n">
        <f aca="false">IFERROR(E226/C226,0)</f>
        <v>0</v>
      </c>
      <c r="G226" s="28" t="n">
        <f aca="false">C226-E226</f>
        <v>0</v>
      </c>
      <c r="H226" s="28" t="n">
        <f aca="false">E226*INPUTS!$C$29</f>
        <v>0</v>
      </c>
      <c r="J226" s="24"/>
      <c r="K226" s="24"/>
      <c r="L226" s="28" t="n">
        <f aca="false">'SUBS &amp; GC'!$O$10</f>
        <v>0</v>
      </c>
      <c r="M226" s="24"/>
      <c r="N226" s="24"/>
    </row>
    <row r="227" customFormat="false" ht="15" hidden="false" customHeight="false" outlineLevel="0" collapsed="false">
      <c r="A227" s="24" t="s">
        <v>718</v>
      </c>
      <c r="B227" s="24" t="str">
        <f aca="false">IF('SUBS &amp; GC'!$B$11="","","V - "&amp;'SUBS &amp; GC'!$B$11)</f>
        <v>V - HVAC Controls</v>
      </c>
      <c r="C227" s="28" t="n">
        <f aca="false">'SUBS &amp; GC'!$O$11*$P$167</f>
        <v>0</v>
      </c>
      <c r="D227" s="19" t="n">
        <f aca="false">IFERROR(C227/$C$4,0)</f>
        <v>0</v>
      </c>
      <c r="E227" s="49"/>
      <c r="F227" s="19" t="n">
        <f aca="false">IFERROR(E227/C227,0)</f>
        <v>0</v>
      </c>
      <c r="G227" s="28" t="n">
        <f aca="false">C227-E227</f>
        <v>0</v>
      </c>
      <c r="H227" s="28" t="n">
        <f aca="false">E227*INPUTS!$C$29</f>
        <v>0</v>
      </c>
      <c r="J227" s="24"/>
      <c r="K227" s="24"/>
      <c r="L227" s="28" t="n">
        <f aca="false">'SUBS &amp; GC'!$O$11</f>
        <v>0</v>
      </c>
      <c r="M227" s="24"/>
      <c r="N227" s="24"/>
    </row>
    <row r="228" customFormat="false" ht="15" hidden="false" customHeight="false" outlineLevel="0" collapsed="false">
      <c r="A228" s="24" t="s">
        <v>719</v>
      </c>
      <c r="B228" s="24" t="str">
        <f aca="false">IF('SUBS &amp; GC'!$B$12="","","V - "&amp;'SUBS &amp; GC'!$B$12)</f>
        <v>V - TAB and Commissioning</v>
      </c>
      <c r="C228" s="28" t="n">
        <f aca="false">'SUBS &amp; GC'!$O$12*$P$167</f>
        <v>0</v>
      </c>
      <c r="D228" s="19" t="n">
        <f aca="false">IFERROR(C228/$C$4,0)</f>
        <v>0</v>
      </c>
      <c r="E228" s="49"/>
      <c r="F228" s="19" t="n">
        <f aca="false">IFERROR(E228/C228,0)</f>
        <v>0</v>
      </c>
      <c r="G228" s="28" t="n">
        <f aca="false">C228-E228</f>
        <v>0</v>
      </c>
      <c r="H228" s="28" t="n">
        <f aca="false">E228*INPUTS!$C$29</f>
        <v>0</v>
      </c>
      <c r="J228" s="24"/>
      <c r="K228" s="24"/>
      <c r="L228" s="28" t="n">
        <f aca="false">'SUBS &amp; GC'!$O$12</f>
        <v>0</v>
      </c>
      <c r="M228" s="24"/>
      <c r="N228" s="24"/>
    </row>
    <row r="229" customFormat="false" ht="15" hidden="false" customHeight="false" outlineLevel="0" collapsed="false">
      <c r="A229" s="24" t="s">
        <v>720</v>
      </c>
      <c r="B229" s="24" t="str">
        <f aca="false">IF('SUBS &amp; GC'!$B$13="","","V - "&amp;'SUBS &amp; GC'!$B$13)</f>
        <v>V - A/C Commissioning</v>
      </c>
      <c r="C229" s="28" t="n">
        <f aca="false">'SUBS &amp; GC'!$O$13*$P$167</f>
        <v>0</v>
      </c>
      <c r="D229" s="19" t="n">
        <f aca="false">IFERROR(C229/$C$4,0)</f>
        <v>0</v>
      </c>
      <c r="E229" s="49"/>
      <c r="F229" s="19" t="n">
        <f aca="false">IFERROR(E229/C229,0)</f>
        <v>0</v>
      </c>
      <c r="G229" s="28" t="n">
        <f aca="false">C229-E229</f>
        <v>0</v>
      </c>
      <c r="H229" s="28" t="n">
        <f aca="false">E229*INPUTS!$C$29</f>
        <v>0</v>
      </c>
      <c r="J229" s="24"/>
      <c r="K229" s="24"/>
      <c r="L229" s="28" t="n">
        <f aca="false">'SUBS &amp; GC'!$O$13</f>
        <v>0</v>
      </c>
      <c r="M229" s="24"/>
      <c r="N229" s="24"/>
    </row>
    <row r="230" customFormat="false" ht="15" hidden="false" customHeight="false" outlineLevel="0" collapsed="false">
      <c r="A230" s="24" t="s">
        <v>721</v>
      </c>
      <c r="B230" s="24" t="str">
        <f aca="false">IF('SUBS &amp; GC'!$B$14="","","V - "&amp;'SUBS &amp; GC'!$B$14)</f>
        <v>V - Canning / Piping Plans</v>
      </c>
      <c r="C230" s="28" t="n">
        <f aca="false">'SUBS &amp; GC'!$O$14*$P$167</f>
        <v>0</v>
      </c>
      <c r="D230" s="19" t="n">
        <f aca="false">IFERROR(C230/$C$4,0)</f>
        <v>0</v>
      </c>
      <c r="E230" s="49"/>
      <c r="F230" s="19" t="n">
        <f aca="false">IFERROR(E230/C230,0)</f>
        <v>0</v>
      </c>
      <c r="G230" s="28" t="n">
        <f aca="false">C230-E230</f>
        <v>0</v>
      </c>
      <c r="H230" s="28" t="n">
        <f aca="false">E230*INPUTS!$C$29</f>
        <v>0</v>
      </c>
      <c r="J230" s="24"/>
      <c r="K230" s="24"/>
      <c r="L230" s="28" t="n">
        <f aca="false">'SUBS &amp; GC'!$O$14</f>
        <v>0</v>
      </c>
      <c r="M230" s="24"/>
      <c r="N230" s="24"/>
    </row>
    <row r="231" customFormat="false" ht="15" hidden="false" customHeight="false" outlineLevel="0" collapsed="false">
      <c r="A231" s="24" t="s">
        <v>722</v>
      </c>
      <c r="B231" s="24" t="str">
        <f aca="false">IF('SUBS &amp; GC'!$B$15="","","V - "&amp;'SUBS &amp; GC'!$B$15)</f>
        <v>V - Coring / Scanning</v>
      </c>
      <c r="C231" s="28" t="n">
        <f aca="false">'SUBS &amp; GC'!$O$15*$P$167</f>
        <v>0</v>
      </c>
      <c r="D231" s="19" t="n">
        <f aca="false">IFERROR(C231/$C$4,0)</f>
        <v>0</v>
      </c>
      <c r="E231" s="49"/>
      <c r="F231" s="19" t="n">
        <f aca="false">IFERROR(E231/C231,0)</f>
        <v>0</v>
      </c>
      <c r="G231" s="28" t="n">
        <f aca="false">C231-E231</f>
        <v>0</v>
      </c>
      <c r="H231" s="28" t="n">
        <f aca="false">E231*INPUTS!$C$29</f>
        <v>0</v>
      </c>
      <c r="J231" s="24"/>
      <c r="K231" s="24"/>
      <c r="L231" s="28" t="n">
        <f aca="false">'SUBS &amp; GC'!$O$15</f>
        <v>0</v>
      </c>
      <c r="M231" s="24"/>
      <c r="N231" s="24"/>
    </row>
    <row r="232" customFormat="false" ht="15" hidden="false" customHeight="false" outlineLevel="0" collapsed="false">
      <c r="A232" s="24" t="s">
        <v>723</v>
      </c>
      <c r="B232" s="24" t="str">
        <f aca="false">IF('SUBS &amp; GC'!$B$16="","","V - "&amp;'SUBS &amp; GC'!$B$16)</f>
        <v>V - Fixtures Caulking</v>
      </c>
      <c r="C232" s="28" t="n">
        <f aca="false">'SUBS &amp; GC'!$O$16*$P$167</f>
        <v>0</v>
      </c>
      <c r="D232" s="19" t="n">
        <f aca="false">IFERROR(C232/$C$4,0)</f>
        <v>0</v>
      </c>
      <c r="E232" s="49"/>
      <c r="F232" s="19" t="n">
        <f aca="false">IFERROR(E232/C232,0)</f>
        <v>0</v>
      </c>
      <c r="G232" s="28" t="n">
        <f aca="false">C232-E232</f>
        <v>0</v>
      </c>
      <c r="H232" s="28" t="n">
        <f aca="false">E232*INPUTS!$C$29</f>
        <v>0</v>
      </c>
      <c r="J232" s="24"/>
      <c r="K232" s="24"/>
      <c r="L232" s="28" t="n">
        <f aca="false">'SUBS &amp; GC'!$O$16</f>
        <v>0</v>
      </c>
      <c r="M232" s="24"/>
      <c r="N232" s="24"/>
    </row>
    <row r="233" customFormat="false" ht="15" hidden="false" customHeight="false" outlineLevel="0" collapsed="false">
      <c r="A233" s="24" t="s">
        <v>724</v>
      </c>
      <c r="B233" s="24" t="str">
        <f aca="false">IF('SUBS &amp; GC'!$B$17="","","V - "&amp;'SUBS &amp; GC'!$B$17)</f>
        <v>V - Water Balancing</v>
      </c>
      <c r="C233" s="28" t="n">
        <f aca="false">'SUBS &amp; GC'!$O$17*$P$167</f>
        <v>0</v>
      </c>
      <c r="D233" s="19" t="n">
        <f aca="false">IFERROR(C233/$C$4,0)</f>
        <v>0</v>
      </c>
      <c r="E233" s="49"/>
      <c r="F233" s="19" t="n">
        <f aca="false">IFERROR(E233/C233,0)</f>
        <v>0</v>
      </c>
      <c r="G233" s="28" t="n">
        <f aca="false">C233-E233</f>
        <v>0</v>
      </c>
      <c r="H233" s="28" t="n">
        <f aca="false">E233*INPUTS!$C$29</f>
        <v>0</v>
      </c>
      <c r="J233" s="24"/>
      <c r="K233" s="24"/>
      <c r="L233" s="28" t="n">
        <f aca="false">'SUBS &amp; GC'!$O$17</f>
        <v>0</v>
      </c>
      <c r="M233" s="24"/>
      <c r="N233" s="24"/>
    </row>
    <row r="234" customFormat="false" ht="15" hidden="false" customHeight="false" outlineLevel="0" collapsed="false">
      <c r="A234" s="24" t="s">
        <v>725</v>
      </c>
      <c r="B234" s="24" t="str">
        <f aca="false">IF('SUBS &amp; GC'!$B$18="","","V - "&amp;'SUBS &amp; GC'!$B$18)</f>
        <v>V - Sump Pumps</v>
      </c>
      <c r="C234" s="28" t="n">
        <f aca="false">'SUBS &amp; GC'!$O$18*$P$167</f>
        <v>0</v>
      </c>
      <c r="D234" s="19" t="n">
        <f aca="false">IFERROR(C234/$C$4,0)</f>
        <v>0</v>
      </c>
      <c r="E234" s="49"/>
      <c r="F234" s="19" t="n">
        <f aca="false">IFERROR(E234/C234,0)</f>
        <v>0</v>
      </c>
      <c r="G234" s="28" t="n">
        <f aca="false">C234-E234</f>
        <v>0</v>
      </c>
      <c r="H234" s="28" t="n">
        <f aca="false">E234*INPUTS!$C$29</f>
        <v>0</v>
      </c>
      <c r="J234" s="24"/>
      <c r="K234" s="24"/>
      <c r="L234" s="28" t="n">
        <f aca="false">'SUBS &amp; GC'!$O$18</f>
        <v>0</v>
      </c>
      <c r="M234" s="24"/>
      <c r="N234" s="24"/>
    </row>
    <row r="235" customFormat="false" ht="15" hidden="false" customHeight="false" outlineLevel="0" collapsed="false">
      <c r="A235" s="24" t="s">
        <v>726</v>
      </c>
      <c r="B235" s="24" t="str">
        <f aca="false">IF('SUBS &amp; GC'!$B$19="","","V - "&amp;'SUBS &amp; GC'!$B$19)</f>
        <v>V - Chemical Treatment</v>
      </c>
      <c r="C235" s="28" t="n">
        <f aca="false">'SUBS &amp; GC'!$O$19*$P$167</f>
        <v>0</v>
      </c>
      <c r="D235" s="19" t="n">
        <f aca="false">IFERROR(C235/$C$4,0)</f>
        <v>0</v>
      </c>
      <c r="E235" s="49"/>
      <c r="F235" s="19" t="n">
        <f aca="false">IFERROR(E235/C235,0)</f>
        <v>0</v>
      </c>
      <c r="G235" s="28" t="n">
        <f aca="false">C235-E235</f>
        <v>0</v>
      </c>
      <c r="H235" s="28" t="n">
        <f aca="false">E235*INPUTS!$C$29</f>
        <v>0</v>
      </c>
      <c r="J235" s="24"/>
      <c r="K235" s="24"/>
      <c r="L235" s="28" t="n">
        <f aca="false">'SUBS &amp; GC'!$O$19</f>
        <v>0</v>
      </c>
      <c r="M235" s="24"/>
      <c r="N235" s="24"/>
    </row>
    <row r="236" customFormat="false" ht="15" hidden="false" customHeight="false" outlineLevel="0" collapsed="false">
      <c r="A236" s="24" t="s">
        <v>727</v>
      </c>
      <c r="B236" s="24" t="str">
        <f aca="false">IF('SUBS &amp; GC'!$B$20="","","V - "&amp;'SUBS &amp; GC'!$B$20)</f>
        <v>V - P&amp;H Seismic / Schedule</v>
      </c>
      <c r="C236" s="28" t="n">
        <f aca="false">'SUBS &amp; GC'!$O$20*$P$167</f>
        <v>0</v>
      </c>
      <c r="D236" s="19" t="n">
        <f aca="false">IFERROR(C236/$C$4,0)</f>
        <v>0</v>
      </c>
      <c r="E236" s="49"/>
      <c r="F236" s="19" t="n">
        <f aca="false">IFERROR(E236/C236,0)</f>
        <v>0</v>
      </c>
      <c r="G236" s="28" t="n">
        <f aca="false">C236-E236</f>
        <v>0</v>
      </c>
      <c r="H236" s="28" t="n">
        <f aca="false">E236*INPUTS!$C$29</f>
        <v>0</v>
      </c>
      <c r="J236" s="24"/>
      <c r="K236" s="24"/>
      <c r="L236" s="28" t="n">
        <f aca="false">'SUBS &amp; GC'!$O$20</f>
        <v>0</v>
      </c>
      <c r="M236" s="24"/>
      <c r="N236" s="24"/>
    </row>
    <row r="237" customFormat="false" ht="15" hidden="false" customHeight="false" outlineLevel="0" collapsed="false">
      <c r="A237" s="24" t="s">
        <v>728</v>
      </c>
      <c r="B237" s="24" t="str">
        <f aca="false">IF('SUBS &amp; GC'!$B$21="","","V - "&amp;'SUBS &amp; GC'!$B$21)</f>
        <v>V - HVAC Seismic / Schedule</v>
      </c>
      <c r="C237" s="28" t="n">
        <f aca="false">'SUBS &amp; GC'!$O$21*$P$167</f>
        <v>0</v>
      </c>
      <c r="D237" s="19" t="n">
        <f aca="false">IFERROR(C237/$C$4,0)</f>
        <v>0</v>
      </c>
      <c r="E237" s="49"/>
      <c r="F237" s="19" t="n">
        <f aca="false">IFERROR(E237/C237,0)</f>
        <v>0</v>
      </c>
      <c r="G237" s="28" t="n">
        <f aca="false">C237-E237</f>
        <v>0</v>
      </c>
      <c r="H237" s="28" t="n">
        <f aca="false">E237*INPUTS!$C$29</f>
        <v>0</v>
      </c>
      <c r="J237" s="24"/>
      <c r="K237" s="24"/>
      <c r="L237" s="28" t="n">
        <f aca="false">'SUBS &amp; GC'!$O$21</f>
        <v>0</v>
      </c>
      <c r="M237" s="24"/>
      <c r="N237" s="24"/>
    </row>
    <row r="238" customFormat="false" ht="15" hidden="false" customHeight="false" outlineLevel="0" collapsed="false">
      <c r="A238" s="24" t="s">
        <v>729</v>
      </c>
      <c r="B238" s="24" t="str">
        <f aca="false">IF('SUBS &amp; GC'!$B$22="","","V - "&amp;'SUBS &amp; GC'!$B$22)</f>
        <v>V - As-built Drawings</v>
      </c>
      <c r="C238" s="28" t="n">
        <f aca="false">'SUBS &amp; GC'!$O$22*$P$167</f>
        <v>0</v>
      </c>
      <c r="D238" s="19" t="n">
        <f aca="false">IFERROR(C238/$C$4,0)</f>
        <v>0</v>
      </c>
      <c r="E238" s="49"/>
      <c r="F238" s="19" t="n">
        <f aca="false">IFERROR(E238/C238,0)</f>
        <v>0</v>
      </c>
      <c r="G238" s="28" t="n">
        <f aca="false">C238-E238</f>
        <v>0</v>
      </c>
      <c r="H238" s="28" t="n">
        <f aca="false">E238*INPUTS!$C$29</f>
        <v>0</v>
      </c>
      <c r="J238" s="24"/>
      <c r="K238" s="24"/>
      <c r="L238" s="28" t="n">
        <f aca="false">'SUBS &amp; GC'!$O$22</f>
        <v>0</v>
      </c>
      <c r="M238" s="24"/>
      <c r="N238" s="24"/>
    </row>
    <row r="239" customFormat="false" ht="15" hidden="false" customHeight="false" outlineLevel="0" collapsed="false">
      <c r="A239" s="24" t="s">
        <v>730</v>
      </c>
      <c r="B239" s="24" t="str">
        <f aca="false">IF('SUBS &amp; GC'!$B$23="","","V - "&amp;'SUBS &amp; GC'!$B$23)</f>
        <v>V - O&amp;M Manuals</v>
      </c>
      <c r="C239" s="28" t="n">
        <f aca="false">'SUBS &amp; GC'!$O$23*$P$167</f>
        <v>0</v>
      </c>
      <c r="D239" s="19" t="n">
        <f aca="false">IFERROR(C239/$C$4,0)</f>
        <v>0</v>
      </c>
      <c r="E239" s="49"/>
      <c r="F239" s="19" t="n">
        <f aca="false">IFERROR(E239/C239,0)</f>
        <v>0</v>
      </c>
      <c r="G239" s="28" t="n">
        <f aca="false">C239-E239</f>
        <v>0</v>
      </c>
      <c r="H239" s="28" t="n">
        <f aca="false">E239*INPUTS!$C$29</f>
        <v>0</v>
      </c>
      <c r="J239" s="24"/>
      <c r="K239" s="24"/>
      <c r="L239" s="28" t="n">
        <f aca="false">'SUBS &amp; GC'!$O$23</f>
        <v>0</v>
      </c>
      <c r="M239" s="24"/>
      <c r="N239" s="24"/>
    </row>
    <row r="240" customFormat="false" ht="15" hidden="false" customHeight="false" outlineLevel="0" collapsed="false">
      <c r="A240" s="24" t="s">
        <v>731</v>
      </c>
      <c r="B240" s="24" t="str">
        <f aca="false">IF('SUBS &amp; GC'!$B$24="","","V - "&amp;'SUBS &amp; GC'!$B$24)</f>
        <v>V - Plumbing Bond</v>
      </c>
      <c r="C240" s="28" t="n">
        <f aca="false">'SUBS &amp; GC'!$O$24*$P$167</f>
        <v>0</v>
      </c>
      <c r="D240" s="19" t="n">
        <f aca="false">IFERROR(C240/$C$4,0)</f>
        <v>0</v>
      </c>
      <c r="E240" s="49"/>
      <c r="F240" s="19" t="n">
        <f aca="false">IFERROR(E240/C240,0)</f>
        <v>0</v>
      </c>
      <c r="G240" s="28" t="n">
        <f aca="false">C240-E240</f>
        <v>0</v>
      </c>
      <c r="H240" s="28" t="n">
        <f aca="false">E240*INPUTS!$C$29</f>
        <v>0</v>
      </c>
      <c r="J240" s="24"/>
      <c r="K240" s="24"/>
      <c r="L240" s="28" t="n">
        <f aca="false">'SUBS &amp; GC'!$O$24</f>
        <v>0</v>
      </c>
      <c r="M240" s="24"/>
      <c r="N240" s="24"/>
    </row>
    <row r="241" customFormat="false" ht="15" hidden="false" customHeight="false" outlineLevel="0" collapsed="false">
      <c r="A241" s="24" t="s">
        <v>732</v>
      </c>
      <c r="B241" s="24" t="str">
        <f aca="false">IF('SUBS &amp; GC'!$B$25="","","V - "&amp;'SUBS &amp; GC'!$B$25)</f>
        <v>V - HVAC Bond</v>
      </c>
      <c r="C241" s="28" t="n">
        <f aca="false">'SUBS &amp; GC'!$O$25*$P$167</f>
        <v>0</v>
      </c>
      <c r="D241" s="19" t="n">
        <f aca="false">IFERROR(C241/$C$4,0)</f>
        <v>0</v>
      </c>
      <c r="E241" s="49"/>
      <c r="F241" s="19" t="n">
        <f aca="false">IFERROR(E241/C241,0)</f>
        <v>0</v>
      </c>
      <c r="G241" s="28" t="n">
        <f aca="false">C241-E241</f>
        <v>0</v>
      </c>
      <c r="H241" s="28" t="n">
        <f aca="false">E241*INPUTS!$C$29</f>
        <v>0</v>
      </c>
      <c r="J241" s="24"/>
      <c r="K241" s="24"/>
      <c r="L241" s="28" t="n">
        <f aca="false">'SUBS &amp; GC'!$O$25</f>
        <v>0</v>
      </c>
      <c r="M241" s="24"/>
      <c r="N241" s="24"/>
    </row>
    <row r="242" customFormat="false" ht="15" hidden="false" customHeight="false" outlineLevel="0" collapsed="false">
      <c r="A242" s="24" t="s">
        <v>733</v>
      </c>
      <c r="B242" s="24" t="str">
        <f aca="false">IF('SUBS &amp; GC'!$B$26="","","V - "&amp;'SUBS &amp; GC'!$B$26)</f>
        <v>V - Welding</v>
      </c>
      <c r="C242" s="28" t="n">
        <f aca="false">'SUBS &amp; GC'!$O$26*$P$167</f>
        <v>0</v>
      </c>
      <c r="D242" s="19" t="n">
        <f aca="false">IFERROR(C242/$C$4,0)</f>
        <v>0</v>
      </c>
      <c r="E242" s="49"/>
      <c r="F242" s="19" t="n">
        <f aca="false">IFERROR(E242/C242,0)</f>
        <v>0</v>
      </c>
      <c r="G242" s="28" t="n">
        <f aca="false">C242-E242</f>
        <v>0</v>
      </c>
      <c r="H242" s="28" t="n">
        <f aca="false">E242*INPUTS!$C$29</f>
        <v>0</v>
      </c>
      <c r="J242" s="24"/>
      <c r="K242" s="24"/>
      <c r="L242" s="28" t="n">
        <f aca="false">'SUBS &amp; GC'!$O$26</f>
        <v>0</v>
      </c>
      <c r="M242" s="24"/>
      <c r="N242" s="24"/>
    </row>
    <row r="243" customFormat="false" ht="15" hidden="false" customHeight="false" outlineLevel="0" collapsed="false">
      <c r="A243" s="24" t="s">
        <v>734</v>
      </c>
      <c r="B243" s="24" t="str">
        <f aca="false">IF('SUBS &amp; GC'!$B$27="","","V - "&amp;'SUBS &amp; GC'!$B$27)</f>
        <v>V - Gas Service / Other</v>
      </c>
      <c r="C243" s="28" t="n">
        <f aca="false">'SUBS &amp; GC'!$O$27*$P$167</f>
        <v>0</v>
      </c>
      <c r="D243" s="19" t="n">
        <f aca="false">IFERROR(C243/$C$4,0)</f>
        <v>0</v>
      </c>
      <c r="E243" s="49"/>
      <c r="F243" s="19" t="n">
        <f aca="false">IFERROR(E243/C243,0)</f>
        <v>0</v>
      </c>
      <c r="G243" s="28" t="n">
        <f aca="false">C243-E243</f>
        <v>0</v>
      </c>
      <c r="H243" s="28" t="n">
        <f aca="false">E243*INPUTS!$C$29</f>
        <v>0</v>
      </c>
      <c r="J243" s="24"/>
      <c r="K243" s="24"/>
      <c r="L243" s="28" t="n">
        <f aca="false">'SUBS &amp; GC'!$O$27</f>
        <v>0</v>
      </c>
      <c r="M243" s="24"/>
      <c r="N243" s="24"/>
    </row>
    <row r="244" customFormat="false" ht="15" hidden="false" customHeight="false" outlineLevel="0" collapsed="false">
      <c r="A244" s="24" t="s">
        <v>735</v>
      </c>
      <c r="B244" s="24" t="str">
        <f aca="false">IF('SUBS &amp; GC'!$B$28="","","V - "&amp;'SUBS &amp; GC'!$B$28)</f>
        <v/>
      </c>
      <c r="C244" s="28" t="n">
        <f aca="false">'SUBS &amp; GC'!$O$28*$P$167</f>
        <v>0</v>
      </c>
      <c r="D244" s="19" t="n">
        <f aca="false">IFERROR(C244/$C$4,0)</f>
        <v>0</v>
      </c>
      <c r="E244" s="49"/>
      <c r="F244" s="19" t="n">
        <f aca="false">IFERROR(E244/C244,0)</f>
        <v>0</v>
      </c>
      <c r="G244" s="28" t="n">
        <f aca="false">C244-E244</f>
        <v>0</v>
      </c>
      <c r="H244" s="28" t="n">
        <f aca="false">E244*INPUTS!$C$29</f>
        <v>0</v>
      </c>
      <c r="J244" s="24"/>
      <c r="K244" s="24"/>
      <c r="L244" s="28" t="n">
        <f aca="false">'SUBS &amp; GC'!$O$28</f>
        <v>0</v>
      </c>
      <c r="M244" s="24"/>
      <c r="N244" s="24"/>
    </row>
    <row r="246" customFormat="false" ht="15" hidden="false" customHeight="false" outlineLevel="0" collapsed="false">
      <c r="A246" s="73" t="s">
        <v>106</v>
      </c>
      <c r="B246" s="73" t="str">
        <f aca="false">UPPER(INPUTS!B36)</f>
        <v>AIR CONDITIONING</v>
      </c>
      <c r="C246" s="74" t="n">
        <f aca="false">SUM(C247:C323)</f>
        <v>0</v>
      </c>
      <c r="D246" s="75" t="n">
        <f aca="false">IFERROR(C246/$C$4,0)</f>
        <v>0</v>
      </c>
      <c r="E246" s="74" t="n">
        <f aca="false">SUM(E247:E323)</f>
        <v>0</v>
      </c>
      <c r="G246" s="74" t="n">
        <f aca="false">SUM(G247:G323)</f>
        <v>0</v>
      </c>
      <c r="H246" s="74" t="n">
        <f aca="false">SUM(H247:H323)</f>
        <v>0</v>
      </c>
      <c r="J246" s="74" t="n">
        <f aca="false">SUM(J247:J323)</f>
        <v>0</v>
      </c>
      <c r="K246" s="74" t="n">
        <f aca="false">SUM(K247:K323)</f>
        <v>0</v>
      </c>
      <c r="L246" s="74" t="n">
        <f aca="false">SUM(L247:L323)</f>
        <v>0</v>
      </c>
      <c r="M246" s="74" t="n">
        <f aca="false">SUM(M247:M323)</f>
        <v>0</v>
      </c>
      <c r="N246" s="76" t="n">
        <f aca="false">SUM(N247:N323)</f>
        <v>0</v>
      </c>
      <c r="P246" s="77" t="n">
        <f aca="false">IFERROR('BID SUMMARY'!N9/(BUDGET!$J$73+BUDGET!$J$74+BUDGET!$J$75+BUDGET!$J$76+BUDGET!$J$77+BUDGET!$J$78+BUDGET!$J$79+BUDGET!$J$80+BUDGET!$J$81),0)</f>
        <v>0</v>
      </c>
    </row>
    <row r="247" customFormat="false" ht="15" hidden="false" customHeight="false" outlineLevel="0" collapsed="false">
      <c r="A247" s="24" t="s">
        <v>736</v>
      </c>
      <c r="B247" s="24" t="str">
        <f aca="false">"AC - "&amp;MID(INPUTS!$B$67,4,80)</f>
        <v>AC - Shop Drawings, Permits &amp; Mobilization</v>
      </c>
      <c r="C247" s="28" t="n">
        <f aca="false">(BUDGET!$J$73-BUDGET!$G$73)*$P$246</f>
        <v>0</v>
      </c>
      <c r="D247" s="19" t="n">
        <f aca="false">IFERROR(C247/$C$4,0)</f>
        <v>0</v>
      </c>
      <c r="E247" s="49"/>
      <c r="F247" s="19" t="n">
        <f aca="false">IFERROR(E247/C247,0)</f>
        <v>0</v>
      </c>
      <c r="G247" s="28" t="n">
        <f aca="false">C247-E247</f>
        <v>0</v>
      </c>
      <c r="H247" s="28" t="n">
        <f aca="false">E247*INPUTS!$C$29</f>
        <v>0</v>
      </c>
      <c r="J247" s="28" t="n">
        <f aca="false">BUDGET!$F$73</f>
        <v>0</v>
      </c>
      <c r="K247" s="28" t="n">
        <f aca="false">BUDGET!$D$73</f>
        <v>0</v>
      </c>
      <c r="L247" s="24"/>
      <c r="M247" s="28" t="n">
        <f aca="false">BUDGET!$H$73</f>
        <v>0</v>
      </c>
      <c r="N247" s="13" t="n">
        <f aca="false">BUDGET!$C$73</f>
        <v>0</v>
      </c>
    </row>
    <row r="248" customFormat="false" ht="15" hidden="false" customHeight="false" outlineLevel="0" collapsed="false">
      <c r="A248" s="24" t="s">
        <v>737</v>
      </c>
      <c r="B248" s="24" t="str">
        <f aca="false">"AC - "&amp;MID(INPUTS!$B$68,4,80)</f>
        <v>AC - Foundation &amp; Underground</v>
      </c>
      <c r="C248" s="28" t="n">
        <f aca="false">(BUDGET!$J$74-BUDGET!$G$74)*$P$246</f>
        <v>0</v>
      </c>
      <c r="D248" s="19" t="n">
        <f aca="false">IFERROR(C248/$C$4,0)</f>
        <v>0</v>
      </c>
      <c r="E248" s="49"/>
      <c r="F248" s="19" t="n">
        <f aca="false">IFERROR(E248/C248,0)</f>
        <v>0</v>
      </c>
      <c r="G248" s="28" t="n">
        <f aca="false">C248-E248</f>
        <v>0</v>
      </c>
      <c r="H248" s="28" t="n">
        <f aca="false">E248*INPUTS!$C$29</f>
        <v>0</v>
      </c>
      <c r="J248" s="28" t="n">
        <f aca="false">BUDGET!$F$74</f>
        <v>0</v>
      </c>
      <c r="K248" s="28" t="n">
        <f aca="false">BUDGET!$D$74</f>
        <v>0</v>
      </c>
      <c r="L248" s="24"/>
      <c r="M248" s="28" t="n">
        <f aca="false">BUDGET!$H$74</f>
        <v>0</v>
      </c>
      <c r="N248" s="13" t="n">
        <f aca="false">BUDGET!$C$74</f>
        <v>0</v>
      </c>
    </row>
    <row r="249" customFormat="false" ht="15" hidden="false" customHeight="false" outlineLevel="0" collapsed="false">
      <c r="A249" s="24" t="s">
        <v>738</v>
      </c>
      <c r="B249" s="24" t="str">
        <f aca="false">IF(INPUTS!$B$40="","","AC - "&amp;INPUTS!$B$40&amp;" "&amp;INPUTS!$B$36&amp;" Rough-in (Labour)")</f>
        <v>AC - U/G Air Conditioning Rough-in (Labour)</v>
      </c>
      <c r="C249" s="28" t="n">
        <f aca="false">(BUDGET!$J$75-BUDGET!$G$75)*INPUTS!$E$40*$P$246</f>
        <v>0</v>
      </c>
      <c r="D249" s="19" t="n">
        <f aca="false">IFERROR(C249/$C$4,0)</f>
        <v>0</v>
      </c>
      <c r="E249" s="49"/>
      <c r="F249" s="19" t="n">
        <f aca="false">IFERROR(E249/C249,0)</f>
        <v>0</v>
      </c>
      <c r="G249" s="28" t="n">
        <f aca="false">C249-E249</f>
        <v>0</v>
      </c>
      <c r="H249" s="28" t="n">
        <f aca="false">E249*INPUTS!$C$29</f>
        <v>0</v>
      </c>
      <c r="J249" s="24"/>
      <c r="K249" s="28" t="n">
        <f aca="false">BUDGET!$D$75*INPUTS!$E$40</f>
        <v>0</v>
      </c>
      <c r="L249" s="24"/>
      <c r="M249" s="28" t="n">
        <f aca="false">BUDGET!$H$75*INPUTS!$E$40</f>
        <v>0</v>
      </c>
      <c r="N249" s="13" t="n">
        <f aca="false">BUDGET!$C$75*INPUTS!$E$40</f>
        <v>0</v>
      </c>
    </row>
    <row r="250" customFormat="false" ht="15" hidden="false" customHeight="false" outlineLevel="0" collapsed="false">
      <c r="A250" s="24" t="s">
        <v>739</v>
      </c>
      <c r="B250" s="24" t="str">
        <f aca="false">IF(INPUTS!$B$41="","","AC - "&amp;INPUTS!$B$41&amp;" "&amp;INPUTS!$B$36&amp;" Rough-in (Labour)")</f>
        <v>AC - P-02 Air Conditioning Rough-in (Labour)</v>
      </c>
      <c r="C250" s="28" t="n">
        <f aca="false">(BUDGET!$J$75-BUDGET!$G$75)*INPUTS!$E$41*$P$246</f>
        <v>0</v>
      </c>
      <c r="D250" s="19" t="n">
        <f aca="false">IFERROR(C250/$C$4,0)</f>
        <v>0</v>
      </c>
      <c r="E250" s="49"/>
      <c r="F250" s="19" t="n">
        <f aca="false">IFERROR(E250/C250,0)</f>
        <v>0</v>
      </c>
      <c r="G250" s="28" t="n">
        <f aca="false">C250-E250</f>
        <v>0</v>
      </c>
      <c r="H250" s="28" t="n">
        <f aca="false">E250*INPUTS!$C$29</f>
        <v>0</v>
      </c>
      <c r="J250" s="24"/>
      <c r="K250" s="28" t="n">
        <f aca="false">BUDGET!$D$75*INPUTS!$E$41</f>
        <v>0</v>
      </c>
      <c r="L250" s="24"/>
      <c r="M250" s="28" t="n">
        <f aca="false">BUDGET!$H$75*INPUTS!$E$41</f>
        <v>0</v>
      </c>
      <c r="N250" s="13" t="n">
        <f aca="false">BUDGET!$C$75*INPUTS!$E$41</f>
        <v>0</v>
      </c>
    </row>
    <row r="251" customFormat="false" ht="15" hidden="false" customHeight="false" outlineLevel="0" collapsed="false">
      <c r="A251" s="24" t="s">
        <v>740</v>
      </c>
      <c r="B251" s="24" t="str">
        <f aca="false">IF(INPUTS!$B$42="","","AC - "&amp;INPUTS!$B$42&amp;" "&amp;INPUTS!$B$36&amp;" Rough-in (Labour)")</f>
        <v>AC - PRKG Air Conditioning Rough-in (Labour)</v>
      </c>
      <c r="C251" s="28" t="n">
        <f aca="false">(BUDGET!$J$75-BUDGET!$G$75)*INPUTS!$E$42*$P$246</f>
        <v>0</v>
      </c>
      <c r="D251" s="19" t="n">
        <f aca="false">IFERROR(C251/$C$4,0)</f>
        <v>0</v>
      </c>
      <c r="E251" s="49"/>
      <c r="F251" s="19" t="n">
        <f aca="false">IFERROR(E251/C251,0)</f>
        <v>0</v>
      </c>
      <c r="G251" s="28" t="n">
        <f aca="false">C251-E251</f>
        <v>0</v>
      </c>
      <c r="H251" s="28" t="n">
        <f aca="false">E251*INPUTS!$C$29</f>
        <v>0</v>
      </c>
      <c r="J251" s="24"/>
      <c r="K251" s="28" t="n">
        <f aca="false">BUDGET!$D$75*INPUTS!$E$42</f>
        <v>0</v>
      </c>
      <c r="L251" s="24"/>
      <c r="M251" s="28" t="n">
        <f aca="false">BUDGET!$H$75*INPUTS!$E$42</f>
        <v>0</v>
      </c>
      <c r="N251" s="13" t="n">
        <f aca="false">BUDGET!$C$75*INPUTS!$E$42</f>
        <v>0</v>
      </c>
    </row>
    <row r="252" customFormat="false" ht="15" hidden="false" customHeight="false" outlineLevel="0" collapsed="false">
      <c r="A252" s="24" t="s">
        <v>741</v>
      </c>
      <c r="B252" s="24" t="str">
        <f aca="false">IF(INPUTS!$B$43="","","AC - "&amp;INPUTS!$B$43&amp;" "&amp;INPUTS!$B$36&amp;" Rough-in (Labour)")</f>
        <v>AC - L-01 Air Conditioning Rough-in (Labour)</v>
      </c>
      <c r="C252" s="28" t="n">
        <f aca="false">(BUDGET!$J$75-BUDGET!$G$75)*INPUTS!$E$43*$P$246</f>
        <v>0</v>
      </c>
      <c r="D252" s="19" t="n">
        <f aca="false">IFERROR(C252/$C$4,0)</f>
        <v>0</v>
      </c>
      <c r="E252" s="49"/>
      <c r="F252" s="19" t="n">
        <f aca="false">IFERROR(E252/C252,0)</f>
        <v>0</v>
      </c>
      <c r="G252" s="28" t="n">
        <f aca="false">C252-E252</f>
        <v>0</v>
      </c>
      <c r="H252" s="28" t="n">
        <f aca="false">E252*INPUTS!$C$29</f>
        <v>0</v>
      </c>
      <c r="J252" s="24"/>
      <c r="K252" s="28" t="n">
        <f aca="false">BUDGET!$D$75*INPUTS!$E$43</f>
        <v>0</v>
      </c>
      <c r="L252" s="24"/>
      <c r="M252" s="28" t="n">
        <f aca="false">BUDGET!$H$75*INPUTS!$E$43</f>
        <v>0</v>
      </c>
      <c r="N252" s="13" t="n">
        <f aca="false">BUDGET!$C$75*INPUTS!$E$43</f>
        <v>0</v>
      </c>
    </row>
    <row r="253" customFormat="false" ht="15" hidden="false" customHeight="false" outlineLevel="0" collapsed="false">
      <c r="A253" s="24" t="s">
        <v>742</v>
      </c>
      <c r="B253" s="24" t="str">
        <f aca="false">IF(INPUTS!$B$44="","","AC - "&amp;INPUTS!$B$44&amp;" "&amp;INPUTS!$B$36&amp;" Rough-in (Labour)")</f>
        <v>AC - L-02 Air Conditioning Rough-in (Labour)</v>
      </c>
      <c r="C253" s="28" t="n">
        <f aca="false">(BUDGET!$J$75-BUDGET!$G$75)*INPUTS!$E$44*$P$246</f>
        <v>0</v>
      </c>
      <c r="D253" s="19" t="n">
        <f aca="false">IFERROR(C253/$C$4,0)</f>
        <v>0</v>
      </c>
      <c r="E253" s="49"/>
      <c r="F253" s="19" t="n">
        <f aca="false">IFERROR(E253/C253,0)</f>
        <v>0</v>
      </c>
      <c r="G253" s="28" t="n">
        <f aca="false">C253-E253</f>
        <v>0</v>
      </c>
      <c r="H253" s="28" t="n">
        <f aca="false">E253*INPUTS!$C$29</f>
        <v>0</v>
      </c>
      <c r="J253" s="24"/>
      <c r="K253" s="28" t="n">
        <f aca="false">BUDGET!$D$75*INPUTS!$E$44</f>
        <v>0</v>
      </c>
      <c r="L253" s="24"/>
      <c r="M253" s="28" t="n">
        <f aca="false">BUDGET!$H$75*INPUTS!$E$44</f>
        <v>0</v>
      </c>
      <c r="N253" s="13" t="n">
        <f aca="false">BUDGET!$C$75*INPUTS!$E$44</f>
        <v>0</v>
      </c>
    </row>
    <row r="254" customFormat="false" ht="15" hidden="false" customHeight="false" outlineLevel="0" collapsed="false">
      <c r="A254" s="24" t="s">
        <v>743</v>
      </c>
      <c r="B254" s="24" t="str">
        <f aca="false">IF(INPUTS!$B$45="","","AC - "&amp;INPUTS!$B$45&amp;" "&amp;INPUTS!$B$36&amp;" Rough-in (Labour)")</f>
        <v>AC - L-03 Air Conditioning Rough-in (Labour)</v>
      </c>
      <c r="C254" s="28" t="n">
        <f aca="false">(BUDGET!$J$75-BUDGET!$G$75)*INPUTS!$E$45*$P$246</f>
        <v>0</v>
      </c>
      <c r="D254" s="19" t="n">
        <f aca="false">IFERROR(C254/$C$4,0)</f>
        <v>0</v>
      </c>
      <c r="E254" s="49"/>
      <c r="F254" s="19" t="n">
        <f aca="false">IFERROR(E254/C254,0)</f>
        <v>0</v>
      </c>
      <c r="G254" s="28" t="n">
        <f aca="false">C254-E254</f>
        <v>0</v>
      </c>
      <c r="H254" s="28" t="n">
        <f aca="false">E254*INPUTS!$C$29</f>
        <v>0</v>
      </c>
      <c r="J254" s="24"/>
      <c r="K254" s="28" t="n">
        <f aca="false">BUDGET!$D$75*INPUTS!$E$45</f>
        <v>0</v>
      </c>
      <c r="L254" s="24"/>
      <c r="M254" s="28" t="n">
        <f aca="false">BUDGET!$H$75*INPUTS!$E$45</f>
        <v>0</v>
      </c>
      <c r="N254" s="13" t="n">
        <f aca="false">BUDGET!$C$75*INPUTS!$E$45</f>
        <v>0</v>
      </c>
    </row>
    <row r="255" customFormat="false" ht="15" hidden="false" customHeight="false" outlineLevel="0" collapsed="false">
      <c r="A255" s="24" t="s">
        <v>744</v>
      </c>
      <c r="B255" s="24" t="str">
        <f aca="false">IF(INPUTS!$B$46="","","AC - "&amp;INPUTS!$B$46&amp;" "&amp;INPUTS!$B$36&amp;" Rough-in (Labour)")</f>
        <v>AC - L-04 Air Conditioning Rough-in (Labour)</v>
      </c>
      <c r="C255" s="28" t="n">
        <f aca="false">(BUDGET!$J$75-BUDGET!$G$75)*INPUTS!$E$46*$P$246</f>
        <v>0</v>
      </c>
      <c r="D255" s="19" t="n">
        <f aca="false">IFERROR(C255/$C$4,0)</f>
        <v>0</v>
      </c>
      <c r="E255" s="49"/>
      <c r="F255" s="19" t="n">
        <f aca="false">IFERROR(E255/C255,0)</f>
        <v>0</v>
      </c>
      <c r="G255" s="28" t="n">
        <f aca="false">C255-E255</f>
        <v>0</v>
      </c>
      <c r="H255" s="28" t="n">
        <f aca="false">E255*INPUTS!$C$29</f>
        <v>0</v>
      </c>
      <c r="J255" s="24"/>
      <c r="K255" s="28" t="n">
        <f aca="false">BUDGET!$D$75*INPUTS!$E$46</f>
        <v>0</v>
      </c>
      <c r="L255" s="24"/>
      <c r="M255" s="28" t="n">
        <f aca="false">BUDGET!$H$75*INPUTS!$E$46</f>
        <v>0</v>
      </c>
      <c r="N255" s="13" t="n">
        <f aca="false">BUDGET!$C$75*INPUTS!$E$46</f>
        <v>0</v>
      </c>
    </row>
    <row r="256" customFormat="false" ht="15" hidden="false" customHeight="false" outlineLevel="0" collapsed="false">
      <c r="A256" s="24" t="s">
        <v>745</v>
      </c>
      <c r="B256" s="24" t="str">
        <f aca="false">IF(INPUTS!$B$47="","","AC - "&amp;INPUTS!$B$47&amp;" "&amp;INPUTS!$B$36&amp;" Rough-in (Labour)")</f>
        <v>AC - L-05 Air Conditioning Rough-in (Labour)</v>
      </c>
      <c r="C256" s="28" t="n">
        <f aca="false">(BUDGET!$J$75-BUDGET!$G$75)*INPUTS!$E$47*$P$246</f>
        <v>0</v>
      </c>
      <c r="D256" s="19" t="n">
        <f aca="false">IFERROR(C256/$C$4,0)</f>
        <v>0</v>
      </c>
      <c r="E256" s="49"/>
      <c r="F256" s="19" t="n">
        <f aca="false">IFERROR(E256/C256,0)</f>
        <v>0</v>
      </c>
      <c r="G256" s="28" t="n">
        <f aca="false">C256-E256</f>
        <v>0</v>
      </c>
      <c r="H256" s="28" t="n">
        <f aca="false">E256*INPUTS!$C$29</f>
        <v>0</v>
      </c>
      <c r="J256" s="24"/>
      <c r="K256" s="28" t="n">
        <f aca="false">BUDGET!$D$75*INPUTS!$E$47</f>
        <v>0</v>
      </c>
      <c r="L256" s="24"/>
      <c r="M256" s="28" t="n">
        <f aca="false">BUDGET!$H$75*INPUTS!$E$47</f>
        <v>0</v>
      </c>
      <c r="N256" s="13" t="n">
        <f aca="false">BUDGET!$C$75*INPUTS!$E$47</f>
        <v>0</v>
      </c>
    </row>
    <row r="257" customFormat="false" ht="15" hidden="false" customHeight="false" outlineLevel="0" collapsed="false">
      <c r="A257" s="24" t="s">
        <v>746</v>
      </c>
      <c r="B257" s="24" t="str">
        <f aca="false">IF(INPUTS!$B$48="","","AC - "&amp;INPUTS!$B$48&amp;" "&amp;INPUTS!$B$36&amp;" Rough-in (Labour)")</f>
        <v>AC - L-06 Air Conditioning Rough-in (Labour)</v>
      </c>
      <c r="C257" s="28" t="n">
        <f aca="false">(BUDGET!$J$75-BUDGET!$G$75)*INPUTS!$E$48*$P$246</f>
        <v>0</v>
      </c>
      <c r="D257" s="19" t="n">
        <f aca="false">IFERROR(C257/$C$4,0)</f>
        <v>0</v>
      </c>
      <c r="E257" s="49"/>
      <c r="F257" s="19" t="n">
        <f aca="false">IFERROR(E257/C257,0)</f>
        <v>0</v>
      </c>
      <c r="G257" s="28" t="n">
        <f aca="false">C257-E257</f>
        <v>0</v>
      </c>
      <c r="H257" s="28" t="n">
        <f aca="false">E257*INPUTS!$C$29</f>
        <v>0</v>
      </c>
      <c r="J257" s="24"/>
      <c r="K257" s="28" t="n">
        <f aca="false">BUDGET!$D$75*INPUTS!$E$48</f>
        <v>0</v>
      </c>
      <c r="L257" s="24"/>
      <c r="M257" s="28" t="n">
        <f aca="false">BUDGET!$H$75*INPUTS!$E$48</f>
        <v>0</v>
      </c>
      <c r="N257" s="13" t="n">
        <f aca="false">BUDGET!$C$75*INPUTS!$E$48</f>
        <v>0</v>
      </c>
    </row>
    <row r="258" customFormat="false" ht="15" hidden="false" customHeight="false" outlineLevel="0" collapsed="false">
      <c r="A258" s="24" t="s">
        <v>747</v>
      </c>
      <c r="B258" s="24" t="str">
        <f aca="false">IF(INPUTS!$B$49="","","AC - "&amp;INPUTS!$B$49&amp;" "&amp;INPUTS!$B$36&amp;" Rough-in (Labour)")</f>
        <v>AC - L-07 Air Conditioning Rough-in (Labour)</v>
      </c>
      <c r="C258" s="28" t="n">
        <f aca="false">(BUDGET!$J$75-BUDGET!$G$75)*INPUTS!$E$49*$P$246</f>
        <v>0</v>
      </c>
      <c r="D258" s="19" t="n">
        <f aca="false">IFERROR(C258/$C$4,0)</f>
        <v>0</v>
      </c>
      <c r="E258" s="49"/>
      <c r="F258" s="19" t="n">
        <f aca="false">IFERROR(E258/C258,0)</f>
        <v>0</v>
      </c>
      <c r="G258" s="28" t="n">
        <f aca="false">C258-E258</f>
        <v>0</v>
      </c>
      <c r="H258" s="28" t="n">
        <f aca="false">E258*INPUTS!$C$29</f>
        <v>0</v>
      </c>
      <c r="J258" s="24"/>
      <c r="K258" s="28" t="n">
        <f aca="false">BUDGET!$D$75*INPUTS!$E$49</f>
        <v>0</v>
      </c>
      <c r="L258" s="24"/>
      <c r="M258" s="28" t="n">
        <f aca="false">BUDGET!$H$75*INPUTS!$E$49</f>
        <v>0</v>
      </c>
      <c r="N258" s="13" t="n">
        <f aca="false">BUDGET!$C$75*INPUTS!$E$49</f>
        <v>0</v>
      </c>
    </row>
    <row r="259" customFormat="false" ht="15" hidden="false" customHeight="false" outlineLevel="0" collapsed="false">
      <c r="A259" s="24" t="s">
        <v>748</v>
      </c>
      <c r="B259" s="24" t="str">
        <f aca="false">IF(INPUTS!$B$50="","","AC - "&amp;INPUTS!$B$50&amp;" "&amp;INPUTS!$B$36&amp;" Rough-in (Labour)")</f>
        <v>AC - L-08 Air Conditioning Rough-in (Labour)</v>
      </c>
      <c r="C259" s="28" t="n">
        <f aca="false">(BUDGET!$J$75-BUDGET!$G$75)*INPUTS!$E$50*$P$246</f>
        <v>0</v>
      </c>
      <c r="D259" s="19" t="n">
        <f aca="false">IFERROR(C259/$C$4,0)</f>
        <v>0</v>
      </c>
      <c r="E259" s="49"/>
      <c r="F259" s="19" t="n">
        <f aca="false">IFERROR(E259/C259,0)</f>
        <v>0</v>
      </c>
      <c r="G259" s="28" t="n">
        <f aca="false">C259-E259</f>
        <v>0</v>
      </c>
      <c r="H259" s="28" t="n">
        <f aca="false">E259*INPUTS!$C$29</f>
        <v>0</v>
      </c>
      <c r="J259" s="24"/>
      <c r="K259" s="28" t="n">
        <f aca="false">BUDGET!$D$75*INPUTS!$E$50</f>
        <v>0</v>
      </c>
      <c r="L259" s="24"/>
      <c r="M259" s="28" t="n">
        <f aca="false">BUDGET!$H$75*INPUTS!$E$50</f>
        <v>0</v>
      </c>
      <c r="N259" s="13" t="n">
        <f aca="false">BUDGET!$C$75*INPUTS!$E$50</f>
        <v>0</v>
      </c>
    </row>
    <row r="260" customFormat="false" ht="15" hidden="false" customHeight="false" outlineLevel="0" collapsed="false">
      <c r="A260" s="24" t="s">
        <v>749</v>
      </c>
      <c r="B260" s="24" t="str">
        <f aca="false">IF(INPUTS!$B$51="","","AC - "&amp;INPUTS!$B$51&amp;" "&amp;INPUTS!$B$36&amp;" Rough-in (Labour)")</f>
        <v>AC - L-09 Air Conditioning Rough-in (Labour)</v>
      </c>
      <c r="C260" s="28" t="n">
        <f aca="false">(BUDGET!$J$75-BUDGET!$G$75)*INPUTS!$E$51*$P$246</f>
        <v>0</v>
      </c>
      <c r="D260" s="19" t="n">
        <f aca="false">IFERROR(C260/$C$4,0)</f>
        <v>0</v>
      </c>
      <c r="E260" s="49"/>
      <c r="F260" s="19" t="n">
        <f aca="false">IFERROR(E260/C260,0)</f>
        <v>0</v>
      </c>
      <c r="G260" s="28" t="n">
        <f aca="false">C260-E260</f>
        <v>0</v>
      </c>
      <c r="H260" s="28" t="n">
        <f aca="false">E260*INPUTS!$C$29</f>
        <v>0</v>
      </c>
      <c r="J260" s="24"/>
      <c r="K260" s="28" t="n">
        <f aca="false">BUDGET!$D$75*INPUTS!$E$51</f>
        <v>0</v>
      </c>
      <c r="L260" s="24"/>
      <c r="M260" s="28" t="n">
        <f aca="false">BUDGET!$H$75*INPUTS!$E$51</f>
        <v>0</v>
      </c>
      <c r="N260" s="13" t="n">
        <f aca="false">BUDGET!$C$75*INPUTS!$E$51</f>
        <v>0</v>
      </c>
    </row>
    <row r="261" customFormat="false" ht="15" hidden="false" customHeight="false" outlineLevel="0" collapsed="false">
      <c r="A261" s="24" t="s">
        <v>750</v>
      </c>
      <c r="B261" s="24" t="str">
        <f aca="false">IF(INPUTS!$B$52="","","AC - "&amp;INPUTS!$B$52&amp;" "&amp;INPUTS!$B$36&amp;" Rough-in (Labour)")</f>
        <v>AC - L-10 Air Conditioning Rough-in (Labour)</v>
      </c>
      <c r="C261" s="28" t="n">
        <f aca="false">(BUDGET!$J$75-BUDGET!$G$75)*INPUTS!$E$52*$P$246</f>
        <v>0</v>
      </c>
      <c r="D261" s="19" t="n">
        <f aca="false">IFERROR(C261/$C$4,0)</f>
        <v>0</v>
      </c>
      <c r="E261" s="49"/>
      <c r="F261" s="19" t="n">
        <f aca="false">IFERROR(E261/C261,0)</f>
        <v>0</v>
      </c>
      <c r="G261" s="28" t="n">
        <f aca="false">C261-E261</f>
        <v>0</v>
      </c>
      <c r="H261" s="28" t="n">
        <f aca="false">E261*INPUTS!$C$29</f>
        <v>0</v>
      </c>
      <c r="J261" s="24"/>
      <c r="K261" s="28" t="n">
        <f aca="false">BUDGET!$D$75*INPUTS!$E$52</f>
        <v>0</v>
      </c>
      <c r="L261" s="24"/>
      <c r="M261" s="28" t="n">
        <f aca="false">BUDGET!$H$75*INPUTS!$E$52</f>
        <v>0</v>
      </c>
      <c r="N261" s="13" t="n">
        <f aca="false">BUDGET!$C$75*INPUTS!$E$52</f>
        <v>0</v>
      </c>
    </row>
    <row r="262" customFormat="false" ht="15" hidden="false" customHeight="false" outlineLevel="0" collapsed="false">
      <c r="A262" s="24" t="s">
        <v>751</v>
      </c>
      <c r="B262" s="24" t="str">
        <f aca="false">IF(INPUTS!$B$53="","","AC - "&amp;INPUTS!$B$53&amp;" "&amp;INPUTS!$B$36&amp;" Rough-in (Labour)")</f>
        <v>AC - ROOF Air Conditioning Rough-in (Labour)</v>
      </c>
      <c r="C262" s="28" t="n">
        <f aca="false">(BUDGET!$J$75-BUDGET!$G$75)*INPUTS!$E$53*$P$246</f>
        <v>0</v>
      </c>
      <c r="D262" s="19" t="n">
        <f aca="false">IFERROR(C262/$C$4,0)</f>
        <v>0</v>
      </c>
      <c r="E262" s="49"/>
      <c r="F262" s="19" t="n">
        <f aca="false">IFERROR(E262/C262,0)</f>
        <v>0</v>
      </c>
      <c r="G262" s="28" t="n">
        <f aca="false">C262-E262</f>
        <v>0</v>
      </c>
      <c r="H262" s="28" t="n">
        <f aca="false">E262*INPUTS!$C$29</f>
        <v>0</v>
      </c>
      <c r="J262" s="24"/>
      <c r="K262" s="28" t="n">
        <f aca="false">BUDGET!$D$75*INPUTS!$E$53</f>
        <v>0</v>
      </c>
      <c r="L262" s="24"/>
      <c r="M262" s="28" t="n">
        <f aca="false">BUDGET!$H$75*INPUTS!$E$53</f>
        <v>0</v>
      </c>
      <c r="N262" s="13" t="n">
        <f aca="false">BUDGET!$C$75*INPUTS!$E$53</f>
        <v>0</v>
      </c>
    </row>
    <row r="263" customFormat="false" ht="15" hidden="false" customHeight="false" outlineLevel="0" collapsed="false">
      <c r="A263" s="24" t="s">
        <v>752</v>
      </c>
      <c r="B263" s="24" t="str">
        <f aca="false">IF(INPUTS!$B$54="","","AC - "&amp;INPUTS!$B$54&amp;" "&amp;INPUTS!$B$36&amp;" Rough-in (Labour)")</f>
        <v/>
      </c>
      <c r="C263" s="28" t="n">
        <f aca="false">(BUDGET!$J$75-BUDGET!$G$75)*INPUTS!$E$54*$P$246</f>
        <v>0</v>
      </c>
      <c r="D263" s="19" t="n">
        <f aca="false">IFERROR(C263/$C$4,0)</f>
        <v>0</v>
      </c>
      <c r="E263" s="49"/>
      <c r="F263" s="19" t="n">
        <f aca="false">IFERROR(E263/C263,0)</f>
        <v>0</v>
      </c>
      <c r="G263" s="28" t="n">
        <f aca="false">C263-E263</f>
        <v>0</v>
      </c>
      <c r="H263" s="28" t="n">
        <f aca="false">E263*INPUTS!$C$29</f>
        <v>0</v>
      </c>
      <c r="J263" s="24"/>
      <c r="K263" s="28" t="n">
        <f aca="false">BUDGET!$D$75*INPUTS!$E$54</f>
        <v>0</v>
      </c>
      <c r="L263" s="24"/>
      <c r="M263" s="28" t="n">
        <f aca="false">BUDGET!$H$75*INPUTS!$E$54</f>
        <v>0</v>
      </c>
      <c r="N263" s="13" t="n">
        <f aca="false">BUDGET!$C$75*INPUTS!$E$54</f>
        <v>0</v>
      </c>
    </row>
    <row r="264" customFormat="false" ht="15" hidden="false" customHeight="false" outlineLevel="0" collapsed="false">
      <c r="A264" s="24" t="s">
        <v>753</v>
      </c>
      <c r="B264" s="24" t="str">
        <f aca="false">IF(INPUTS!$B$55="","","AC - "&amp;INPUTS!$B$55&amp;" "&amp;INPUTS!$B$36&amp;" Rough-in (Labour)")</f>
        <v/>
      </c>
      <c r="C264" s="28" t="n">
        <f aca="false">(BUDGET!$J$75-BUDGET!$G$75)*INPUTS!$E$55*$P$246</f>
        <v>0</v>
      </c>
      <c r="D264" s="19" t="n">
        <f aca="false">IFERROR(C264/$C$4,0)</f>
        <v>0</v>
      </c>
      <c r="E264" s="49"/>
      <c r="F264" s="19" t="n">
        <f aca="false">IFERROR(E264/C264,0)</f>
        <v>0</v>
      </c>
      <c r="G264" s="28" t="n">
        <f aca="false">C264-E264</f>
        <v>0</v>
      </c>
      <c r="H264" s="28" t="n">
        <f aca="false">E264*INPUTS!$C$29</f>
        <v>0</v>
      </c>
      <c r="J264" s="24"/>
      <c r="K264" s="28" t="n">
        <f aca="false">BUDGET!$D$75*INPUTS!$E$55</f>
        <v>0</v>
      </c>
      <c r="L264" s="24"/>
      <c r="M264" s="28" t="n">
        <f aca="false">BUDGET!$H$75*INPUTS!$E$55</f>
        <v>0</v>
      </c>
      <c r="N264" s="13" t="n">
        <f aca="false">BUDGET!$C$75*INPUTS!$E$55</f>
        <v>0</v>
      </c>
    </row>
    <row r="265" customFormat="false" ht="15" hidden="false" customHeight="false" outlineLevel="0" collapsed="false">
      <c r="A265" s="24" t="s">
        <v>754</v>
      </c>
      <c r="B265" s="24" t="str">
        <f aca="false">IF(INPUTS!$B$56="","","AC - "&amp;INPUTS!$B$56&amp;" "&amp;INPUTS!$B$36&amp;" Rough-in (Labour)")</f>
        <v/>
      </c>
      <c r="C265" s="28" t="n">
        <f aca="false">(BUDGET!$J$75-BUDGET!$G$75)*INPUTS!$E$56*$P$246</f>
        <v>0</v>
      </c>
      <c r="D265" s="19" t="n">
        <f aca="false">IFERROR(C265/$C$4,0)</f>
        <v>0</v>
      </c>
      <c r="E265" s="49"/>
      <c r="F265" s="19" t="n">
        <f aca="false">IFERROR(E265/C265,0)</f>
        <v>0</v>
      </c>
      <c r="G265" s="28" t="n">
        <f aca="false">C265-E265</f>
        <v>0</v>
      </c>
      <c r="H265" s="28" t="n">
        <f aca="false">E265*INPUTS!$C$29</f>
        <v>0</v>
      </c>
      <c r="J265" s="24"/>
      <c r="K265" s="28" t="n">
        <f aca="false">BUDGET!$D$75*INPUTS!$E$56</f>
        <v>0</v>
      </c>
      <c r="L265" s="24"/>
      <c r="M265" s="28" t="n">
        <f aca="false">BUDGET!$H$75*INPUTS!$E$56</f>
        <v>0</v>
      </c>
      <c r="N265" s="13" t="n">
        <f aca="false">BUDGET!$C$75*INPUTS!$E$56</f>
        <v>0</v>
      </c>
    </row>
    <row r="266" customFormat="false" ht="15" hidden="false" customHeight="false" outlineLevel="0" collapsed="false">
      <c r="A266" s="24" t="s">
        <v>755</v>
      </c>
      <c r="B266" s="24" t="str">
        <f aca="false">IF(INPUTS!$B$57="","","AC - "&amp;INPUTS!$B$57&amp;" "&amp;INPUTS!$B$36&amp;" Rough-in (Labour)")</f>
        <v/>
      </c>
      <c r="C266" s="28" t="n">
        <f aca="false">(BUDGET!$J$75-BUDGET!$G$75)*INPUTS!$E$57*$P$246</f>
        <v>0</v>
      </c>
      <c r="D266" s="19" t="n">
        <f aca="false">IFERROR(C266/$C$4,0)</f>
        <v>0</v>
      </c>
      <c r="E266" s="49"/>
      <c r="F266" s="19" t="n">
        <f aca="false">IFERROR(E266/C266,0)</f>
        <v>0</v>
      </c>
      <c r="G266" s="28" t="n">
        <f aca="false">C266-E266</f>
        <v>0</v>
      </c>
      <c r="H266" s="28" t="n">
        <f aca="false">E266*INPUTS!$C$29</f>
        <v>0</v>
      </c>
      <c r="J266" s="24"/>
      <c r="K266" s="28" t="n">
        <f aca="false">BUDGET!$D$75*INPUTS!$E$57</f>
        <v>0</v>
      </c>
      <c r="L266" s="24"/>
      <c r="M266" s="28" t="n">
        <f aca="false">BUDGET!$H$75*INPUTS!$E$57</f>
        <v>0</v>
      </c>
      <c r="N266" s="13" t="n">
        <f aca="false">BUDGET!$C$75*INPUTS!$E$57</f>
        <v>0</v>
      </c>
    </row>
    <row r="267" customFormat="false" ht="15" hidden="false" customHeight="false" outlineLevel="0" collapsed="false">
      <c r="A267" s="24" t="s">
        <v>756</v>
      </c>
      <c r="B267" s="24" t="str">
        <f aca="false">IF(INPUTS!$B$58="","","AC - "&amp;INPUTS!$B$58&amp;" "&amp;INPUTS!$B$36&amp;" Rough-in (Labour)")</f>
        <v/>
      </c>
      <c r="C267" s="28" t="n">
        <f aca="false">(BUDGET!$J$75-BUDGET!$G$75)*INPUTS!$E$58*$P$246</f>
        <v>0</v>
      </c>
      <c r="D267" s="19" t="n">
        <f aca="false">IFERROR(C267/$C$4,0)</f>
        <v>0</v>
      </c>
      <c r="E267" s="49"/>
      <c r="F267" s="19" t="n">
        <f aca="false">IFERROR(E267/C267,0)</f>
        <v>0</v>
      </c>
      <c r="G267" s="28" t="n">
        <f aca="false">C267-E267</f>
        <v>0</v>
      </c>
      <c r="H267" s="28" t="n">
        <f aca="false">E267*INPUTS!$C$29</f>
        <v>0</v>
      </c>
      <c r="J267" s="24"/>
      <c r="K267" s="28" t="n">
        <f aca="false">BUDGET!$D$75*INPUTS!$E$58</f>
        <v>0</v>
      </c>
      <c r="L267" s="24"/>
      <c r="M267" s="28" t="n">
        <f aca="false">BUDGET!$H$75*INPUTS!$E$58</f>
        <v>0</v>
      </c>
      <c r="N267" s="13" t="n">
        <f aca="false">BUDGET!$C$75*INPUTS!$E$58</f>
        <v>0</v>
      </c>
    </row>
    <row r="268" customFormat="false" ht="15" hidden="false" customHeight="false" outlineLevel="0" collapsed="false">
      <c r="A268" s="24" t="s">
        <v>757</v>
      </c>
      <c r="B268" s="24" t="str">
        <f aca="false">IF(INPUTS!$B$59="","","AC - "&amp;INPUTS!$B$59&amp;" "&amp;INPUTS!$B$36&amp;" Rough-in (Labour)")</f>
        <v/>
      </c>
      <c r="C268" s="28" t="n">
        <f aca="false">(BUDGET!$J$75-BUDGET!$G$75)*INPUTS!$E$59*$P$246</f>
        <v>0</v>
      </c>
      <c r="D268" s="19" t="n">
        <f aca="false">IFERROR(C268/$C$4,0)</f>
        <v>0</v>
      </c>
      <c r="E268" s="49"/>
      <c r="F268" s="19" t="n">
        <f aca="false">IFERROR(E268/C268,0)</f>
        <v>0</v>
      </c>
      <c r="G268" s="28" t="n">
        <f aca="false">C268-E268</f>
        <v>0</v>
      </c>
      <c r="H268" s="28" t="n">
        <f aca="false">E268*INPUTS!$C$29</f>
        <v>0</v>
      </c>
      <c r="J268" s="24"/>
      <c r="K268" s="28" t="n">
        <f aca="false">BUDGET!$D$75*INPUTS!$E$59</f>
        <v>0</v>
      </c>
      <c r="L268" s="24"/>
      <c r="M268" s="28" t="n">
        <f aca="false">BUDGET!$H$75*INPUTS!$E$59</f>
        <v>0</v>
      </c>
      <c r="N268" s="13" t="n">
        <f aca="false">BUDGET!$C$75*INPUTS!$E$59</f>
        <v>0</v>
      </c>
    </row>
    <row r="269" customFormat="false" ht="15" hidden="false" customHeight="false" outlineLevel="0" collapsed="false">
      <c r="A269" s="24" t="s">
        <v>758</v>
      </c>
      <c r="B269" s="24" t="str">
        <f aca="false">IF(INPUTS!$B$60="","","AC - "&amp;INPUTS!$B$60&amp;" "&amp;INPUTS!$B$36&amp;" Rough-in (Labour)")</f>
        <v/>
      </c>
      <c r="C269" s="28" t="n">
        <f aca="false">(BUDGET!$J$75-BUDGET!$G$75)*INPUTS!$E$60*$P$246</f>
        <v>0</v>
      </c>
      <c r="D269" s="19" t="n">
        <f aca="false">IFERROR(C269/$C$4,0)</f>
        <v>0</v>
      </c>
      <c r="E269" s="49"/>
      <c r="F269" s="19" t="n">
        <f aca="false">IFERROR(E269/C269,0)</f>
        <v>0</v>
      </c>
      <c r="G269" s="28" t="n">
        <f aca="false">C269-E269</f>
        <v>0</v>
      </c>
      <c r="H269" s="28" t="n">
        <f aca="false">E269*INPUTS!$C$29</f>
        <v>0</v>
      </c>
      <c r="J269" s="24"/>
      <c r="K269" s="28" t="n">
        <f aca="false">BUDGET!$D$75*INPUTS!$E$60</f>
        <v>0</v>
      </c>
      <c r="L269" s="24"/>
      <c r="M269" s="28" t="n">
        <f aca="false">BUDGET!$H$75*INPUTS!$E$60</f>
        <v>0</v>
      </c>
      <c r="N269" s="13" t="n">
        <f aca="false">BUDGET!$C$75*INPUTS!$E$60</f>
        <v>0</v>
      </c>
    </row>
    <row r="270" customFormat="false" ht="15" hidden="false" customHeight="false" outlineLevel="0" collapsed="false">
      <c r="A270" s="24" t="s">
        <v>759</v>
      </c>
      <c r="B270" s="24" t="str">
        <f aca="false">IF(INPUTS!$B$61="","","AC - "&amp;INPUTS!$B$61&amp;" "&amp;INPUTS!$B$36&amp;" Rough-in (Labour)")</f>
        <v/>
      </c>
      <c r="C270" s="28" t="n">
        <f aca="false">(BUDGET!$J$75-BUDGET!$G$75)*INPUTS!$E$61*$P$246</f>
        <v>0</v>
      </c>
      <c r="D270" s="19" t="n">
        <f aca="false">IFERROR(C270/$C$4,0)</f>
        <v>0</v>
      </c>
      <c r="E270" s="49"/>
      <c r="F270" s="19" t="n">
        <f aca="false">IFERROR(E270/C270,0)</f>
        <v>0</v>
      </c>
      <c r="G270" s="28" t="n">
        <f aca="false">C270-E270</f>
        <v>0</v>
      </c>
      <c r="H270" s="28" t="n">
        <f aca="false">E270*INPUTS!$C$29</f>
        <v>0</v>
      </c>
      <c r="J270" s="24"/>
      <c r="K270" s="28" t="n">
        <f aca="false">BUDGET!$D$75*INPUTS!$E$61</f>
        <v>0</v>
      </c>
      <c r="L270" s="24"/>
      <c r="M270" s="28" t="n">
        <f aca="false">BUDGET!$H$75*INPUTS!$E$61</f>
        <v>0</v>
      </c>
      <c r="N270" s="13" t="n">
        <f aca="false">BUDGET!$C$75*INPUTS!$E$61</f>
        <v>0</v>
      </c>
    </row>
    <row r="271" customFormat="false" ht="15" hidden="false" customHeight="false" outlineLevel="0" collapsed="false">
      <c r="A271" s="24" t="s">
        <v>760</v>
      </c>
      <c r="B271" s="24" t="str">
        <f aca="false">IF(INPUTS!$B$62="","","AC - "&amp;INPUTS!$B$62&amp;" "&amp;INPUTS!$B$36&amp;" Rough-in (Labour)")</f>
        <v/>
      </c>
      <c r="C271" s="28" t="n">
        <f aca="false">(BUDGET!$J$75-BUDGET!$G$75)*INPUTS!$E$62*$P$246</f>
        <v>0</v>
      </c>
      <c r="D271" s="19" t="n">
        <f aca="false">IFERROR(C271/$C$4,0)</f>
        <v>0</v>
      </c>
      <c r="E271" s="49"/>
      <c r="F271" s="19" t="n">
        <f aca="false">IFERROR(E271/C271,0)</f>
        <v>0</v>
      </c>
      <c r="G271" s="28" t="n">
        <f aca="false">C271-E271</f>
        <v>0</v>
      </c>
      <c r="H271" s="28" t="n">
        <f aca="false">E271*INPUTS!$C$29</f>
        <v>0</v>
      </c>
      <c r="J271" s="24"/>
      <c r="K271" s="28" t="n">
        <f aca="false">BUDGET!$D$75*INPUTS!$E$62</f>
        <v>0</v>
      </c>
      <c r="L271" s="24"/>
      <c r="M271" s="28" t="n">
        <f aca="false">BUDGET!$H$75*INPUTS!$E$62</f>
        <v>0</v>
      </c>
      <c r="N271" s="13" t="n">
        <f aca="false">BUDGET!$C$75*INPUTS!$E$62</f>
        <v>0</v>
      </c>
    </row>
    <row r="272" customFormat="false" ht="15" hidden="false" customHeight="false" outlineLevel="0" collapsed="false">
      <c r="A272" s="24" t="s">
        <v>761</v>
      </c>
      <c r="B272" s="24" t="str">
        <f aca="false">IF(INPUTS!$B$63="","","AC - "&amp;INPUTS!$B$63&amp;" "&amp;INPUTS!$B$36&amp;" Rough-in (Labour)")</f>
        <v/>
      </c>
      <c r="C272" s="28" t="n">
        <f aca="false">(BUDGET!$J$75-BUDGET!$G$75)*INPUTS!$E$63*$P$246</f>
        <v>0</v>
      </c>
      <c r="D272" s="19" t="n">
        <f aca="false">IFERROR(C272/$C$4,0)</f>
        <v>0</v>
      </c>
      <c r="E272" s="49"/>
      <c r="F272" s="19" t="n">
        <f aca="false">IFERROR(E272/C272,0)</f>
        <v>0</v>
      </c>
      <c r="G272" s="28" t="n">
        <f aca="false">C272-E272</f>
        <v>0</v>
      </c>
      <c r="H272" s="28" t="n">
        <f aca="false">E272*INPUTS!$C$29</f>
        <v>0</v>
      </c>
      <c r="J272" s="24"/>
      <c r="K272" s="28" t="n">
        <f aca="false">BUDGET!$D$75*INPUTS!$E$63</f>
        <v>0</v>
      </c>
      <c r="L272" s="24"/>
      <c r="M272" s="28" t="n">
        <f aca="false">BUDGET!$H$75*INPUTS!$E$63</f>
        <v>0</v>
      </c>
      <c r="N272" s="13" t="n">
        <f aca="false">BUDGET!$C$75*INPUTS!$E$63</f>
        <v>0</v>
      </c>
    </row>
    <row r="273" customFormat="false" ht="15" hidden="false" customHeight="false" outlineLevel="0" collapsed="false">
      <c r="A273" s="24" t="s">
        <v>762</v>
      </c>
      <c r="B273" s="24" t="str">
        <f aca="false">IF(INPUTS!$B$40="","","AC - "&amp;INPUTS!$B$40&amp;" "&amp;INPUTS!$B$36&amp;" Finishing (Labour)")</f>
        <v>AC - U/G Air Conditioning Finishing (Labour)</v>
      </c>
      <c r="C273" s="28" t="n">
        <f aca="false">(BUDGET!$J$76-BUDGET!$G$76)*INPUTS!$E$40*$P$246</f>
        <v>0</v>
      </c>
      <c r="D273" s="19" t="n">
        <f aca="false">IFERROR(C273/$C$4,0)</f>
        <v>0</v>
      </c>
      <c r="E273" s="49"/>
      <c r="F273" s="19" t="n">
        <f aca="false">IFERROR(E273/C273,0)</f>
        <v>0</v>
      </c>
      <c r="G273" s="28" t="n">
        <f aca="false">C273-E273</f>
        <v>0</v>
      </c>
      <c r="H273" s="28" t="n">
        <f aca="false">E273*INPUTS!$C$29</f>
        <v>0</v>
      </c>
      <c r="J273" s="24"/>
      <c r="K273" s="28" t="n">
        <f aca="false">BUDGET!$D$76*INPUTS!$E$40</f>
        <v>0</v>
      </c>
      <c r="L273" s="24"/>
      <c r="M273" s="28" t="n">
        <f aca="false">BUDGET!$H$76*INPUTS!$E$40</f>
        <v>0</v>
      </c>
      <c r="N273" s="13" t="n">
        <f aca="false">BUDGET!$C$76*INPUTS!$E$40</f>
        <v>0</v>
      </c>
    </row>
    <row r="274" customFormat="false" ht="15" hidden="false" customHeight="false" outlineLevel="0" collapsed="false">
      <c r="A274" s="24" t="s">
        <v>763</v>
      </c>
      <c r="B274" s="24" t="str">
        <f aca="false">IF(INPUTS!$B$41="","","AC - "&amp;INPUTS!$B$41&amp;" "&amp;INPUTS!$B$36&amp;" Finishing (Labour)")</f>
        <v>AC - P-02 Air Conditioning Finishing (Labour)</v>
      </c>
      <c r="C274" s="28" t="n">
        <f aca="false">(BUDGET!$J$76-BUDGET!$G$76)*INPUTS!$E$41*$P$246</f>
        <v>0</v>
      </c>
      <c r="D274" s="19" t="n">
        <f aca="false">IFERROR(C274/$C$4,0)</f>
        <v>0</v>
      </c>
      <c r="E274" s="49"/>
      <c r="F274" s="19" t="n">
        <f aca="false">IFERROR(E274/C274,0)</f>
        <v>0</v>
      </c>
      <c r="G274" s="28" t="n">
        <f aca="false">C274-E274</f>
        <v>0</v>
      </c>
      <c r="H274" s="28" t="n">
        <f aca="false">E274*INPUTS!$C$29</f>
        <v>0</v>
      </c>
      <c r="J274" s="24"/>
      <c r="K274" s="28" t="n">
        <f aca="false">BUDGET!$D$76*INPUTS!$E$41</f>
        <v>0</v>
      </c>
      <c r="L274" s="24"/>
      <c r="M274" s="28" t="n">
        <f aca="false">BUDGET!$H$76*INPUTS!$E$41</f>
        <v>0</v>
      </c>
      <c r="N274" s="13" t="n">
        <f aca="false">BUDGET!$C$76*INPUTS!$E$41</f>
        <v>0</v>
      </c>
    </row>
    <row r="275" customFormat="false" ht="15" hidden="false" customHeight="false" outlineLevel="0" collapsed="false">
      <c r="A275" s="24" t="s">
        <v>764</v>
      </c>
      <c r="B275" s="24" t="str">
        <f aca="false">IF(INPUTS!$B$42="","","AC - "&amp;INPUTS!$B$42&amp;" "&amp;INPUTS!$B$36&amp;" Finishing (Labour)")</f>
        <v>AC - PRKG Air Conditioning Finishing (Labour)</v>
      </c>
      <c r="C275" s="28" t="n">
        <f aca="false">(BUDGET!$J$76-BUDGET!$G$76)*INPUTS!$E$42*$P$246</f>
        <v>0</v>
      </c>
      <c r="D275" s="19" t="n">
        <f aca="false">IFERROR(C275/$C$4,0)</f>
        <v>0</v>
      </c>
      <c r="E275" s="49"/>
      <c r="F275" s="19" t="n">
        <f aca="false">IFERROR(E275/C275,0)</f>
        <v>0</v>
      </c>
      <c r="G275" s="28" t="n">
        <f aca="false">C275-E275</f>
        <v>0</v>
      </c>
      <c r="H275" s="28" t="n">
        <f aca="false">E275*INPUTS!$C$29</f>
        <v>0</v>
      </c>
      <c r="J275" s="24"/>
      <c r="K275" s="28" t="n">
        <f aca="false">BUDGET!$D$76*INPUTS!$E$42</f>
        <v>0</v>
      </c>
      <c r="L275" s="24"/>
      <c r="M275" s="28" t="n">
        <f aca="false">BUDGET!$H$76*INPUTS!$E$42</f>
        <v>0</v>
      </c>
      <c r="N275" s="13" t="n">
        <f aca="false">BUDGET!$C$76*INPUTS!$E$42</f>
        <v>0</v>
      </c>
    </row>
    <row r="276" customFormat="false" ht="15" hidden="false" customHeight="false" outlineLevel="0" collapsed="false">
      <c r="A276" s="24" t="s">
        <v>765</v>
      </c>
      <c r="B276" s="24" t="str">
        <f aca="false">IF(INPUTS!$B$43="","","AC - "&amp;INPUTS!$B$43&amp;" "&amp;INPUTS!$B$36&amp;" Finishing (Labour)")</f>
        <v>AC - L-01 Air Conditioning Finishing (Labour)</v>
      </c>
      <c r="C276" s="28" t="n">
        <f aca="false">(BUDGET!$J$76-BUDGET!$G$76)*INPUTS!$E$43*$P$246</f>
        <v>0</v>
      </c>
      <c r="D276" s="19" t="n">
        <f aca="false">IFERROR(C276/$C$4,0)</f>
        <v>0</v>
      </c>
      <c r="E276" s="49"/>
      <c r="F276" s="19" t="n">
        <f aca="false">IFERROR(E276/C276,0)</f>
        <v>0</v>
      </c>
      <c r="G276" s="28" t="n">
        <f aca="false">C276-E276</f>
        <v>0</v>
      </c>
      <c r="H276" s="28" t="n">
        <f aca="false">E276*INPUTS!$C$29</f>
        <v>0</v>
      </c>
      <c r="J276" s="24"/>
      <c r="K276" s="28" t="n">
        <f aca="false">BUDGET!$D$76*INPUTS!$E$43</f>
        <v>0</v>
      </c>
      <c r="L276" s="24"/>
      <c r="M276" s="28" t="n">
        <f aca="false">BUDGET!$H$76*INPUTS!$E$43</f>
        <v>0</v>
      </c>
      <c r="N276" s="13" t="n">
        <f aca="false">BUDGET!$C$76*INPUTS!$E$43</f>
        <v>0</v>
      </c>
    </row>
    <row r="277" customFormat="false" ht="15" hidden="false" customHeight="false" outlineLevel="0" collapsed="false">
      <c r="A277" s="24" t="s">
        <v>766</v>
      </c>
      <c r="B277" s="24" t="str">
        <f aca="false">IF(INPUTS!$B$44="","","AC - "&amp;INPUTS!$B$44&amp;" "&amp;INPUTS!$B$36&amp;" Finishing (Labour)")</f>
        <v>AC - L-02 Air Conditioning Finishing (Labour)</v>
      </c>
      <c r="C277" s="28" t="n">
        <f aca="false">(BUDGET!$J$76-BUDGET!$G$76)*INPUTS!$E$44*$P$246</f>
        <v>0</v>
      </c>
      <c r="D277" s="19" t="n">
        <f aca="false">IFERROR(C277/$C$4,0)</f>
        <v>0</v>
      </c>
      <c r="E277" s="49"/>
      <c r="F277" s="19" t="n">
        <f aca="false">IFERROR(E277/C277,0)</f>
        <v>0</v>
      </c>
      <c r="G277" s="28" t="n">
        <f aca="false">C277-E277</f>
        <v>0</v>
      </c>
      <c r="H277" s="28" t="n">
        <f aca="false">E277*INPUTS!$C$29</f>
        <v>0</v>
      </c>
      <c r="J277" s="24"/>
      <c r="K277" s="28" t="n">
        <f aca="false">BUDGET!$D$76*INPUTS!$E$44</f>
        <v>0</v>
      </c>
      <c r="L277" s="24"/>
      <c r="M277" s="28" t="n">
        <f aca="false">BUDGET!$H$76*INPUTS!$E$44</f>
        <v>0</v>
      </c>
      <c r="N277" s="13" t="n">
        <f aca="false">BUDGET!$C$76*INPUTS!$E$44</f>
        <v>0</v>
      </c>
    </row>
    <row r="278" customFormat="false" ht="15" hidden="false" customHeight="false" outlineLevel="0" collapsed="false">
      <c r="A278" s="24" t="s">
        <v>767</v>
      </c>
      <c r="B278" s="24" t="str">
        <f aca="false">IF(INPUTS!$B$45="","","AC - "&amp;INPUTS!$B$45&amp;" "&amp;INPUTS!$B$36&amp;" Finishing (Labour)")</f>
        <v>AC - L-03 Air Conditioning Finishing (Labour)</v>
      </c>
      <c r="C278" s="28" t="n">
        <f aca="false">(BUDGET!$J$76-BUDGET!$G$76)*INPUTS!$E$45*$P$246</f>
        <v>0</v>
      </c>
      <c r="D278" s="19" t="n">
        <f aca="false">IFERROR(C278/$C$4,0)</f>
        <v>0</v>
      </c>
      <c r="E278" s="49"/>
      <c r="F278" s="19" t="n">
        <f aca="false">IFERROR(E278/C278,0)</f>
        <v>0</v>
      </c>
      <c r="G278" s="28" t="n">
        <f aca="false">C278-E278</f>
        <v>0</v>
      </c>
      <c r="H278" s="28" t="n">
        <f aca="false">E278*INPUTS!$C$29</f>
        <v>0</v>
      </c>
      <c r="J278" s="24"/>
      <c r="K278" s="28" t="n">
        <f aca="false">BUDGET!$D$76*INPUTS!$E$45</f>
        <v>0</v>
      </c>
      <c r="L278" s="24"/>
      <c r="M278" s="28" t="n">
        <f aca="false">BUDGET!$H$76*INPUTS!$E$45</f>
        <v>0</v>
      </c>
      <c r="N278" s="13" t="n">
        <f aca="false">BUDGET!$C$76*INPUTS!$E$45</f>
        <v>0</v>
      </c>
    </row>
    <row r="279" customFormat="false" ht="15" hidden="false" customHeight="false" outlineLevel="0" collapsed="false">
      <c r="A279" s="24" t="s">
        <v>768</v>
      </c>
      <c r="B279" s="24" t="str">
        <f aca="false">IF(INPUTS!$B$46="","","AC - "&amp;INPUTS!$B$46&amp;" "&amp;INPUTS!$B$36&amp;" Finishing (Labour)")</f>
        <v>AC - L-04 Air Conditioning Finishing (Labour)</v>
      </c>
      <c r="C279" s="28" t="n">
        <f aca="false">(BUDGET!$J$76-BUDGET!$G$76)*INPUTS!$E$46*$P$246</f>
        <v>0</v>
      </c>
      <c r="D279" s="19" t="n">
        <f aca="false">IFERROR(C279/$C$4,0)</f>
        <v>0</v>
      </c>
      <c r="E279" s="49"/>
      <c r="F279" s="19" t="n">
        <f aca="false">IFERROR(E279/C279,0)</f>
        <v>0</v>
      </c>
      <c r="G279" s="28" t="n">
        <f aca="false">C279-E279</f>
        <v>0</v>
      </c>
      <c r="H279" s="28" t="n">
        <f aca="false">E279*INPUTS!$C$29</f>
        <v>0</v>
      </c>
      <c r="J279" s="24"/>
      <c r="K279" s="28" t="n">
        <f aca="false">BUDGET!$D$76*INPUTS!$E$46</f>
        <v>0</v>
      </c>
      <c r="L279" s="24"/>
      <c r="M279" s="28" t="n">
        <f aca="false">BUDGET!$H$76*INPUTS!$E$46</f>
        <v>0</v>
      </c>
      <c r="N279" s="13" t="n">
        <f aca="false">BUDGET!$C$76*INPUTS!$E$46</f>
        <v>0</v>
      </c>
    </row>
    <row r="280" customFormat="false" ht="15" hidden="false" customHeight="false" outlineLevel="0" collapsed="false">
      <c r="A280" s="24" t="s">
        <v>769</v>
      </c>
      <c r="B280" s="24" t="str">
        <f aca="false">IF(INPUTS!$B$47="","","AC - "&amp;INPUTS!$B$47&amp;" "&amp;INPUTS!$B$36&amp;" Finishing (Labour)")</f>
        <v>AC - L-05 Air Conditioning Finishing (Labour)</v>
      </c>
      <c r="C280" s="28" t="n">
        <f aca="false">(BUDGET!$J$76-BUDGET!$G$76)*INPUTS!$E$47*$P$246</f>
        <v>0</v>
      </c>
      <c r="D280" s="19" t="n">
        <f aca="false">IFERROR(C280/$C$4,0)</f>
        <v>0</v>
      </c>
      <c r="E280" s="49"/>
      <c r="F280" s="19" t="n">
        <f aca="false">IFERROR(E280/C280,0)</f>
        <v>0</v>
      </c>
      <c r="G280" s="28" t="n">
        <f aca="false">C280-E280</f>
        <v>0</v>
      </c>
      <c r="H280" s="28" t="n">
        <f aca="false">E280*INPUTS!$C$29</f>
        <v>0</v>
      </c>
      <c r="J280" s="24"/>
      <c r="K280" s="28" t="n">
        <f aca="false">BUDGET!$D$76*INPUTS!$E$47</f>
        <v>0</v>
      </c>
      <c r="L280" s="24"/>
      <c r="M280" s="28" t="n">
        <f aca="false">BUDGET!$H$76*INPUTS!$E$47</f>
        <v>0</v>
      </c>
      <c r="N280" s="13" t="n">
        <f aca="false">BUDGET!$C$76*INPUTS!$E$47</f>
        <v>0</v>
      </c>
    </row>
    <row r="281" customFormat="false" ht="15" hidden="false" customHeight="false" outlineLevel="0" collapsed="false">
      <c r="A281" s="24" t="s">
        <v>770</v>
      </c>
      <c r="B281" s="24" t="str">
        <f aca="false">IF(INPUTS!$B$48="","","AC - "&amp;INPUTS!$B$48&amp;" "&amp;INPUTS!$B$36&amp;" Finishing (Labour)")</f>
        <v>AC - L-06 Air Conditioning Finishing (Labour)</v>
      </c>
      <c r="C281" s="28" t="n">
        <f aca="false">(BUDGET!$J$76-BUDGET!$G$76)*INPUTS!$E$48*$P$246</f>
        <v>0</v>
      </c>
      <c r="D281" s="19" t="n">
        <f aca="false">IFERROR(C281/$C$4,0)</f>
        <v>0</v>
      </c>
      <c r="E281" s="49"/>
      <c r="F281" s="19" t="n">
        <f aca="false">IFERROR(E281/C281,0)</f>
        <v>0</v>
      </c>
      <c r="G281" s="28" t="n">
        <f aca="false">C281-E281</f>
        <v>0</v>
      </c>
      <c r="H281" s="28" t="n">
        <f aca="false">E281*INPUTS!$C$29</f>
        <v>0</v>
      </c>
      <c r="J281" s="24"/>
      <c r="K281" s="28" t="n">
        <f aca="false">BUDGET!$D$76*INPUTS!$E$48</f>
        <v>0</v>
      </c>
      <c r="L281" s="24"/>
      <c r="M281" s="28" t="n">
        <f aca="false">BUDGET!$H$76*INPUTS!$E$48</f>
        <v>0</v>
      </c>
      <c r="N281" s="13" t="n">
        <f aca="false">BUDGET!$C$76*INPUTS!$E$48</f>
        <v>0</v>
      </c>
    </row>
    <row r="282" customFormat="false" ht="15" hidden="false" customHeight="false" outlineLevel="0" collapsed="false">
      <c r="A282" s="24" t="s">
        <v>771</v>
      </c>
      <c r="B282" s="24" t="str">
        <f aca="false">IF(INPUTS!$B$49="","","AC - "&amp;INPUTS!$B$49&amp;" "&amp;INPUTS!$B$36&amp;" Finishing (Labour)")</f>
        <v>AC - L-07 Air Conditioning Finishing (Labour)</v>
      </c>
      <c r="C282" s="28" t="n">
        <f aca="false">(BUDGET!$J$76-BUDGET!$G$76)*INPUTS!$E$49*$P$246</f>
        <v>0</v>
      </c>
      <c r="D282" s="19" t="n">
        <f aca="false">IFERROR(C282/$C$4,0)</f>
        <v>0</v>
      </c>
      <c r="E282" s="49"/>
      <c r="F282" s="19" t="n">
        <f aca="false">IFERROR(E282/C282,0)</f>
        <v>0</v>
      </c>
      <c r="G282" s="28" t="n">
        <f aca="false">C282-E282</f>
        <v>0</v>
      </c>
      <c r="H282" s="28" t="n">
        <f aca="false">E282*INPUTS!$C$29</f>
        <v>0</v>
      </c>
      <c r="J282" s="24"/>
      <c r="K282" s="28" t="n">
        <f aca="false">BUDGET!$D$76*INPUTS!$E$49</f>
        <v>0</v>
      </c>
      <c r="L282" s="24"/>
      <c r="M282" s="28" t="n">
        <f aca="false">BUDGET!$H$76*INPUTS!$E$49</f>
        <v>0</v>
      </c>
      <c r="N282" s="13" t="n">
        <f aca="false">BUDGET!$C$76*INPUTS!$E$49</f>
        <v>0</v>
      </c>
    </row>
    <row r="283" customFormat="false" ht="15" hidden="false" customHeight="false" outlineLevel="0" collapsed="false">
      <c r="A283" s="24" t="s">
        <v>772</v>
      </c>
      <c r="B283" s="24" t="str">
        <f aca="false">IF(INPUTS!$B$50="","","AC - "&amp;INPUTS!$B$50&amp;" "&amp;INPUTS!$B$36&amp;" Finishing (Labour)")</f>
        <v>AC - L-08 Air Conditioning Finishing (Labour)</v>
      </c>
      <c r="C283" s="28" t="n">
        <f aca="false">(BUDGET!$J$76-BUDGET!$G$76)*INPUTS!$E$50*$P$246</f>
        <v>0</v>
      </c>
      <c r="D283" s="19" t="n">
        <f aca="false">IFERROR(C283/$C$4,0)</f>
        <v>0</v>
      </c>
      <c r="E283" s="49"/>
      <c r="F283" s="19" t="n">
        <f aca="false">IFERROR(E283/C283,0)</f>
        <v>0</v>
      </c>
      <c r="G283" s="28" t="n">
        <f aca="false">C283-E283</f>
        <v>0</v>
      </c>
      <c r="H283" s="28" t="n">
        <f aca="false">E283*INPUTS!$C$29</f>
        <v>0</v>
      </c>
      <c r="J283" s="24"/>
      <c r="K283" s="28" t="n">
        <f aca="false">BUDGET!$D$76*INPUTS!$E$50</f>
        <v>0</v>
      </c>
      <c r="L283" s="24"/>
      <c r="M283" s="28" t="n">
        <f aca="false">BUDGET!$H$76*INPUTS!$E$50</f>
        <v>0</v>
      </c>
      <c r="N283" s="13" t="n">
        <f aca="false">BUDGET!$C$76*INPUTS!$E$50</f>
        <v>0</v>
      </c>
    </row>
    <row r="284" customFormat="false" ht="15" hidden="false" customHeight="false" outlineLevel="0" collapsed="false">
      <c r="A284" s="24" t="s">
        <v>773</v>
      </c>
      <c r="B284" s="24" t="str">
        <f aca="false">IF(INPUTS!$B$51="","","AC - "&amp;INPUTS!$B$51&amp;" "&amp;INPUTS!$B$36&amp;" Finishing (Labour)")</f>
        <v>AC - L-09 Air Conditioning Finishing (Labour)</v>
      </c>
      <c r="C284" s="28" t="n">
        <f aca="false">(BUDGET!$J$76-BUDGET!$G$76)*INPUTS!$E$51*$P$246</f>
        <v>0</v>
      </c>
      <c r="D284" s="19" t="n">
        <f aca="false">IFERROR(C284/$C$4,0)</f>
        <v>0</v>
      </c>
      <c r="E284" s="49"/>
      <c r="F284" s="19" t="n">
        <f aca="false">IFERROR(E284/C284,0)</f>
        <v>0</v>
      </c>
      <c r="G284" s="28" t="n">
        <f aca="false">C284-E284</f>
        <v>0</v>
      </c>
      <c r="H284" s="28" t="n">
        <f aca="false">E284*INPUTS!$C$29</f>
        <v>0</v>
      </c>
      <c r="J284" s="24"/>
      <c r="K284" s="28" t="n">
        <f aca="false">BUDGET!$D$76*INPUTS!$E$51</f>
        <v>0</v>
      </c>
      <c r="L284" s="24"/>
      <c r="M284" s="28" t="n">
        <f aca="false">BUDGET!$H$76*INPUTS!$E$51</f>
        <v>0</v>
      </c>
      <c r="N284" s="13" t="n">
        <f aca="false">BUDGET!$C$76*INPUTS!$E$51</f>
        <v>0</v>
      </c>
    </row>
    <row r="285" customFormat="false" ht="15" hidden="false" customHeight="false" outlineLevel="0" collapsed="false">
      <c r="A285" s="24" t="s">
        <v>774</v>
      </c>
      <c r="B285" s="24" t="str">
        <f aca="false">IF(INPUTS!$B$52="","","AC - "&amp;INPUTS!$B$52&amp;" "&amp;INPUTS!$B$36&amp;" Finishing (Labour)")</f>
        <v>AC - L-10 Air Conditioning Finishing (Labour)</v>
      </c>
      <c r="C285" s="28" t="n">
        <f aca="false">(BUDGET!$J$76-BUDGET!$G$76)*INPUTS!$E$52*$P$246</f>
        <v>0</v>
      </c>
      <c r="D285" s="19" t="n">
        <f aca="false">IFERROR(C285/$C$4,0)</f>
        <v>0</v>
      </c>
      <c r="E285" s="49"/>
      <c r="F285" s="19" t="n">
        <f aca="false">IFERROR(E285/C285,0)</f>
        <v>0</v>
      </c>
      <c r="G285" s="28" t="n">
        <f aca="false">C285-E285</f>
        <v>0</v>
      </c>
      <c r="H285" s="28" t="n">
        <f aca="false">E285*INPUTS!$C$29</f>
        <v>0</v>
      </c>
      <c r="J285" s="24"/>
      <c r="K285" s="28" t="n">
        <f aca="false">BUDGET!$D$76*INPUTS!$E$52</f>
        <v>0</v>
      </c>
      <c r="L285" s="24"/>
      <c r="M285" s="28" t="n">
        <f aca="false">BUDGET!$H$76*INPUTS!$E$52</f>
        <v>0</v>
      </c>
      <c r="N285" s="13" t="n">
        <f aca="false">BUDGET!$C$76*INPUTS!$E$52</f>
        <v>0</v>
      </c>
    </row>
    <row r="286" customFormat="false" ht="15" hidden="false" customHeight="false" outlineLevel="0" collapsed="false">
      <c r="A286" s="24" t="s">
        <v>775</v>
      </c>
      <c r="B286" s="24" t="str">
        <f aca="false">IF(INPUTS!$B$53="","","AC - "&amp;INPUTS!$B$53&amp;" "&amp;INPUTS!$B$36&amp;" Finishing (Labour)")</f>
        <v>AC - ROOF Air Conditioning Finishing (Labour)</v>
      </c>
      <c r="C286" s="28" t="n">
        <f aca="false">(BUDGET!$J$76-BUDGET!$G$76)*INPUTS!$E$53*$P$246</f>
        <v>0</v>
      </c>
      <c r="D286" s="19" t="n">
        <f aca="false">IFERROR(C286/$C$4,0)</f>
        <v>0</v>
      </c>
      <c r="E286" s="49"/>
      <c r="F286" s="19" t="n">
        <f aca="false">IFERROR(E286/C286,0)</f>
        <v>0</v>
      </c>
      <c r="G286" s="28" t="n">
        <f aca="false">C286-E286</f>
        <v>0</v>
      </c>
      <c r="H286" s="28" t="n">
        <f aca="false">E286*INPUTS!$C$29</f>
        <v>0</v>
      </c>
      <c r="J286" s="24"/>
      <c r="K286" s="28" t="n">
        <f aca="false">BUDGET!$D$76*INPUTS!$E$53</f>
        <v>0</v>
      </c>
      <c r="L286" s="24"/>
      <c r="M286" s="28" t="n">
        <f aca="false">BUDGET!$H$76*INPUTS!$E$53</f>
        <v>0</v>
      </c>
      <c r="N286" s="13" t="n">
        <f aca="false">BUDGET!$C$76*INPUTS!$E$53</f>
        <v>0</v>
      </c>
    </row>
    <row r="287" customFormat="false" ht="15" hidden="false" customHeight="false" outlineLevel="0" collapsed="false">
      <c r="A287" s="24" t="s">
        <v>776</v>
      </c>
      <c r="B287" s="24" t="str">
        <f aca="false">IF(INPUTS!$B$54="","","AC - "&amp;INPUTS!$B$54&amp;" "&amp;INPUTS!$B$36&amp;" Finishing (Labour)")</f>
        <v/>
      </c>
      <c r="C287" s="28" t="n">
        <f aca="false">(BUDGET!$J$76-BUDGET!$G$76)*INPUTS!$E$54*$P$246</f>
        <v>0</v>
      </c>
      <c r="D287" s="19" t="n">
        <f aca="false">IFERROR(C287/$C$4,0)</f>
        <v>0</v>
      </c>
      <c r="E287" s="49"/>
      <c r="F287" s="19" t="n">
        <f aca="false">IFERROR(E287/C287,0)</f>
        <v>0</v>
      </c>
      <c r="G287" s="28" t="n">
        <f aca="false">C287-E287</f>
        <v>0</v>
      </c>
      <c r="H287" s="28" t="n">
        <f aca="false">E287*INPUTS!$C$29</f>
        <v>0</v>
      </c>
      <c r="J287" s="24"/>
      <c r="K287" s="28" t="n">
        <f aca="false">BUDGET!$D$76*INPUTS!$E$54</f>
        <v>0</v>
      </c>
      <c r="L287" s="24"/>
      <c r="M287" s="28" t="n">
        <f aca="false">BUDGET!$H$76*INPUTS!$E$54</f>
        <v>0</v>
      </c>
      <c r="N287" s="13" t="n">
        <f aca="false">BUDGET!$C$76*INPUTS!$E$54</f>
        <v>0</v>
      </c>
    </row>
    <row r="288" customFormat="false" ht="15" hidden="false" customHeight="false" outlineLevel="0" collapsed="false">
      <c r="A288" s="24" t="s">
        <v>777</v>
      </c>
      <c r="B288" s="24" t="str">
        <f aca="false">IF(INPUTS!$B$55="","","AC - "&amp;INPUTS!$B$55&amp;" "&amp;INPUTS!$B$36&amp;" Finishing (Labour)")</f>
        <v/>
      </c>
      <c r="C288" s="28" t="n">
        <f aca="false">(BUDGET!$J$76-BUDGET!$G$76)*INPUTS!$E$55*$P$246</f>
        <v>0</v>
      </c>
      <c r="D288" s="19" t="n">
        <f aca="false">IFERROR(C288/$C$4,0)</f>
        <v>0</v>
      </c>
      <c r="E288" s="49"/>
      <c r="F288" s="19" t="n">
        <f aca="false">IFERROR(E288/C288,0)</f>
        <v>0</v>
      </c>
      <c r="G288" s="28" t="n">
        <f aca="false">C288-E288</f>
        <v>0</v>
      </c>
      <c r="H288" s="28" t="n">
        <f aca="false">E288*INPUTS!$C$29</f>
        <v>0</v>
      </c>
      <c r="J288" s="24"/>
      <c r="K288" s="28" t="n">
        <f aca="false">BUDGET!$D$76*INPUTS!$E$55</f>
        <v>0</v>
      </c>
      <c r="L288" s="24"/>
      <c r="M288" s="28" t="n">
        <f aca="false">BUDGET!$H$76*INPUTS!$E$55</f>
        <v>0</v>
      </c>
      <c r="N288" s="13" t="n">
        <f aca="false">BUDGET!$C$76*INPUTS!$E$55</f>
        <v>0</v>
      </c>
    </row>
    <row r="289" customFormat="false" ht="15" hidden="false" customHeight="false" outlineLevel="0" collapsed="false">
      <c r="A289" s="24" t="s">
        <v>778</v>
      </c>
      <c r="B289" s="24" t="str">
        <f aca="false">IF(INPUTS!$B$56="","","AC - "&amp;INPUTS!$B$56&amp;" "&amp;INPUTS!$B$36&amp;" Finishing (Labour)")</f>
        <v/>
      </c>
      <c r="C289" s="28" t="n">
        <f aca="false">(BUDGET!$J$76-BUDGET!$G$76)*INPUTS!$E$56*$P$246</f>
        <v>0</v>
      </c>
      <c r="D289" s="19" t="n">
        <f aca="false">IFERROR(C289/$C$4,0)</f>
        <v>0</v>
      </c>
      <c r="E289" s="49"/>
      <c r="F289" s="19" t="n">
        <f aca="false">IFERROR(E289/C289,0)</f>
        <v>0</v>
      </c>
      <c r="G289" s="28" t="n">
        <f aca="false">C289-E289</f>
        <v>0</v>
      </c>
      <c r="H289" s="28" t="n">
        <f aca="false">E289*INPUTS!$C$29</f>
        <v>0</v>
      </c>
      <c r="J289" s="24"/>
      <c r="K289" s="28" t="n">
        <f aca="false">BUDGET!$D$76*INPUTS!$E$56</f>
        <v>0</v>
      </c>
      <c r="L289" s="24"/>
      <c r="M289" s="28" t="n">
        <f aca="false">BUDGET!$H$76*INPUTS!$E$56</f>
        <v>0</v>
      </c>
      <c r="N289" s="13" t="n">
        <f aca="false">BUDGET!$C$76*INPUTS!$E$56</f>
        <v>0</v>
      </c>
    </row>
    <row r="290" customFormat="false" ht="15" hidden="false" customHeight="false" outlineLevel="0" collapsed="false">
      <c r="A290" s="24" t="s">
        <v>779</v>
      </c>
      <c r="B290" s="24" t="str">
        <f aca="false">IF(INPUTS!$B$57="","","AC - "&amp;INPUTS!$B$57&amp;" "&amp;INPUTS!$B$36&amp;" Finishing (Labour)")</f>
        <v/>
      </c>
      <c r="C290" s="28" t="n">
        <f aca="false">(BUDGET!$J$76-BUDGET!$G$76)*INPUTS!$E$57*$P$246</f>
        <v>0</v>
      </c>
      <c r="D290" s="19" t="n">
        <f aca="false">IFERROR(C290/$C$4,0)</f>
        <v>0</v>
      </c>
      <c r="E290" s="49"/>
      <c r="F290" s="19" t="n">
        <f aca="false">IFERROR(E290/C290,0)</f>
        <v>0</v>
      </c>
      <c r="G290" s="28" t="n">
        <f aca="false">C290-E290</f>
        <v>0</v>
      </c>
      <c r="H290" s="28" t="n">
        <f aca="false">E290*INPUTS!$C$29</f>
        <v>0</v>
      </c>
      <c r="J290" s="24"/>
      <c r="K290" s="28" t="n">
        <f aca="false">BUDGET!$D$76*INPUTS!$E$57</f>
        <v>0</v>
      </c>
      <c r="L290" s="24"/>
      <c r="M290" s="28" t="n">
        <f aca="false">BUDGET!$H$76*INPUTS!$E$57</f>
        <v>0</v>
      </c>
      <c r="N290" s="13" t="n">
        <f aca="false">BUDGET!$C$76*INPUTS!$E$57</f>
        <v>0</v>
      </c>
    </row>
    <row r="291" customFormat="false" ht="15" hidden="false" customHeight="false" outlineLevel="0" collapsed="false">
      <c r="A291" s="24" t="s">
        <v>780</v>
      </c>
      <c r="B291" s="24" t="str">
        <f aca="false">IF(INPUTS!$B$58="","","AC - "&amp;INPUTS!$B$58&amp;" "&amp;INPUTS!$B$36&amp;" Finishing (Labour)")</f>
        <v/>
      </c>
      <c r="C291" s="28" t="n">
        <f aca="false">(BUDGET!$J$76-BUDGET!$G$76)*INPUTS!$E$58*$P$246</f>
        <v>0</v>
      </c>
      <c r="D291" s="19" t="n">
        <f aca="false">IFERROR(C291/$C$4,0)</f>
        <v>0</v>
      </c>
      <c r="E291" s="49"/>
      <c r="F291" s="19" t="n">
        <f aca="false">IFERROR(E291/C291,0)</f>
        <v>0</v>
      </c>
      <c r="G291" s="28" t="n">
        <f aca="false">C291-E291</f>
        <v>0</v>
      </c>
      <c r="H291" s="28" t="n">
        <f aca="false">E291*INPUTS!$C$29</f>
        <v>0</v>
      </c>
      <c r="J291" s="24"/>
      <c r="K291" s="28" t="n">
        <f aca="false">BUDGET!$D$76*INPUTS!$E$58</f>
        <v>0</v>
      </c>
      <c r="L291" s="24"/>
      <c r="M291" s="28" t="n">
        <f aca="false">BUDGET!$H$76*INPUTS!$E$58</f>
        <v>0</v>
      </c>
      <c r="N291" s="13" t="n">
        <f aca="false">BUDGET!$C$76*INPUTS!$E$58</f>
        <v>0</v>
      </c>
    </row>
    <row r="292" customFormat="false" ht="15" hidden="false" customHeight="false" outlineLevel="0" collapsed="false">
      <c r="A292" s="24" t="s">
        <v>781</v>
      </c>
      <c r="B292" s="24" t="str">
        <f aca="false">IF(INPUTS!$B$59="","","AC - "&amp;INPUTS!$B$59&amp;" "&amp;INPUTS!$B$36&amp;" Finishing (Labour)")</f>
        <v/>
      </c>
      <c r="C292" s="28" t="n">
        <f aca="false">(BUDGET!$J$76-BUDGET!$G$76)*INPUTS!$E$59*$P$246</f>
        <v>0</v>
      </c>
      <c r="D292" s="19" t="n">
        <f aca="false">IFERROR(C292/$C$4,0)</f>
        <v>0</v>
      </c>
      <c r="E292" s="49"/>
      <c r="F292" s="19" t="n">
        <f aca="false">IFERROR(E292/C292,0)</f>
        <v>0</v>
      </c>
      <c r="G292" s="28" t="n">
        <f aca="false">C292-E292</f>
        <v>0</v>
      </c>
      <c r="H292" s="28" t="n">
        <f aca="false">E292*INPUTS!$C$29</f>
        <v>0</v>
      </c>
      <c r="J292" s="24"/>
      <c r="K292" s="28" t="n">
        <f aca="false">BUDGET!$D$76*INPUTS!$E$59</f>
        <v>0</v>
      </c>
      <c r="L292" s="24"/>
      <c r="M292" s="28" t="n">
        <f aca="false">BUDGET!$H$76*INPUTS!$E$59</f>
        <v>0</v>
      </c>
      <c r="N292" s="13" t="n">
        <f aca="false">BUDGET!$C$76*INPUTS!$E$59</f>
        <v>0</v>
      </c>
    </row>
    <row r="293" customFormat="false" ht="15" hidden="false" customHeight="false" outlineLevel="0" collapsed="false">
      <c r="A293" s="24" t="s">
        <v>782</v>
      </c>
      <c r="B293" s="24" t="str">
        <f aca="false">IF(INPUTS!$B$60="","","AC - "&amp;INPUTS!$B$60&amp;" "&amp;INPUTS!$B$36&amp;" Finishing (Labour)")</f>
        <v/>
      </c>
      <c r="C293" s="28" t="n">
        <f aca="false">(BUDGET!$J$76-BUDGET!$G$76)*INPUTS!$E$60*$P$246</f>
        <v>0</v>
      </c>
      <c r="D293" s="19" t="n">
        <f aca="false">IFERROR(C293/$C$4,0)</f>
        <v>0</v>
      </c>
      <c r="E293" s="49"/>
      <c r="F293" s="19" t="n">
        <f aca="false">IFERROR(E293/C293,0)</f>
        <v>0</v>
      </c>
      <c r="G293" s="28" t="n">
        <f aca="false">C293-E293</f>
        <v>0</v>
      </c>
      <c r="H293" s="28" t="n">
        <f aca="false">E293*INPUTS!$C$29</f>
        <v>0</v>
      </c>
      <c r="J293" s="24"/>
      <c r="K293" s="28" t="n">
        <f aca="false">BUDGET!$D$76*INPUTS!$E$60</f>
        <v>0</v>
      </c>
      <c r="L293" s="24"/>
      <c r="M293" s="28" t="n">
        <f aca="false">BUDGET!$H$76*INPUTS!$E$60</f>
        <v>0</v>
      </c>
      <c r="N293" s="13" t="n">
        <f aca="false">BUDGET!$C$76*INPUTS!$E$60</f>
        <v>0</v>
      </c>
    </row>
    <row r="294" customFormat="false" ht="15" hidden="false" customHeight="false" outlineLevel="0" collapsed="false">
      <c r="A294" s="24" t="s">
        <v>783</v>
      </c>
      <c r="B294" s="24" t="str">
        <f aca="false">IF(INPUTS!$B$61="","","AC - "&amp;INPUTS!$B$61&amp;" "&amp;INPUTS!$B$36&amp;" Finishing (Labour)")</f>
        <v/>
      </c>
      <c r="C294" s="28" t="n">
        <f aca="false">(BUDGET!$J$76-BUDGET!$G$76)*INPUTS!$E$61*$P$246</f>
        <v>0</v>
      </c>
      <c r="D294" s="19" t="n">
        <f aca="false">IFERROR(C294/$C$4,0)</f>
        <v>0</v>
      </c>
      <c r="E294" s="49"/>
      <c r="F294" s="19" t="n">
        <f aca="false">IFERROR(E294/C294,0)</f>
        <v>0</v>
      </c>
      <c r="G294" s="28" t="n">
        <f aca="false">C294-E294</f>
        <v>0</v>
      </c>
      <c r="H294" s="28" t="n">
        <f aca="false">E294*INPUTS!$C$29</f>
        <v>0</v>
      </c>
      <c r="J294" s="24"/>
      <c r="K294" s="28" t="n">
        <f aca="false">BUDGET!$D$76*INPUTS!$E$61</f>
        <v>0</v>
      </c>
      <c r="L294" s="24"/>
      <c r="M294" s="28" t="n">
        <f aca="false">BUDGET!$H$76*INPUTS!$E$61</f>
        <v>0</v>
      </c>
      <c r="N294" s="13" t="n">
        <f aca="false">BUDGET!$C$76*INPUTS!$E$61</f>
        <v>0</v>
      </c>
    </row>
    <row r="295" customFormat="false" ht="15" hidden="false" customHeight="false" outlineLevel="0" collapsed="false">
      <c r="A295" s="24" t="s">
        <v>784</v>
      </c>
      <c r="B295" s="24" t="str">
        <f aca="false">IF(INPUTS!$B$62="","","AC - "&amp;INPUTS!$B$62&amp;" "&amp;INPUTS!$B$36&amp;" Finishing (Labour)")</f>
        <v/>
      </c>
      <c r="C295" s="28" t="n">
        <f aca="false">(BUDGET!$J$76-BUDGET!$G$76)*INPUTS!$E$62*$P$246</f>
        <v>0</v>
      </c>
      <c r="D295" s="19" t="n">
        <f aca="false">IFERROR(C295/$C$4,0)</f>
        <v>0</v>
      </c>
      <c r="E295" s="49"/>
      <c r="F295" s="19" t="n">
        <f aca="false">IFERROR(E295/C295,0)</f>
        <v>0</v>
      </c>
      <c r="G295" s="28" t="n">
        <f aca="false">C295-E295</f>
        <v>0</v>
      </c>
      <c r="H295" s="28" t="n">
        <f aca="false">E295*INPUTS!$C$29</f>
        <v>0</v>
      </c>
      <c r="J295" s="24"/>
      <c r="K295" s="28" t="n">
        <f aca="false">BUDGET!$D$76*INPUTS!$E$62</f>
        <v>0</v>
      </c>
      <c r="L295" s="24"/>
      <c r="M295" s="28" t="n">
        <f aca="false">BUDGET!$H$76*INPUTS!$E$62</f>
        <v>0</v>
      </c>
      <c r="N295" s="13" t="n">
        <f aca="false">BUDGET!$C$76*INPUTS!$E$62</f>
        <v>0</v>
      </c>
    </row>
    <row r="296" customFormat="false" ht="15" hidden="false" customHeight="false" outlineLevel="0" collapsed="false">
      <c r="A296" s="24" t="s">
        <v>785</v>
      </c>
      <c r="B296" s="24" t="str">
        <f aca="false">IF(INPUTS!$B$63="","","AC - "&amp;INPUTS!$B$63&amp;" "&amp;INPUTS!$B$36&amp;" Finishing (Labour)")</f>
        <v/>
      </c>
      <c r="C296" s="28" t="n">
        <f aca="false">(BUDGET!$J$76-BUDGET!$G$76)*INPUTS!$E$63*$P$246</f>
        <v>0</v>
      </c>
      <c r="D296" s="19" t="n">
        <f aca="false">IFERROR(C296/$C$4,0)</f>
        <v>0</v>
      </c>
      <c r="E296" s="49"/>
      <c r="F296" s="19" t="n">
        <f aca="false">IFERROR(E296/C296,0)</f>
        <v>0</v>
      </c>
      <c r="G296" s="28" t="n">
        <f aca="false">C296-E296</f>
        <v>0</v>
      </c>
      <c r="H296" s="28" t="n">
        <f aca="false">E296*INPUTS!$C$29</f>
        <v>0</v>
      </c>
      <c r="J296" s="24"/>
      <c r="K296" s="28" t="n">
        <f aca="false">BUDGET!$D$76*INPUTS!$E$63</f>
        <v>0</v>
      </c>
      <c r="L296" s="24"/>
      <c r="M296" s="28" t="n">
        <f aca="false">BUDGET!$H$76*INPUTS!$E$63</f>
        <v>0</v>
      </c>
      <c r="N296" s="13" t="n">
        <f aca="false">BUDGET!$C$76*INPUTS!$E$63</f>
        <v>0</v>
      </c>
    </row>
    <row r="297" customFormat="false" ht="15" hidden="false" customHeight="false" outlineLevel="0" collapsed="false">
      <c r="A297" s="24" t="s">
        <v>786</v>
      </c>
      <c r="B297" s="24" t="str">
        <f aca="false">"AC - "&amp;MID(INPUTS!$B$71,4,80)</f>
        <v>AC - Material Supply</v>
      </c>
      <c r="C297" s="28" t="n">
        <f aca="false">(BUDGET!$J$77-BUDGET!$G$77)*$P$246</f>
        <v>0</v>
      </c>
      <c r="D297" s="19" t="n">
        <f aca="false">IFERROR(C297/$C$4,0)</f>
        <v>0</v>
      </c>
      <c r="E297" s="49"/>
      <c r="F297" s="19" t="n">
        <f aca="false">IFERROR(E297/C297,0)</f>
        <v>0</v>
      </c>
      <c r="G297" s="28" t="n">
        <f aca="false">C297-E297</f>
        <v>0</v>
      </c>
      <c r="H297" s="28" t="n">
        <f aca="false">E297*INPUTS!$C$29</f>
        <v>0</v>
      </c>
      <c r="J297" s="28" t="n">
        <f aca="false">BUDGET!$F$77+BUDGET!$F$82</f>
        <v>0</v>
      </c>
      <c r="K297" s="28" t="n">
        <f aca="false">BUDGET!$D$77</f>
        <v>0</v>
      </c>
      <c r="L297" s="24"/>
      <c r="M297" s="28" t="n">
        <f aca="false">BUDGET!$H$77</f>
        <v>0</v>
      </c>
      <c r="N297" s="13" t="n">
        <f aca="false">BUDGET!$C$77</f>
        <v>0</v>
      </c>
    </row>
    <row r="298" customFormat="false" ht="15" hidden="false" customHeight="false" outlineLevel="0" collapsed="false">
      <c r="A298" s="24" t="s">
        <v>787</v>
      </c>
      <c r="B298" s="24" t="str">
        <f aca="false">"AC - "&amp;MID(INPUTS!$B$72,4,80)</f>
        <v>AC - Fixtures &amp; Equipment Supply</v>
      </c>
      <c r="C298" s="28" t="n">
        <f aca="false">(BUDGET!$J$78-BUDGET!$G$78)*$P$246</f>
        <v>0</v>
      </c>
      <c r="D298" s="19" t="n">
        <f aca="false">IFERROR(C298/$C$4,0)</f>
        <v>0</v>
      </c>
      <c r="E298" s="49"/>
      <c r="F298" s="19" t="n">
        <f aca="false">IFERROR(E298/C298,0)</f>
        <v>0</v>
      </c>
      <c r="G298" s="28" t="n">
        <f aca="false">C298-E298</f>
        <v>0</v>
      </c>
      <c r="H298" s="28" t="n">
        <f aca="false">E298*INPUTS!$C$29</f>
        <v>0</v>
      </c>
      <c r="J298" s="28" t="n">
        <f aca="false">BUDGET!$F$78</f>
        <v>0</v>
      </c>
      <c r="K298" s="28" t="n">
        <f aca="false">BUDGET!$D$78</f>
        <v>0</v>
      </c>
      <c r="L298" s="24"/>
      <c r="M298" s="28" t="n">
        <f aca="false">BUDGET!$H$78</f>
        <v>0</v>
      </c>
      <c r="N298" s="13" t="n">
        <f aca="false">BUDGET!$C$78</f>
        <v>0</v>
      </c>
    </row>
    <row r="299" customFormat="false" ht="15" hidden="false" customHeight="false" outlineLevel="0" collapsed="false">
      <c r="A299" s="24" t="s">
        <v>788</v>
      </c>
      <c r="B299" s="24" t="str">
        <f aca="false">"AC - "&amp;MID(INPUTS!$B$73,4,80)</f>
        <v>AC - Testing, TAB &amp; Commissioning</v>
      </c>
      <c r="C299" s="28" t="n">
        <f aca="false">(BUDGET!$J$79-BUDGET!$G$79)*$P$246</f>
        <v>0</v>
      </c>
      <c r="D299" s="19" t="n">
        <f aca="false">IFERROR(C299/$C$4,0)</f>
        <v>0</v>
      </c>
      <c r="E299" s="49"/>
      <c r="F299" s="19" t="n">
        <f aca="false">IFERROR(E299/C299,0)</f>
        <v>0</v>
      </c>
      <c r="G299" s="28" t="n">
        <f aca="false">C299-E299</f>
        <v>0</v>
      </c>
      <c r="H299" s="28" t="n">
        <f aca="false">E299*INPUTS!$C$29</f>
        <v>0</v>
      </c>
      <c r="J299" s="28" t="n">
        <f aca="false">BUDGET!$F$79</f>
        <v>0</v>
      </c>
      <c r="K299" s="28" t="n">
        <f aca="false">BUDGET!$D$79</f>
        <v>0</v>
      </c>
      <c r="L299" s="24"/>
      <c r="M299" s="28" t="n">
        <f aca="false">BUDGET!$H$79</f>
        <v>0</v>
      </c>
      <c r="N299" s="13" t="n">
        <f aca="false">BUDGET!$C$79</f>
        <v>0</v>
      </c>
    </row>
    <row r="300" customFormat="false" ht="15" hidden="false" customHeight="false" outlineLevel="0" collapsed="false">
      <c r="A300" s="24" t="s">
        <v>789</v>
      </c>
      <c r="B300" s="24" t="str">
        <f aca="false">"AC - "&amp;MID(INPUTS!$B$74,4,80)</f>
        <v>AC - Completion &amp; Final Documents</v>
      </c>
      <c r="C300" s="28" t="n">
        <f aca="false">(BUDGET!$J$80-BUDGET!$G$80)*$P$246</f>
        <v>0</v>
      </c>
      <c r="D300" s="19" t="n">
        <f aca="false">IFERROR(C300/$C$4,0)</f>
        <v>0</v>
      </c>
      <c r="E300" s="49"/>
      <c r="F300" s="19" t="n">
        <f aca="false">IFERROR(E300/C300,0)</f>
        <v>0</v>
      </c>
      <c r="G300" s="28" t="n">
        <f aca="false">C300-E300</f>
        <v>0</v>
      </c>
      <c r="H300" s="28" t="n">
        <f aca="false">E300*INPUTS!$C$29</f>
        <v>0</v>
      </c>
      <c r="J300" s="28" t="n">
        <f aca="false">BUDGET!$F$80</f>
        <v>0</v>
      </c>
      <c r="K300" s="28" t="n">
        <f aca="false">BUDGET!$D$80</f>
        <v>0</v>
      </c>
      <c r="L300" s="24"/>
      <c r="M300" s="28" t="n">
        <f aca="false">BUDGET!$H$80</f>
        <v>0</v>
      </c>
      <c r="N300" s="13" t="n">
        <f aca="false">BUDGET!$C$80</f>
        <v>0</v>
      </c>
    </row>
    <row r="301" customFormat="false" ht="15" hidden="false" customHeight="false" outlineLevel="0" collapsed="false">
      <c r="A301" s="24" t="s">
        <v>790</v>
      </c>
      <c r="B301" s="24" t="str">
        <f aca="false">"AC - "&amp;MID(INPUTS!$B$75,4,80)</f>
        <v>AC - Office, Supervision &amp; General</v>
      </c>
      <c r="C301" s="28" t="n">
        <f aca="false">(BUDGET!$J$81-BUDGET!$G$81)*$P$246</f>
        <v>0</v>
      </c>
      <c r="D301" s="19" t="n">
        <f aca="false">IFERROR(C301/$C$4,0)</f>
        <v>0</v>
      </c>
      <c r="E301" s="49"/>
      <c r="F301" s="19" t="n">
        <f aca="false">IFERROR(E301/C301,0)</f>
        <v>0</v>
      </c>
      <c r="G301" s="28" t="n">
        <f aca="false">C301-E301</f>
        <v>0</v>
      </c>
      <c r="H301" s="28" t="n">
        <f aca="false">E301*INPUTS!$C$29</f>
        <v>0</v>
      </c>
      <c r="J301" s="28" t="n">
        <f aca="false">BUDGET!$F$81</f>
        <v>0</v>
      </c>
      <c r="K301" s="28" t="n">
        <f aca="false">BUDGET!$D$81</f>
        <v>0</v>
      </c>
      <c r="L301" s="24"/>
      <c r="M301" s="28" t="n">
        <f aca="false">BUDGET!$H$81</f>
        <v>0</v>
      </c>
      <c r="N301" s="13" t="n">
        <f aca="false">BUDGET!$C$81</f>
        <v>0</v>
      </c>
    </row>
    <row r="302" customFormat="false" ht="15" hidden="false" customHeight="false" outlineLevel="0" collapsed="false">
      <c r="A302" s="24" t="s">
        <v>791</v>
      </c>
      <c r="B302" s="24" t="str">
        <f aca="false">IF('SUBS &amp; GC'!$B$7="","","AC - "&amp;'SUBS &amp; GC'!$B$7)</f>
        <v>AC - Insulation and Heat Trace</v>
      </c>
      <c r="C302" s="28" t="n">
        <f aca="false">'SUBS &amp; GC'!$P$7*$P$246</f>
        <v>0</v>
      </c>
      <c r="D302" s="19" t="n">
        <f aca="false">IFERROR(C302/$C$4,0)</f>
        <v>0</v>
      </c>
      <c r="E302" s="49"/>
      <c r="F302" s="19" t="n">
        <f aca="false">IFERROR(E302/C302,0)</f>
        <v>0</v>
      </c>
      <c r="G302" s="28" t="n">
        <f aca="false">C302-E302</f>
        <v>0</v>
      </c>
      <c r="H302" s="28" t="n">
        <f aca="false">E302*INPUTS!$C$29</f>
        <v>0</v>
      </c>
      <c r="J302" s="24"/>
      <c r="K302" s="24"/>
      <c r="L302" s="28" t="n">
        <f aca="false">'SUBS &amp; GC'!$P$7</f>
        <v>0</v>
      </c>
      <c r="M302" s="24"/>
      <c r="N302" s="24"/>
    </row>
    <row r="303" customFormat="false" ht="15" hidden="false" customHeight="false" outlineLevel="0" collapsed="false">
      <c r="A303" s="24" t="s">
        <v>792</v>
      </c>
      <c r="B303" s="24" t="str">
        <f aca="false">IF('SUBS &amp; GC'!$B$8="","","AC - "&amp;'SUBS &amp; GC'!$B$8)</f>
        <v>AC - Duct Insulation</v>
      </c>
      <c r="C303" s="28" t="n">
        <f aca="false">'SUBS &amp; GC'!$P$8*$P$246</f>
        <v>0</v>
      </c>
      <c r="D303" s="19" t="n">
        <f aca="false">IFERROR(C303/$C$4,0)</f>
        <v>0</v>
      </c>
      <c r="E303" s="49"/>
      <c r="F303" s="19" t="n">
        <f aca="false">IFERROR(E303/C303,0)</f>
        <v>0</v>
      </c>
      <c r="G303" s="28" t="n">
        <f aca="false">C303-E303</f>
        <v>0</v>
      </c>
      <c r="H303" s="28" t="n">
        <f aca="false">E303*INPUTS!$C$29</f>
        <v>0</v>
      </c>
      <c r="J303" s="24"/>
      <c r="K303" s="24"/>
      <c r="L303" s="28" t="n">
        <f aca="false">'SUBS &amp; GC'!$P$8</f>
        <v>0</v>
      </c>
      <c r="M303" s="24"/>
      <c r="N303" s="24"/>
    </row>
    <row r="304" customFormat="false" ht="15" hidden="false" customHeight="false" outlineLevel="0" collapsed="false">
      <c r="A304" s="24" t="s">
        <v>793</v>
      </c>
      <c r="B304" s="24" t="str">
        <f aca="false">IF('SUBS &amp; GC'!$B$9="","","AC - "&amp;'SUBS &amp; GC'!$B$9)</f>
        <v>AC - Fire Sprinklers</v>
      </c>
      <c r="C304" s="28" t="n">
        <f aca="false">'SUBS &amp; GC'!$P$9*$P$246</f>
        <v>0</v>
      </c>
      <c r="D304" s="19" t="n">
        <f aca="false">IFERROR(C304/$C$4,0)</f>
        <v>0</v>
      </c>
      <c r="E304" s="49"/>
      <c r="F304" s="19" t="n">
        <f aca="false">IFERROR(E304/C304,0)</f>
        <v>0</v>
      </c>
      <c r="G304" s="28" t="n">
        <f aca="false">C304-E304</f>
        <v>0</v>
      </c>
      <c r="H304" s="28" t="n">
        <f aca="false">E304*INPUTS!$C$29</f>
        <v>0</v>
      </c>
      <c r="J304" s="24"/>
      <c r="K304" s="24"/>
      <c r="L304" s="28" t="n">
        <f aca="false">'SUBS &amp; GC'!$P$9</f>
        <v>0</v>
      </c>
      <c r="M304" s="24"/>
      <c r="N304" s="24"/>
    </row>
    <row r="305" customFormat="false" ht="15" hidden="false" customHeight="false" outlineLevel="0" collapsed="false">
      <c r="A305" s="24" t="s">
        <v>794</v>
      </c>
      <c r="B305" s="24" t="str">
        <f aca="false">IF('SUBS &amp; GC'!$B$10="","","AC - "&amp;'SUBS &amp; GC'!$B$10)</f>
        <v>AC - P&amp;H Controls</v>
      </c>
      <c r="C305" s="28" t="n">
        <f aca="false">'SUBS &amp; GC'!$P$10*$P$246</f>
        <v>0</v>
      </c>
      <c r="D305" s="19" t="n">
        <f aca="false">IFERROR(C305/$C$4,0)</f>
        <v>0</v>
      </c>
      <c r="E305" s="49"/>
      <c r="F305" s="19" t="n">
        <f aca="false">IFERROR(E305/C305,0)</f>
        <v>0</v>
      </c>
      <c r="G305" s="28" t="n">
        <f aca="false">C305-E305</f>
        <v>0</v>
      </c>
      <c r="H305" s="28" t="n">
        <f aca="false">E305*INPUTS!$C$29</f>
        <v>0</v>
      </c>
      <c r="J305" s="24"/>
      <c r="K305" s="24"/>
      <c r="L305" s="28" t="n">
        <f aca="false">'SUBS &amp; GC'!$P$10</f>
        <v>0</v>
      </c>
      <c r="M305" s="24"/>
      <c r="N305" s="24"/>
    </row>
    <row r="306" customFormat="false" ht="15" hidden="false" customHeight="false" outlineLevel="0" collapsed="false">
      <c r="A306" s="24" t="s">
        <v>795</v>
      </c>
      <c r="B306" s="24" t="str">
        <f aca="false">IF('SUBS &amp; GC'!$B$11="","","AC - "&amp;'SUBS &amp; GC'!$B$11)</f>
        <v>AC - HVAC Controls</v>
      </c>
      <c r="C306" s="28" t="n">
        <f aca="false">'SUBS &amp; GC'!$P$11*$P$246</f>
        <v>0</v>
      </c>
      <c r="D306" s="19" t="n">
        <f aca="false">IFERROR(C306/$C$4,0)</f>
        <v>0</v>
      </c>
      <c r="E306" s="49"/>
      <c r="F306" s="19" t="n">
        <f aca="false">IFERROR(E306/C306,0)</f>
        <v>0</v>
      </c>
      <c r="G306" s="28" t="n">
        <f aca="false">C306-E306</f>
        <v>0</v>
      </c>
      <c r="H306" s="28" t="n">
        <f aca="false">E306*INPUTS!$C$29</f>
        <v>0</v>
      </c>
      <c r="J306" s="24"/>
      <c r="K306" s="24"/>
      <c r="L306" s="28" t="n">
        <f aca="false">'SUBS &amp; GC'!$P$11</f>
        <v>0</v>
      </c>
      <c r="M306" s="24"/>
      <c r="N306" s="24"/>
    </row>
    <row r="307" customFormat="false" ht="15" hidden="false" customHeight="false" outlineLevel="0" collapsed="false">
      <c r="A307" s="24" t="s">
        <v>796</v>
      </c>
      <c r="B307" s="24" t="str">
        <f aca="false">IF('SUBS &amp; GC'!$B$12="","","AC - "&amp;'SUBS &amp; GC'!$B$12)</f>
        <v>AC - TAB and Commissioning</v>
      </c>
      <c r="C307" s="28" t="n">
        <f aca="false">'SUBS &amp; GC'!$P$12*$P$246</f>
        <v>0</v>
      </c>
      <c r="D307" s="19" t="n">
        <f aca="false">IFERROR(C307/$C$4,0)</f>
        <v>0</v>
      </c>
      <c r="E307" s="49"/>
      <c r="F307" s="19" t="n">
        <f aca="false">IFERROR(E307/C307,0)</f>
        <v>0</v>
      </c>
      <c r="G307" s="28" t="n">
        <f aca="false">C307-E307</f>
        <v>0</v>
      </c>
      <c r="H307" s="28" t="n">
        <f aca="false">E307*INPUTS!$C$29</f>
        <v>0</v>
      </c>
      <c r="J307" s="24"/>
      <c r="K307" s="24"/>
      <c r="L307" s="28" t="n">
        <f aca="false">'SUBS &amp; GC'!$P$12</f>
        <v>0</v>
      </c>
      <c r="M307" s="24"/>
      <c r="N307" s="24"/>
    </row>
    <row r="308" customFormat="false" ht="15" hidden="false" customHeight="false" outlineLevel="0" collapsed="false">
      <c r="A308" s="24" t="s">
        <v>797</v>
      </c>
      <c r="B308" s="24" t="str">
        <f aca="false">IF('SUBS &amp; GC'!$B$13="","","AC - "&amp;'SUBS &amp; GC'!$B$13)</f>
        <v>AC - A/C Commissioning</v>
      </c>
      <c r="C308" s="28" t="n">
        <f aca="false">'SUBS &amp; GC'!$P$13*$P$246</f>
        <v>0</v>
      </c>
      <c r="D308" s="19" t="n">
        <f aca="false">IFERROR(C308/$C$4,0)</f>
        <v>0</v>
      </c>
      <c r="E308" s="49"/>
      <c r="F308" s="19" t="n">
        <f aca="false">IFERROR(E308/C308,0)</f>
        <v>0</v>
      </c>
      <c r="G308" s="28" t="n">
        <f aca="false">C308-E308</f>
        <v>0</v>
      </c>
      <c r="H308" s="28" t="n">
        <f aca="false">E308*INPUTS!$C$29</f>
        <v>0</v>
      </c>
      <c r="J308" s="24"/>
      <c r="K308" s="24"/>
      <c r="L308" s="28" t="n">
        <f aca="false">'SUBS &amp; GC'!$P$13</f>
        <v>0</v>
      </c>
      <c r="M308" s="24"/>
      <c r="N308" s="24"/>
    </row>
    <row r="309" customFormat="false" ht="15" hidden="false" customHeight="false" outlineLevel="0" collapsed="false">
      <c r="A309" s="24" t="s">
        <v>798</v>
      </c>
      <c r="B309" s="24" t="str">
        <f aca="false">IF('SUBS &amp; GC'!$B$14="","","AC - "&amp;'SUBS &amp; GC'!$B$14)</f>
        <v>AC - Canning / Piping Plans</v>
      </c>
      <c r="C309" s="28" t="n">
        <f aca="false">'SUBS &amp; GC'!$P$14*$P$246</f>
        <v>0</v>
      </c>
      <c r="D309" s="19" t="n">
        <f aca="false">IFERROR(C309/$C$4,0)</f>
        <v>0</v>
      </c>
      <c r="E309" s="49"/>
      <c r="F309" s="19" t="n">
        <f aca="false">IFERROR(E309/C309,0)</f>
        <v>0</v>
      </c>
      <c r="G309" s="28" t="n">
        <f aca="false">C309-E309</f>
        <v>0</v>
      </c>
      <c r="H309" s="28" t="n">
        <f aca="false">E309*INPUTS!$C$29</f>
        <v>0</v>
      </c>
      <c r="J309" s="24"/>
      <c r="K309" s="24"/>
      <c r="L309" s="28" t="n">
        <f aca="false">'SUBS &amp; GC'!$P$14</f>
        <v>0</v>
      </c>
      <c r="M309" s="24"/>
      <c r="N309" s="24"/>
    </row>
    <row r="310" customFormat="false" ht="15" hidden="false" customHeight="false" outlineLevel="0" collapsed="false">
      <c r="A310" s="24" t="s">
        <v>799</v>
      </c>
      <c r="B310" s="24" t="str">
        <f aca="false">IF('SUBS &amp; GC'!$B$15="","","AC - "&amp;'SUBS &amp; GC'!$B$15)</f>
        <v>AC - Coring / Scanning</v>
      </c>
      <c r="C310" s="28" t="n">
        <f aca="false">'SUBS &amp; GC'!$P$15*$P$246</f>
        <v>0</v>
      </c>
      <c r="D310" s="19" t="n">
        <f aca="false">IFERROR(C310/$C$4,0)</f>
        <v>0</v>
      </c>
      <c r="E310" s="49"/>
      <c r="F310" s="19" t="n">
        <f aca="false">IFERROR(E310/C310,0)</f>
        <v>0</v>
      </c>
      <c r="G310" s="28" t="n">
        <f aca="false">C310-E310</f>
        <v>0</v>
      </c>
      <c r="H310" s="28" t="n">
        <f aca="false">E310*INPUTS!$C$29</f>
        <v>0</v>
      </c>
      <c r="J310" s="24"/>
      <c r="K310" s="24"/>
      <c r="L310" s="28" t="n">
        <f aca="false">'SUBS &amp; GC'!$P$15</f>
        <v>0</v>
      </c>
      <c r="M310" s="24"/>
      <c r="N310" s="24"/>
    </row>
    <row r="311" customFormat="false" ht="15" hidden="false" customHeight="false" outlineLevel="0" collapsed="false">
      <c r="A311" s="24" t="s">
        <v>800</v>
      </c>
      <c r="B311" s="24" t="str">
        <f aca="false">IF('SUBS &amp; GC'!$B$16="","","AC - "&amp;'SUBS &amp; GC'!$B$16)</f>
        <v>AC - Fixtures Caulking</v>
      </c>
      <c r="C311" s="28" t="n">
        <f aca="false">'SUBS &amp; GC'!$P$16*$P$246</f>
        <v>0</v>
      </c>
      <c r="D311" s="19" t="n">
        <f aca="false">IFERROR(C311/$C$4,0)</f>
        <v>0</v>
      </c>
      <c r="E311" s="49"/>
      <c r="F311" s="19" t="n">
        <f aca="false">IFERROR(E311/C311,0)</f>
        <v>0</v>
      </c>
      <c r="G311" s="28" t="n">
        <f aca="false">C311-E311</f>
        <v>0</v>
      </c>
      <c r="H311" s="28" t="n">
        <f aca="false">E311*INPUTS!$C$29</f>
        <v>0</v>
      </c>
      <c r="J311" s="24"/>
      <c r="K311" s="24"/>
      <c r="L311" s="28" t="n">
        <f aca="false">'SUBS &amp; GC'!$P$16</f>
        <v>0</v>
      </c>
      <c r="M311" s="24"/>
      <c r="N311" s="24"/>
    </row>
    <row r="312" customFormat="false" ht="15" hidden="false" customHeight="false" outlineLevel="0" collapsed="false">
      <c r="A312" s="24" t="s">
        <v>801</v>
      </c>
      <c r="B312" s="24" t="str">
        <f aca="false">IF('SUBS &amp; GC'!$B$17="","","AC - "&amp;'SUBS &amp; GC'!$B$17)</f>
        <v>AC - Water Balancing</v>
      </c>
      <c r="C312" s="28" t="n">
        <f aca="false">'SUBS &amp; GC'!$P$17*$P$246</f>
        <v>0</v>
      </c>
      <c r="D312" s="19" t="n">
        <f aca="false">IFERROR(C312/$C$4,0)</f>
        <v>0</v>
      </c>
      <c r="E312" s="49"/>
      <c r="F312" s="19" t="n">
        <f aca="false">IFERROR(E312/C312,0)</f>
        <v>0</v>
      </c>
      <c r="G312" s="28" t="n">
        <f aca="false">C312-E312</f>
        <v>0</v>
      </c>
      <c r="H312" s="28" t="n">
        <f aca="false">E312*INPUTS!$C$29</f>
        <v>0</v>
      </c>
      <c r="J312" s="24"/>
      <c r="K312" s="24"/>
      <c r="L312" s="28" t="n">
        <f aca="false">'SUBS &amp; GC'!$P$17</f>
        <v>0</v>
      </c>
      <c r="M312" s="24"/>
      <c r="N312" s="24"/>
    </row>
    <row r="313" customFormat="false" ht="15" hidden="false" customHeight="false" outlineLevel="0" collapsed="false">
      <c r="A313" s="24" t="s">
        <v>802</v>
      </c>
      <c r="B313" s="24" t="str">
        <f aca="false">IF('SUBS &amp; GC'!$B$18="","","AC - "&amp;'SUBS &amp; GC'!$B$18)</f>
        <v>AC - Sump Pumps</v>
      </c>
      <c r="C313" s="28" t="n">
        <f aca="false">'SUBS &amp; GC'!$P$18*$P$246</f>
        <v>0</v>
      </c>
      <c r="D313" s="19" t="n">
        <f aca="false">IFERROR(C313/$C$4,0)</f>
        <v>0</v>
      </c>
      <c r="E313" s="49"/>
      <c r="F313" s="19" t="n">
        <f aca="false">IFERROR(E313/C313,0)</f>
        <v>0</v>
      </c>
      <c r="G313" s="28" t="n">
        <f aca="false">C313-E313</f>
        <v>0</v>
      </c>
      <c r="H313" s="28" t="n">
        <f aca="false">E313*INPUTS!$C$29</f>
        <v>0</v>
      </c>
      <c r="J313" s="24"/>
      <c r="K313" s="24"/>
      <c r="L313" s="28" t="n">
        <f aca="false">'SUBS &amp; GC'!$P$18</f>
        <v>0</v>
      </c>
      <c r="M313" s="24"/>
      <c r="N313" s="24"/>
    </row>
    <row r="314" customFormat="false" ht="15" hidden="false" customHeight="false" outlineLevel="0" collapsed="false">
      <c r="A314" s="24" t="s">
        <v>803</v>
      </c>
      <c r="B314" s="24" t="str">
        <f aca="false">IF('SUBS &amp; GC'!$B$19="","","AC - "&amp;'SUBS &amp; GC'!$B$19)</f>
        <v>AC - Chemical Treatment</v>
      </c>
      <c r="C314" s="28" t="n">
        <f aca="false">'SUBS &amp; GC'!$P$19*$P$246</f>
        <v>0</v>
      </c>
      <c r="D314" s="19" t="n">
        <f aca="false">IFERROR(C314/$C$4,0)</f>
        <v>0</v>
      </c>
      <c r="E314" s="49"/>
      <c r="F314" s="19" t="n">
        <f aca="false">IFERROR(E314/C314,0)</f>
        <v>0</v>
      </c>
      <c r="G314" s="28" t="n">
        <f aca="false">C314-E314</f>
        <v>0</v>
      </c>
      <c r="H314" s="28" t="n">
        <f aca="false">E314*INPUTS!$C$29</f>
        <v>0</v>
      </c>
      <c r="J314" s="24"/>
      <c r="K314" s="24"/>
      <c r="L314" s="28" t="n">
        <f aca="false">'SUBS &amp; GC'!$P$19</f>
        <v>0</v>
      </c>
      <c r="M314" s="24"/>
      <c r="N314" s="24"/>
    </row>
    <row r="315" customFormat="false" ht="15" hidden="false" customHeight="false" outlineLevel="0" collapsed="false">
      <c r="A315" s="24" t="s">
        <v>804</v>
      </c>
      <c r="B315" s="24" t="str">
        <f aca="false">IF('SUBS &amp; GC'!$B$20="","","AC - "&amp;'SUBS &amp; GC'!$B$20)</f>
        <v>AC - P&amp;H Seismic / Schedule</v>
      </c>
      <c r="C315" s="28" t="n">
        <f aca="false">'SUBS &amp; GC'!$P$20*$P$246</f>
        <v>0</v>
      </c>
      <c r="D315" s="19" t="n">
        <f aca="false">IFERROR(C315/$C$4,0)</f>
        <v>0</v>
      </c>
      <c r="E315" s="49"/>
      <c r="F315" s="19" t="n">
        <f aca="false">IFERROR(E315/C315,0)</f>
        <v>0</v>
      </c>
      <c r="G315" s="28" t="n">
        <f aca="false">C315-E315</f>
        <v>0</v>
      </c>
      <c r="H315" s="28" t="n">
        <f aca="false">E315*INPUTS!$C$29</f>
        <v>0</v>
      </c>
      <c r="J315" s="24"/>
      <c r="K315" s="24"/>
      <c r="L315" s="28" t="n">
        <f aca="false">'SUBS &amp; GC'!$P$20</f>
        <v>0</v>
      </c>
      <c r="M315" s="24"/>
      <c r="N315" s="24"/>
    </row>
    <row r="316" customFormat="false" ht="15" hidden="false" customHeight="false" outlineLevel="0" collapsed="false">
      <c r="A316" s="24" t="s">
        <v>805</v>
      </c>
      <c r="B316" s="24" t="str">
        <f aca="false">IF('SUBS &amp; GC'!$B$21="","","AC - "&amp;'SUBS &amp; GC'!$B$21)</f>
        <v>AC - HVAC Seismic / Schedule</v>
      </c>
      <c r="C316" s="28" t="n">
        <f aca="false">'SUBS &amp; GC'!$P$21*$P$246</f>
        <v>0</v>
      </c>
      <c r="D316" s="19" t="n">
        <f aca="false">IFERROR(C316/$C$4,0)</f>
        <v>0</v>
      </c>
      <c r="E316" s="49"/>
      <c r="F316" s="19" t="n">
        <f aca="false">IFERROR(E316/C316,0)</f>
        <v>0</v>
      </c>
      <c r="G316" s="28" t="n">
        <f aca="false">C316-E316</f>
        <v>0</v>
      </c>
      <c r="H316" s="28" t="n">
        <f aca="false">E316*INPUTS!$C$29</f>
        <v>0</v>
      </c>
      <c r="J316" s="24"/>
      <c r="K316" s="24"/>
      <c r="L316" s="28" t="n">
        <f aca="false">'SUBS &amp; GC'!$P$21</f>
        <v>0</v>
      </c>
      <c r="M316" s="24"/>
      <c r="N316" s="24"/>
    </row>
    <row r="317" customFormat="false" ht="15" hidden="false" customHeight="false" outlineLevel="0" collapsed="false">
      <c r="A317" s="24" t="s">
        <v>806</v>
      </c>
      <c r="B317" s="24" t="str">
        <f aca="false">IF('SUBS &amp; GC'!$B$22="","","AC - "&amp;'SUBS &amp; GC'!$B$22)</f>
        <v>AC - As-built Drawings</v>
      </c>
      <c r="C317" s="28" t="n">
        <f aca="false">'SUBS &amp; GC'!$P$22*$P$246</f>
        <v>0</v>
      </c>
      <c r="D317" s="19" t="n">
        <f aca="false">IFERROR(C317/$C$4,0)</f>
        <v>0</v>
      </c>
      <c r="E317" s="49"/>
      <c r="F317" s="19" t="n">
        <f aca="false">IFERROR(E317/C317,0)</f>
        <v>0</v>
      </c>
      <c r="G317" s="28" t="n">
        <f aca="false">C317-E317</f>
        <v>0</v>
      </c>
      <c r="H317" s="28" t="n">
        <f aca="false">E317*INPUTS!$C$29</f>
        <v>0</v>
      </c>
      <c r="J317" s="24"/>
      <c r="K317" s="24"/>
      <c r="L317" s="28" t="n">
        <f aca="false">'SUBS &amp; GC'!$P$22</f>
        <v>0</v>
      </c>
      <c r="M317" s="24"/>
      <c r="N317" s="24"/>
    </row>
    <row r="318" customFormat="false" ht="15" hidden="false" customHeight="false" outlineLevel="0" collapsed="false">
      <c r="A318" s="24" t="s">
        <v>807</v>
      </c>
      <c r="B318" s="24" t="str">
        <f aca="false">IF('SUBS &amp; GC'!$B$23="","","AC - "&amp;'SUBS &amp; GC'!$B$23)</f>
        <v>AC - O&amp;M Manuals</v>
      </c>
      <c r="C318" s="28" t="n">
        <f aca="false">'SUBS &amp; GC'!$P$23*$P$246</f>
        <v>0</v>
      </c>
      <c r="D318" s="19" t="n">
        <f aca="false">IFERROR(C318/$C$4,0)</f>
        <v>0</v>
      </c>
      <c r="E318" s="49"/>
      <c r="F318" s="19" t="n">
        <f aca="false">IFERROR(E318/C318,0)</f>
        <v>0</v>
      </c>
      <c r="G318" s="28" t="n">
        <f aca="false">C318-E318</f>
        <v>0</v>
      </c>
      <c r="H318" s="28" t="n">
        <f aca="false">E318*INPUTS!$C$29</f>
        <v>0</v>
      </c>
      <c r="J318" s="24"/>
      <c r="K318" s="24"/>
      <c r="L318" s="28" t="n">
        <f aca="false">'SUBS &amp; GC'!$P$23</f>
        <v>0</v>
      </c>
      <c r="M318" s="24"/>
      <c r="N318" s="24"/>
    </row>
    <row r="319" customFormat="false" ht="15" hidden="false" customHeight="false" outlineLevel="0" collapsed="false">
      <c r="A319" s="24" t="s">
        <v>808</v>
      </c>
      <c r="B319" s="24" t="str">
        <f aca="false">IF('SUBS &amp; GC'!$B$24="","","AC - "&amp;'SUBS &amp; GC'!$B$24)</f>
        <v>AC - Plumbing Bond</v>
      </c>
      <c r="C319" s="28" t="n">
        <f aca="false">'SUBS &amp; GC'!$P$24*$P$246</f>
        <v>0</v>
      </c>
      <c r="D319" s="19" t="n">
        <f aca="false">IFERROR(C319/$C$4,0)</f>
        <v>0</v>
      </c>
      <c r="E319" s="49"/>
      <c r="F319" s="19" t="n">
        <f aca="false">IFERROR(E319/C319,0)</f>
        <v>0</v>
      </c>
      <c r="G319" s="28" t="n">
        <f aca="false">C319-E319</f>
        <v>0</v>
      </c>
      <c r="H319" s="28" t="n">
        <f aca="false">E319*INPUTS!$C$29</f>
        <v>0</v>
      </c>
      <c r="J319" s="24"/>
      <c r="K319" s="24"/>
      <c r="L319" s="28" t="n">
        <f aca="false">'SUBS &amp; GC'!$P$24</f>
        <v>0</v>
      </c>
      <c r="M319" s="24"/>
      <c r="N319" s="24"/>
    </row>
    <row r="320" customFormat="false" ht="15" hidden="false" customHeight="false" outlineLevel="0" collapsed="false">
      <c r="A320" s="24" t="s">
        <v>809</v>
      </c>
      <c r="B320" s="24" t="str">
        <f aca="false">IF('SUBS &amp; GC'!$B$25="","","AC - "&amp;'SUBS &amp; GC'!$B$25)</f>
        <v>AC - HVAC Bond</v>
      </c>
      <c r="C320" s="28" t="n">
        <f aca="false">'SUBS &amp; GC'!$P$25*$P$246</f>
        <v>0</v>
      </c>
      <c r="D320" s="19" t="n">
        <f aca="false">IFERROR(C320/$C$4,0)</f>
        <v>0</v>
      </c>
      <c r="E320" s="49"/>
      <c r="F320" s="19" t="n">
        <f aca="false">IFERROR(E320/C320,0)</f>
        <v>0</v>
      </c>
      <c r="G320" s="28" t="n">
        <f aca="false">C320-E320</f>
        <v>0</v>
      </c>
      <c r="H320" s="28" t="n">
        <f aca="false">E320*INPUTS!$C$29</f>
        <v>0</v>
      </c>
      <c r="J320" s="24"/>
      <c r="K320" s="24"/>
      <c r="L320" s="28" t="n">
        <f aca="false">'SUBS &amp; GC'!$P$25</f>
        <v>0</v>
      </c>
      <c r="M320" s="24"/>
      <c r="N320" s="24"/>
    </row>
    <row r="321" customFormat="false" ht="15" hidden="false" customHeight="false" outlineLevel="0" collapsed="false">
      <c r="A321" s="24" t="s">
        <v>810</v>
      </c>
      <c r="B321" s="24" t="str">
        <f aca="false">IF('SUBS &amp; GC'!$B$26="","","AC - "&amp;'SUBS &amp; GC'!$B$26)</f>
        <v>AC - Welding</v>
      </c>
      <c r="C321" s="28" t="n">
        <f aca="false">'SUBS &amp; GC'!$P$26*$P$246</f>
        <v>0</v>
      </c>
      <c r="D321" s="19" t="n">
        <f aca="false">IFERROR(C321/$C$4,0)</f>
        <v>0</v>
      </c>
      <c r="E321" s="49"/>
      <c r="F321" s="19" t="n">
        <f aca="false">IFERROR(E321/C321,0)</f>
        <v>0</v>
      </c>
      <c r="G321" s="28" t="n">
        <f aca="false">C321-E321</f>
        <v>0</v>
      </c>
      <c r="H321" s="28" t="n">
        <f aca="false">E321*INPUTS!$C$29</f>
        <v>0</v>
      </c>
      <c r="J321" s="24"/>
      <c r="K321" s="24"/>
      <c r="L321" s="28" t="n">
        <f aca="false">'SUBS &amp; GC'!$P$26</f>
        <v>0</v>
      </c>
      <c r="M321" s="24"/>
      <c r="N321" s="24"/>
    </row>
    <row r="322" customFormat="false" ht="15" hidden="false" customHeight="false" outlineLevel="0" collapsed="false">
      <c r="A322" s="24" t="s">
        <v>811</v>
      </c>
      <c r="B322" s="24" t="str">
        <f aca="false">IF('SUBS &amp; GC'!$B$27="","","AC - "&amp;'SUBS &amp; GC'!$B$27)</f>
        <v>AC - Gas Service / Other</v>
      </c>
      <c r="C322" s="28" t="n">
        <f aca="false">'SUBS &amp; GC'!$P$27*$P$246</f>
        <v>0</v>
      </c>
      <c r="D322" s="19" t="n">
        <f aca="false">IFERROR(C322/$C$4,0)</f>
        <v>0</v>
      </c>
      <c r="E322" s="49"/>
      <c r="F322" s="19" t="n">
        <f aca="false">IFERROR(E322/C322,0)</f>
        <v>0</v>
      </c>
      <c r="G322" s="28" t="n">
        <f aca="false">C322-E322</f>
        <v>0</v>
      </c>
      <c r="H322" s="28" t="n">
        <f aca="false">E322*INPUTS!$C$29</f>
        <v>0</v>
      </c>
      <c r="J322" s="24"/>
      <c r="K322" s="24"/>
      <c r="L322" s="28" t="n">
        <f aca="false">'SUBS &amp; GC'!$P$27</f>
        <v>0</v>
      </c>
      <c r="M322" s="24"/>
      <c r="N322" s="24"/>
    </row>
    <row r="323" customFormat="false" ht="15" hidden="false" customHeight="false" outlineLevel="0" collapsed="false">
      <c r="A323" s="24" t="s">
        <v>812</v>
      </c>
      <c r="B323" s="24" t="str">
        <f aca="false">IF('SUBS &amp; GC'!$B$28="","","AC - "&amp;'SUBS &amp; GC'!$B$28)</f>
        <v/>
      </c>
      <c r="C323" s="28" t="n">
        <f aca="false">'SUBS &amp; GC'!$P$28*$P$246</f>
        <v>0</v>
      </c>
      <c r="D323" s="19" t="n">
        <f aca="false">IFERROR(C323/$C$4,0)</f>
        <v>0</v>
      </c>
      <c r="E323" s="49"/>
      <c r="F323" s="19" t="n">
        <f aca="false">IFERROR(E323/C323,0)</f>
        <v>0</v>
      </c>
      <c r="G323" s="28" t="n">
        <f aca="false">C323-E323</f>
        <v>0</v>
      </c>
      <c r="H323" s="28" t="n">
        <f aca="false">E323*INPUTS!$C$29</f>
        <v>0</v>
      </c>
      <c r="J323" s="24"/>
      <c r="K323" s="24"/>
      <c r="L323" s="28" t="n">
        <f aca="false">'SUBS &amp; GC'!$P$28</f>
        <v>0</v>
      </c>
      <c r="M323" s="24"/>
      <c r="N323" s="24"/>
    </row>
    <row r="325" customFormat="false" ht="15" hidden="false" customHeight="false" outlineLevel="0" collapsed="false">
      <c r="B325" s="4" t="s">
        <v>813</v>
      </c>
      <c r="C325" s="52" t="n">
        <f aca="false">C9+C88+C167+C246</f>
        <v>488800</v>
      </c>
      <c r="D325" s="22" t="n">
        <f aca="false">IFERROR(C325/$C$4,0)</f>
        <v>1</v>
      </c>
      <c r="E325" s="52" t="n">
        <f aca="false">E9+E88+E167+E246</f>
        <v>0</v>
      </c>
      <c r="F325" s="22" t="n">
        <f aca="false">IFERROR(E325/C325,0)</f>
        <v>0</v>
      </c>
      <c r="G325" s="52" t="n">
        <f aca="false">G9+G88+G167+G246</f>
        <v>488800</v>
      </c>
      <c r="H325" s="52" t="n">
        <f aca="false">H9+H88+H167+H246</f>
        <v>0</v>
      </c>
      <c r="J325" s="52" t="n">
        <f aca="false">J9+J88+J167+J246</f>
        <v>107393.76</v>
      </c>
      <c r="K325" s="52" t="n">
        <f aca="false">K9+K88+K167+K246</f>
        <v>95563.62</v>
      </c>
      <c r="L325" s="52" t="n">
        <f aca="false">L9+L88+L167+L246</f>
        <v>0</v>
      </c>
      <c r="M325" s="52" t="n">
        <f aca="false">M9+M88+M167+M246</f>
        <v>180000</v>
      </c>
      <c r="N325" s="61" t="n">
        <f aca="false">N9+N88+N167+N246</f>
        <v>1476</v>
      </c>
    </row>
    <row r="326" customFormat="false" ht="15" hidden="false" customHeight="false" outlineLevel="0" collapsed="false">
      <c r="B326" s="2" t="s">
        <v>814</v>
      </c>
      <c r="J326" s="64" t="n">
        <f aca="false">SUM(J325:M325)+'BID SUMMARY'!E10+'BID SUMMARY'!J10+'BID SUMMARY'!O10</f>
        <v>488800</v>
      </c>
      <c r="K326" s="23" t="str">
        <f aca="false">IF(ABS(J326-C4)&lt;1,"OK","CHECK")</f>
        <v>OK</v>
      </c>
    </row>
  </sheetData>
  <autoFilter ref="A8:N324"/>
  <conditionalFormatting sqref="D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A10:N86">
    <cfRule type="expression" priority="4" aboveAverage="0" equalAverage="0" bottom="0" percent="0" rank="0" text="" dxfId="13">
      <formula>$C10=0</formula>
    </cfRule>
  </conditionalFormatting>
  <conditionalFormatting sqref="A89:N165">
    <cfRule type="expression" priority="5" aboveAverage="0" equalAverage="0" bottom="0" percent="0" rank="0" text="" dxfId="13">
      <formula>$C89=0</formula>
    </cfRule>
  </conditionalFormatting>
  <conditionalFormatting sqref="A168:N244">
    <cfRule type="expression" priority="6" aboveAverage="0" equalAverage="0" bottom="0" percent="0" rank="0" text="" dxfId="13">
      <formula>$C168=0</formula>
    </cfRule>
  </conditionalFormatting>
  <conditionalFormatting sqref="A247:N323">
    <cfRule type="expression" priority="7" aboveAverage="0" equalAverage="0" bottom="0" percent="0" rank="0" text="" dxfId="13">
      <formula>$C247=0</formula>
    </cfRule>
  </conditionalFormatting>
  <conditionalFormatting sqref="K326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BD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10" min="7" style="0" width="14"/>
    <col collapsed="false" customWidth="true" hidden="false" outlineLevel="0" max="27" min="27" style="0" width="40"/>
    <col collapsed="false" customWidth="true" hidden="false" outlineLevel="0" max="28" min="28" style="0" width="6"/>
    <col collapsed="false" customWidth="true" hidden="false" outlineLevel="0" max="29" min="29" style="0" width="30"/>
    <col collapsed="false" customWidth="true" hidden="false" outlineLevel="0" max="30" min="30" style="0" width="5"/>
    <col collapsed="false" customWidth="true" hidden="false" outlineLevel="0" max="46" min="46" style="0" width="26"/>
    <col collapsed="false" customWidth="true" hidden="false" outlineLevel="0" max="47" min="47" style="0" width="10"/>
    <col collapsed="false" customWidth="true" hidden="false" outlineLevel="0" max="48" min="48" style="0" width="12"/>
    <col collapsed="false" customWidth="true" hidden="false" outlineLevel="0" max="49" min="49" style="0" width="20"/>
    <col collapsed="false" customWidth="true" hidden="false" outlineLevel="0" max="52" min="52" style="0" width="20"/>
    <col collapsed="false" customWidth="true" hidden="false" outlineLevel="0" max="53" min="53" style="0" width="34"/>
    <col collapsed="false" customWidth="true" hidden="false" outlineLevel="0" max="55" min="55" style="0" width="28"/>
    <col collapsed="false" customWidth="true" hidden="false" outlineLevel="0" max="56" min="56" style="0" width="22"/>
  </cols>
  <sheetData>
    <row r="1" customFormat="false" ht="17.35" hidden="false" customHeight="false" outlineLevel="0" collapsed="false">
      <c r="A1" s="1" t="s">
        <v>815</v>
      </c>
    </row>
    <row r="2" customFormat="false" ht="30" hidden="false" customHeight="true" outlineLevel="0" collapsed="false">
      <c r="A2" s="2" t="s">
        <v>816</v>
      </c>
      <c r="AA2" s="4" t="s">
        <v>817</v>
      </c>
      <c r="AT2" s="17" t="s">
        <v>818</v>
      </c>
      <c r="AU2" s="17" t="s">
        <v>178</v>
      </c>
      <c r="AV2" s="17" t="s">
        <v>819</v>
      </c>
      <c r="AW2" s="17" t="s">
        <v>820</v>
      </c>
    </row>
    <row r="3" customFormat="false" ht="30" hidden="false" customHeight="true" outlineLevel="0" collapsed="false">
      <c r="AA3" s="17" t="s">
        <v>821</v>
      </c>
      <c r="AB3" s="17" t="s">
        <v>217</v>
      </c>
      <c r="AC3" s="17" t="s">
        <v>822</v>
      </c>
      <c r="AD3" s="17" t="s">
        <v>823</v>
      </c>
      <c r="AE3" s="17" t="s">
        <v>824</v>
      </c>
      <c r="AF3" s="17" t="s">
        <v>825</v>
      </c>
      <c r="AG3" s="17" t="s">
        <v>826</v>
      </c>
      <c r="AH3" s="17" t="s">
        <v>827</v>
      </c>
      <c r="AI3" s="17" t="s">
        <v>828</v>
      </c>
      <c r="AJ3" s="17" t="s">
        <v>829</v>
      </c>
      <c r="AK3" s="17" t="s">
        <v>830</v>
      </c>
      <c r="AL3" s="17" t="s">
        <v>831</v>
      </c>
      <c r="AM3" s="17" t="s">
        <v>832</v>
      </c>
      <c r="AN3" s="17" t="s">
        <v>833</v>
      </c>
      <c r="AO3" s="17" t="s">
        <v>834</v>
      </c>
      <c r="AP3" s="17" t="s">
        <v>835</v>
      </c>
      <c r="AQ3" s="17" t="s">
        <v>836</v>
      </c>
      <c r="AR3" s="17" t="s">
        <v>837</v>
      </c>
      <c r="AT3" s="7" t="str">
        <f aca="false">IF('KNOWIFY TIME'!B3="","",'KNOWIFY TIME'!B3)</f>
        <v>Apprentice Lvl 3</v>
      </c>
      <c r="AU3" s="7" t="n">
        <f aca="false">IF(AT3="",0,IF(ISNUMBER('KNOWIFY TIME'!D3),'KNOWIFY TIME'!D3*24,IFERROR(VALUE(LEFT('KNOWIFY TIME'!D3,FIND(":",'KNOWIFY TIME'!D3)-1))+VALUE(MID('KNOWIFY TIME'!D3,FIND(":",'KNOWIFY TIME'!D3)+1,2))/60,0)))</f>
        <v>24</v>
      </c>
      <c r="AV3" s="7" t="n">
        <f aca="false">N('KNOWIFY TIME'!E3)</f>
        <v>1325.04</v>
      </c>
      <c r="AW3" s="7" t="str">
        <f aca="false">IF(AT3="","",IFERROR(INDEX($BD$5:$BD$60,MATCH(AT3,$BC$5:$BC$60,0)),"Unmapped"))</f>
        <v>Apprentice Lvl 3-6</v>
      </c>
      <c r="AZ3" s="4" t="s">
        <v>838</v>
      </c>
      <c r="BC3" s="4" t="s">
        <v>839</v>
      </c>
    </row>
    <row r="4" customFormat="false" ht="30" hidden="false" customHeight="true" outlineLevel="0" collapsed="false">
      <c r="B4" s="7" t="s">
        <v>840</v>
      </c>
      <c r="C4" s="10" t="s">
        <v>841</v>
      </c>
      <c r="D4" s="10"/>
      <c r="E4" s="10"/>
      <c r="F4" s="10"/>
      <c r="AA4" s="7" t="str">
        <f aca="false">IF('KNOWIFY PHASES'!A4="","",'KNOWIFY PHASES'!A4)</f>
        <v>Fire Sprinklers</v>
      </c>
      <c r="AB4" s="7" t="str">
        <f aca="false">IF(AA4="","",IF(LEFT(AA4,4)="P - ","P",IF(LEFT(AA4,4)="H - ","H",IF(LEFT(AA4,5)="AC - ","AC",IF(OR(LEFT(AA4,4)="V - ",LEFT(AA4,7)="HVAC - "),"V","Other")))))</f>
        <v>Other</v>
      </c>
      <c r="AC4" s="7" t="str">
        <f aca="false">IF(AA4="","",IFERROR(LOOKUP(2,1/(($AZ$5:$AZ$60&lt;&gt;"")*ISNUMBER(SEARCH($AZ$5:$AZ$60,AA4))),$BA$5:$BA$60),IF(AB4="Other","Excluded","Unmapped")))</f>
        <v>03 Rough-in (Labour)</v>
      </c>
      <c r="AD4" s="7" t="n">
        <f aca="false">IF(AA4="","",IF(AND(AB4&lt;&gt;"Other",OR(AND('KNOWIFY PHASES'!B4="Closed",N('KNOWIFY PHASES'!D4)&gt;=0.5),N('KNOWIFY PHASES'!D4)&gt;=1)),1,0))</f>
        <v>0</v>
      </c>
      <c r="AE4" s="7" t="n">
        <f aca="false">N('KNOWIFY PHASES'!L4)</f>
        <v>0</v>
      </c>
      <c r="AF4" s="7" t="n">
        <f aca="false">N('KNOWIFY PHASES'!K4)</f>
        <v>0</v>
      </c>
      <c r="AG4" s="7" t="n">
        <f aca="false">N('KNOWIFY PHASES'!I4)</f>
        <v>0</v>
      </c>
      <c r="AH4" s="7" t="n">
        <f aca="false">N('KNOWIFY PHASES'!H4)</f>
        <v>0</v>
      </c>
      <c r="AI4" s="7" t="n">
        <f aca="false">N('KNOWIFY PHASES'!O4)</f>
        <v>940000</v>
      </c>
      <c r="AJ4" s="7" t="n">
        <f aca="false">N('KNOWIFY PHASES'!N4)</f>
        <v>833305.74</v>
      </c>
      <c r="AK4" s="7" t="n">
        <f aca="false">N('KNOWIFY PHASES'!R4)</f>
        <v>0</v>
      </c>
      <c r="AL4" s="7" t="n">
        <f aca="false">N('KNOWIFY PHASES'!Q4)</f>
        <v>0</v>
      </c>
      <c r="AM4" s="7" t="n">
        <f aca="false">N('KNOWIFY PHASES'!F4)</f>
        <v>940000</v>
      </c>
      <c r="AN4" s="7" t="n">
        <f aca="false">N('KNOWIFY PHASES'!E4)</f>
        <v>833305.74</v>
      </c>
      <c r="AO4" s="7" t="n">
        <f aca="false">MAX(AE4,AF4)</f>
        <v>0</v>
      </c>
      <c r="AP4" s="7" t="n">
        <f aca="false">MAX(AG4,AH4)</f>
        <v>0</v>
      </c>
      <c r="AQ4" s="7" t="n">
        <f aca="false">MAX(AI4,AJ4)</f>
        <v>940000</v>
      </c>
      <c r="AR4" s="7" t="n">
        <f aca="false">MAX(AK4,AL4)</f>
        <v>0</v>
      </c>
      <c r="AT4" s="7" t="str">
        <f aca="false">IF('KNOWIFY TIME'!B4="","",'KNOWIFY TIME'!B4)</f>
        <v>Foreman Lvl 2</v>
      </c>
      <c r="AU4" s="7" t="n">
        <f aca="false">IF(AT4="",0,IF(ISNUMBER('KNOWIFY TIME'!D4),'KNOWIFY TIME'!D4*24,IFERROR(VALUE(LEFT('KNOWIFY TIME'!D4,FIND(":",'KNOWIFY TIME'!D4)-1))+VALUE(MID('KNOWIFY TIME'!D4,FIND(":",'KNOWIFY TIME'!D4)+1,2))/60,0)))</f>
        <v>43</v>
      </c>
      <c r="AV4" s="7" t="n">
        <f aca="false">N('KNOWIFY TIME'!E4)</f>
        <v>3550.5</v>
      </c>
      <c r="AW4" s="7" t="str">
        <f aca="false">IF(AT4="","",IFERROR(INDEX($BD$5:$BD$60,MATCH(AT4,$BC$5:$BC$60,0)),"Unmapped"))</f>
        <v>Foreman &amp; PM</v>
      </c>
      <c r="AZ4" s="17" t="s">
        <v>842</v>
      </c>
      <c r="BA4" s="17" t="s">
        <v>843</v>
      </c>
      <c r="BC4" s="17" t="s">
        <v>844</v>
      </c>
      <c r="BD4" s="17" t="s">
        <v>820</v>
      </c>
    </row>
    <row r="5" customFormat="false" ht="15" hidden="false" customHeight="false" outlineLevel="0" collapsed="false">
      <c r="B5" s="7" t="s">
        <v>845</v>
      </c>
      <c r="C5" s="49" t="n">
        <v>9663139.81</v>
      </c>
      <c r="AA5" s="7" t="str">
        <f aca="false">IF('KNOWIFY PHASES'!A5="","",'KNOWIFY PHASES'!A5)</f>
        <v>P - Water Connection Temporary</v>
      </c>
      <c r="AB5" s="7" t="str">
        <f aca="false">IF(AA5="","",IF(LEFT(AA5,4)="P - ","P",IF(LEFT(AA5,4)="H - ","H",IF(LEFT(AA5,5)="AC - ","AC",IF(OR(LEFT(AA5,4)="V - ",LEFT(AA5,7)="HVAC - "),"V","Other")))))</f>
        <v>P</v>
      </c>
      <c r="AC5" s="7" t="str">
        <f aca="false">IF(AA5="","",IFERROR(LOOKUP(2,1/(($AZ$5:$AZ$60&lt;&gt;"")*ISNUMBER(SEARCH($AZ$5:$AZ$60,AA5))),$BA$5:$BA$60),IF(AB5="Other","Excluded","Unmapped")))</f>
        <v>01 Shop Drawings, Permits &amp; Mobilization</v>
      </c>
      <c r="AD5" s="7" t="n">
        <f aca="false">IF(AA5="","",IF(AND(AB5&lt;&gt;"Other",OR(AND('KNOWIFY PHASES'!B5="Closed",N('KNOWIFY PHASES'!D5)&gt;=0.5),N('KNOWIFY PHASES'!D5)&gt;=1)),1,0))</f>
        <v>1</v>
      </c>
      <c r="AE5" s="7" t="n">
        <f aca="false">N('KNOWIFY PHASES'!L5)</f>
        <v>4000</v>
      </c>
      <c r="AF5" s="7" t="n">
        <f aca="false">N('KNOWIFY PHASES'!K5)</f>
        <v>530.01</v>
      </c>
      <c r="AG5" s="7" t="n">
        <f aca="false">N('KNOWIFY PHASES'!I5)</f>
        <v>1500</v>
      </c>
      <c r="AH5" s="7" t="n">
        <f aca="false">N('KNOWIFY PHASES'!H5)</f>
        <v>3203.97</v>
      </c>
      <c r="AI5" s="7" t="n">
        <f aca="false">N('KNOWIFY PHASES'!O5)</f>
        <v>0</v>
      </c>
      <c r="AJ5" s="7" t="n">
        <f aca="false">N('KNOWIFY PHASES'!N5)</f>
        <v>0</v>
      </c>
      <c r="AK5" s="7" t="n">
        <f aca="false">N('KNOWIFY PHASES'!R5)</f>
        <v>0</v>
      </c>
      <c r="AL5" s="7" t="n">
        <f aca="false">N('KNOWIFY PHASES'!Q5)</f>
        <v>0</v>
      </c>
      <c r="AM5" s="7" t="n">
        <f aca="false">N('KNOWIFY PHASES'!F5)</f>
        <v>5500</v>
      </c>
      <c r="AN5" s="7" t="n">
        <f aca="false">N('KNOWIFY PHASES'!E5)</f>
        <v>3733.98</v>
      </c>
      <c r="AO5" s="7" t="n">
        <f aca="false">MAX(AE5,AF5)</f>
        <v>4000</v>
      </c>
      <c r="AP5" s="7" t="n">
        <f aca="false">MAX(AG5,AH5)</f>
        <v>3203.97</v>
      </c>
      <c r="AQ5" s="7" t="n">
        <f aca="false">MAX(AI5,AJ5)</f>
        <v>0</v>
      </c>
      <c r="AR5" s="7" t="n">
        <f aca="false">MAX(AK5,AL5)</f>
        <v>0</v>
      </c>
      <c r="AT5" s="7" t="str">
        <f aca="false">IF('KNOWIFY TIME'!B5="","",'KNOWIFY TIME'!B5)</f>
        <v>Apprentice Lvl 1</v>
      </c>
      <c r="AU5" s="7" t="n">
        <f aca="false">IF(AT5="",0,IF(ISNUMBER('KNOWIFY TIME'!D5),'KNOWIFY TIME'!D5*24,IFERROR(VALUE(LEFT('KNOWIFY TIME'!D5,FIND(":",'KNOWIFY TIME'!D5)-1))+VALUE(MID('KNOWIFY TIME'!D5,FIND(":",'KNOWIFY TIME'!D5)+1,2))/60,0)))</f>
        <v>837.666666666667</v>
      </c>
      <c r="AV5" s="7" t="n">
        <f aca="false">N('KNOWIFY TIME'!E5)</f>
        <v>40180.24</v>
      </c>
      <c r="AW5" s="7" t="str">
        <f aca="false">IF(AT5="","",IFERROR(INDEX($BD$5:$BD$60,MATCH(AT5,$BC$5:$BC$60,0)),"Unmapped"))</f>
        <v>Apprentice Lvl 1-2</v>
      </c>
      <c r="AZ5" s="10" t="s">
        <v>846</v>
      </c>
      <c r="BA5" s="10" t="s">
        <v>146</v>
      </c>
      <c r="BC5" s="10" t="s">
        <v>847</v>
      </c>
      <c r="BD5" s="10" t="s">
        <v>182</v>
      </c>
    </row>
    <row r="6" customFormat="false" ht="15" hidden="false" customHeight="false" outlineLevel="0" collapsed="false">
      <c r="B6" s="7" t="s">
        <v>848</v>
      </c>
      <c r="C6" s="49" t="n">
        <v>8998706.78</v>
      </c>
      <c r="AA6" s="7" t="str">
        <f aca="false">IF('KNOWIFY PHASES'!A6="","",'KNOWIFY PHASES'!A6)</f>
        <v>P - Foundation Plumbing &amp; Sumps</v>
      </c>
      <c r="AB6" s="7" t="str">
        <f aca="false">IF(AA6="","",IF(LEFT(AA6,4)="P - ","P",IF(LEFT(AA6,4)="H - ","H",IF(LEFT(AA6,5)="AC - ","AC",IF(OR(LEFT(AA6,4)="V - ",LEFT(AA6,7)="HVAC - "),"V","Other")))))</f>
        <v>P</v>
      </c>
      <c r="AC6" s="7" t="str">
        <f aca="false">IF(AA6="","",IFERROR(LOOKUP(2,1/(($AZ$5:$AZ$60&lt;&gt;"")*ISNUMBER(SEARCH($AZ$5:$AZ$60,AA6))),$BA$5:$BA$60),IF(AB6="Other","Excluded","Unmapped")))</f>
        <v>02 Foundation &amp; Underground</v>
      </c>
      <c r="AD6" s="7" t="n">
        <f aca="false">IF(AA6="","",IF(AND(AB6&lt;&gt;"Other",OR(AND('KNOWIFY PHASES'!B6="Closed",N('KNOWIFY PHASES'!D6)&gt;=0.5),N('KNOWIFY PHASES'!D6)&gt;=1)),1,0))</f>
        <v>1</v>
      </c>
      <c r="AE6" s="7" t="n">
        <f aca="false">N('KNOWIFY PHASES'!L6)</f>
        <v>35000</v>
      </c>
      <c r="AF6" s="7" t="n">
        <f aca="false">N('KNOWIFY PHASES'!K6)</f>
        <v>60524.63</v>
      </c>
      <c r="AG6" s="7" t="n">
        <f aca="false">N('KNOWIFY PHASES'!I6)</f>
        <v>125000</v>
      </c>
      <c r="AH6" s="7" t="n">
        <f aca="false">N('KNOWIFY PHASES'!H6)</f>
        <v>127755.62</v>
      </c>
      <c r="AI6" s="7" t="n">
        <f aca="false">N('KNOWIFY PHASES'!O6)</f>
        <v>0</v>
      </c>
      <c r="AJ6" s="7" t="n">
        <f aca="false">N('KNOWIFY PHASES'!N6)</f>
        <v>0</v>
      </c>
      <c r="AK6" s="7" t="n">
        <f aca="false">N('KNOWIFY PHASES'!R6)</f>
        <v>0</v>
      </c>
      <c r="AL6" s="7" t="n">
        <f aca="false">N('KNOWIFY PHASES'!Q6)</f>
        <v>0</v>
      </c>
      <c r="AM6" s="7" t="n">
        <f aca="false">N('KNOWIFY PHASES'!F6)</f>
        <v>160000</v>
      </c>
      <c r="AN6" s="7" t="n">
        <f aca="false">N('KNOWIFY PHASES'!E6)</f>
        <v>188280.25</v>
      </c>
      <c r="AO6" s="7" t="n">
        <f aca="false">MAX(AE6,AF6)</f>
        <v>60524.63</v>
      </c>
      <c r="AP6" s="7" t="n">
        <f aca="false">MAX(AG6,AH6)</f>
        <v>127755.62</v>
      </c>
      <c r="AQ6" s="7" t="n">
        <f aca="false">MAX(AI6,AJ6)</f>
        <v>0</v>
      </c>
      <c r="AR6" s="7" t="n">
        <f aca="false">MAX(AK6,AL6)</f>
        <v>0</v>
      </c>
      <c r="AT6" s="7" t="str">
        <f aca="false">IF('KNOWIFY TIME'!B6="","",'KNOWIFY TIME'!B6)</f>
        <v>Foreman Lvl 2</v>
      </c>
      <c r="AU6" s="7" t="n">
        <f aca="false">IF(AT6="",0,IF(ISNUMBER('KNOWIFY TIME'!D6),'KNOWIFY TIME'!D6*24,IFERROR(VALUE(LEFT('KNOWIFY TIME'!D6,FIND(":",'KNOWIFY TIME'!D6)-1))+VALUE(MID('KNOWIFY TIME'!D6,FIND(":",'KNOWIFY TIME'!D6)+1,2))/60,0)))</f>
        <v>1221.83333333333</v>
      </c>
      <c r="AV6" s="7" t="n">
        <f aca="false">N('KNOWIFY TIME'!E6)</f>
        <v>81644.43</v>
      </c>
      <c r="AW6" s="7" t="str">
        <f aca="false">IF(AT6="","",IFERROR(INDEX($BD$5:$BD$60,MATCH(AT6,$BC$5:$BC$60,0)),"Unmapped"))</f>
        <v>Foreman &amp; PM</v>
      </c>
      <c r="AZ6" s="10" t="s">
        <v>849</v>
      </c>
      <c r="BA6" s="10" t="s">
        <v>146</v>
      </c>
      <c r="BC6" s="10" t="s">
        <v>850</v>
      </c>
      <c r="BD6" s="10" t="s">
        <v>182</v>
      </c>
    </row>
    <row r="7" customFormat="false" ht="15" hidden="false" customHeight="false" outlineLevel="0" collapsed="false">
      <c r="AA7" s="7" t="str">
        <f aca="false">IF('KNOWIFY PHASES'!A7="","",'KNOWIFY PHASES'!A7)</f>
        <v>P - Parkade Plumbing (Labour &amp; Material)</v>
      </c>
      <c r="AB7" s="7" t="str">
        <f aca="false">IF(AA7="","",IF(LEFT(AA7,4)="P - ","P",IF(LEFT(AA7,4)="H - ","H",IF(LEFT(AA7,5)="AC - ","AC",IF(OR(LEFT(AA7,4)="V - ",LEFT(AA7,7)="HVAC - "),"V","Other")))))</f>
        <v>P</v>
      </c>
      <c r="AC7" s="7" t="str">
        <f aca="false">IF(AA7="","",IFERROR(LOOKUP(2,1/(($AZ$5:$AZ$60&lt;&gt;"")*ISNUMBER(SEARCH($AZ$5:$AZ$60,AA7))),$BA$5:$BA$60),IF(AB7="Other","Excluded","Unmapped")))</f>
        <v>03 Rough-in (Labour)</v>
      </c>
      <c r="AD7" s="7" t="n">
        <f aca="false">IF(AA7="","",IF(AND(AB7&lt;&gt;"Other",OR(AND('KNOWIFY PHASES'!B7="Closed",N('KNOWIFY PHASES'!D7)&gt;=0.5),N('KNOWIFY PHASES'!D7)&gt;=1)),1,0))</f>
        <v>0</v>
      </c>
      <c r="AE7" s="7" t="n">
        <f aca="false">N('KNOWIFY PHASES'!L7)</f>
        <v>70000</v>
      </c>
      <c r="AF7" s="7" t="n">
        <f aca="false">N('KNOWIFY PHASES'!K7)</f>
        <v>109892.33</v>
      </c>
      <c r="AG7" s="7" t="n">
        <f aca="false">N('KNOWIFY PHASES'!I7)</f>
        <v>110000</v>
      </c>
      <c r="AH7" s="7" t="n">
        <f aca="false">N('KNOWIFY PHASES'!H7)</f>
        <v>60999.27</v>
      </c>
      <c r="AI7" s="7" t="n">
        <f aca="false">N('KNOWIFY PHASES'!O7)</f>
        <v>0</v>
      </c>
      <c r="AJ7" s="7" t="n">
        <f aca="false">N('KNOWIFY PHASES'!N7)</f>
        <v>0</v>
      </c>
      <c r="AK7" s="7" t="n">
        <f aca="false">N('KNOWIFY PHASES'!R7)</f>
        <v>0</v>
      </c>
      <c r="AL7" s="7" t="n">
        <f aca="false">N('KNOWIFY PHASES'!Q7)</f>
        <v>1383.76</v>
      </c>
      <c r="AM7" s="7" t="n">
        <f aca="false">N('KNOWIFY PHASES'!F7)</f>
        <v>180000</v>
      </c>
      <c r="AN7" s="7" t="n">
        <f aca="false">N('KNOWIFY PHASES'!E7)</f>
        <v>172275.36</v>
      </c>
      <c r="AO7" s="7" t="n">
        <f aca="false">MAX(AE7,AF7)</f>
        <v>109892.33</v>
      </c>
      <c r="AP7" s="7" t="n">
        <f aca="false">MAX(AG7,AH7)</f>
        <v>110000</v>
      </c>
      <c r="AQ7" s="7" t="n">
        <f aca="false">MAX(AI7,AJ7)</f>
        <v>0</v>
      </c>
      <c r="AR7" s="7" t="n">
        <f aca="false">MAX(AK7,AL7)</f>
        <v>1383.76</v>
      </c>
      <c r="AT7" s="7" t="str">
        <f aca="false">IF('KNOWIFY TIME'!B7="","",'KNOWIFY TIME'!B7)</f>
        <v>Apprentice Lvl 1</v>
      </c>
      <c r="AU7" s="7" t="n">
        <f aca="false">IF(AT7="",0,IF(ISNUMBER('KNOWIFY TIME'!D7),'KNOWIFY TIME'!D7*24,IFERROR(VALUE(LEFT('KNOWIFY TIME'!D7,FIND(":",'KNOWIFY TIME'!D7)-1))+VALUE(MID('KNOWIFY TIME'!D7,FIND(":",'KNOWIFY TIME'!D7)+1,2))/60,0)))</f>
        <v>3</v>
      </c>
      <c r="AV7" s="7" t="n">
        <f aca="false">N('KNOWIFY TIME'!E7)</f>
        <v>82.74</v>
      </c>
      <c r="AW7" s="7" t="str">
        <f aca="false">IF(AT7="","",IFERROR(INDEX($BD$5:$BD$60,MATCH(AT7,$BC$5:$BC$60,0)),"Unmapped"))</f>
        <v>Apprentice Lvl 1-2</v>
      </c>
      <c r="AZ7" s="10" t="s">
        <v>851</v>
      </c>
      <c r="BA7" s="10" t="s">
        <v>146</v>
      </c>
      <c r="BC7" s="10" t="s">
        <v>852</v>
      </c>
      <c r="BD7" s="10" t="s">
        <v>184</v>
      </c>
    </row>
    <row r="8" customFormat="false" ht="15" hidden="false" customHeight="false" outlineLevel="0" collapsed="false">
      <c r="B8" s="3" t="s">
        <v>853</v>
      </c>
      <c r="AA8" s="7" t="str">
        <f aca="false">IF('KNOWIFY PHASES'!A8="","",'KNOWIFY PHASES'!A8)</f>
        <v>P - BLDG A - L1 Plumbing Rough-in (Labour)</v>
      </c>
      <c r="AB8" s="7" t="str">
        <f aca="false">IF(AA8="","",IF(LEFT(AA8,4)="P - ","P",IF(LEFT(AA8,4)="H - ","H",IF(LEFT(AA8,5)="AC - ","AC",IF(OR(LEFT(AA8,4)="V - ",LEFT(AA8,7)="HVAC - "),"V","Other")))))</f>
        <v>P</v>
      </c>
      <c r="AC8" s="7" t="str">
        <f aca="false">IF(AA8="","",IFERROR(LOOKUP(2,1/(($AZ$5:$AZ$60&lt;&gt;"")*ISNUMBER(SEARCH($AZ$5:$AZ$60,AA8))),$BA$5:$BA$60),IF(AB8="Other","Excluded","Unmapped")))</f>
        <v>03 Rough-in (Labour)</v>
      </c>
      <c r="AD8" s="7" t="n">
        <f aca="false">IF(AA8="","",IF(AND(AB8&lt;&gt;"Other",OR(AND('KNOWIFY PHASES'!B8="Closed",N('KNOWIFY PHASES'!D8)&gt;=0.5),N('KNOWIFY PHASES'!D8)&gt;=1)),1,0))</f>
        <v>1</v>
      </c>
      <c r="AE8" s="7" t="n">
        <f aca="false">N('KNOWIFY PHASES'!L8)</f>
        <v>40000</v>
      </c>
      <c r="AF8" s="7" t="n">
        <f aca="false">N('KNOWIFY PHASES'!K8)</f>
        <v>78969.73</v>
      </c>
      <c r="AG8" s="7" t="n">
        <f aca="false">N('KNOWIFY PHASES'!I8)</f>
        <v>0</v>
      </c>
      <c r="AH8" s="7" t="n">
        <f aca="false">N('KNOWIFY PHASES'!H8)</f>
        <v>0</v>
      </c>
      <c r="AI8" s="7" t="n">
        <f aca="false">N('KNOWIFY PHASES'!O8)</f>
        <v>0</v>
      </c>
      <c r="AJ8" s="7" t="n">
        <f aca="false">N('KNOWIFY PHASES'!N8)</f>
        <v>0</v>
      </c>
      <c r="AK8" s="7" t="n">
        <f aca="false">N('KNOWIFY PHASES'!R8)</f>
        <v>0</v>
      </c>
      <c r="AL8" s="7" t="n">
        <f aca="false">N('KNOWIFY PHASES'!Q8)</f>
        <v>0</v>
      </c>
      <c r="AM8" s="7" t="n">
        <f aca="false">N('KNOWIFY PHASES'!F8)</f>
        <v>40000</v>
      </c>
      <c r="AN8" s="7" t="n">
        <f aca="false">N('KNOWIFY PHASES'!E8)</f>
        <v>78969.73</v>
      </c>
      <c r="AO8" s="7" t="n">
        <f aca="false">MAX(AE8,AF8)</f>
        <v>78969.73</v>
      </c>
      <c r="AP8" s="7" t="n">
        <f aca="false">MAX(AG8,AH8)</f>
        <v>0</v>
      </c>
      <c r="AQ8" s="7" t="n">
        <f aca="false">MAX(AI8,AJ8)</f>
        <v>0</v>
      </c>
      <c r="AR8" s="7" t="n">
        <f aca="false">MAX(AK8,AL8)</f>
        <v>0</v>
      </c>
      <c r="AT8" s="7" t="str">
        <f aca="false">IF('KNOWIFY TIME'!B8="","",'KNOWIFY TIME'!B8)</f>
        <v>Apprentice Lvl 1</v>
      </c>
      <c r="AU8" s="7" t="n">
        <f aca="false">IF(AT8="",0,IF(ISNUMBER('KNOWIFY TIME'!D8),'KNOWIFY TIME'!D8*24,IFERROR(VALUE(LEFT('KNOWIFY TIME'!D8,FIND(":",'KNOWIFY TIME'!D8)-1))+VALUE(MID('KNOWIFY TIME'!D8,FIND(":",'KNOWIFY TIME'!D8)+1,2))/60,0)))</f>
        <v>993.666666666667</v>
      </c>
      <c r="AV8" s="7" t="n">
        <f aca="false">N('KNOWIFY TIME'!E8)</f>
        <v>37200.9</v>
      </c>
      <c r="AW8" s="7" t="str">
        <f aca="false">IF(AT8="","",IFERROR(INDEX($BD$5:$BD$60,MATCH(AT8,$BC$5:$BC$60,0)),"Unmapped"))</f>
        <v>Apprentice Lvl 1-2</v>
      </c>
      <c r="AZ8" s="10" t="s">
        <v>854</v>
      </c>
      <c r="BA8" s="10" t="s">
        <v>146</v>
      </c>
      <c r="BC8" s="10" t="s">
        <v>855</v>
      </c>
      <c r="BD8" s="10" t="s">
        <v>184</v>
      </c>
    </row>
    <row r="9" customFormat="false" ht="30" hidden="false" customHeight="true" outlineLevel="0" collapsed="false">
      <c r="B9" s="17" t="s">
        <v>856</v>
      </c>
      <c r="C9" s="17" t="s">
        <v>857</v>
      </c>
      <c r="D9" s="17" t="s">
        <v>858</v>
      </c>
      <c r="E9" s="78" t="s">
        <v>859</v>
      </c>
      <c r="F9" s="78" t="s">
        <v>857</v>
      </c>
      <c r="G9" s="78" t="s">
        <v>860</v>
      </c>
      <c r="AA9" s="7" t="str">
        <f aca="false">IF('KNOWIFY PHASES'!A9="","",'KNOWIFY PHASES'!A9)</f>
        <v>P - BLDG A - L2 Plumbing Rough-in (Labour)</v>
      </c>
      <c r="AB9" s="7" t="str">
        <f aca="false">IF(AA9="","",IF(LEFT(AA9,4)="P - ","P",IF(LEFT(AA9,4)="H - ","H",IF(LEFT(AA9,5)="AC - ","AC",IF(OR(LEFT(AA9,4)="V - ",LEFT(AA9,7)="HVAC - "),"V","Other")))))</f>
        <v>P</v>
      </c>
      <c r="AC9" s="7" t="str">
        <f aca="false">IF(AA9="","",IFERROR(LOOKUP(2,1/(($AZ$5:$AZ$60&lt;&gt;"")*ISNUMBER(SEARCH($AZ$5:$AZ$60,AA9))),$BA$5:$BA$60),IF(AB9="Other","Excluded","Unmapped")))</f>
        <v>03 Rough-in (Labour)</v>
      </c>
      <c r="AD9" s="7" t="n">
        <f aca="false">IF(AA9="","",IF(AND(AB9&lt;&gt;"Other",OR(AND('KNOWIFY PHASES'!B9="Closed",N('KNOWIFY PHASES'!D9)&gt;=0.5),N('KNOWIFY PHASES'!D9)&gt;=1)),1,0))</f>
        <v>1</v>
      </c>
      <c r="AE9" s="7" t="n">
        <f aca="false">N('KNOWIFY PHASES'!L9)</f>
        <v>40000</v>
      </c>
      <c r="AF9" s="7" t="n">
        <f aca="false">N('KNOWIFY PHASES'!K9)</f>
        <v>44124.47</v>
      </c>
      <c r="AG9" s="7" t="n">
        <f aca="false">N('KNOWIFY PHASES'!I9)</f>
        <v>0</v>
      </c>
      <c r="AH9" s="7" t="n">
        <f aca="false">N('KNOWIFY PHASES'!H9)</f>
        <v>0</v>
      </c>
      <c r="AI9" s="7" t="n">
        <f aca="false">N('KNOWIFY PHASES'!O9)</f>
        <v>0</v>
      </c>
      <c r="AJ9" s="7" t="n">
        <f aca="false">N('KNOWIFY PHASES'!N9)</f>
        <v>0</v>
      </c>
      <c r="AK9" s="7" t="n">
        <f aca="false">N('KNOWIFY PHASES'!R9)</f>
        <v>0</v>
      </c>
      <c r="AL9" s="7" t="n">
        <f aca="false">N('KNOWIFY PHASES'!Q9)</f>
        <v>0</v>
      </c>
      <c r="AM9" s="7" t="n">
        <f aca="false">N('KNOWIFY PHASES'!F9)</f>
        <v>40000</v>
      </c>
      <c r="AN9" s="7" t="n">
        <f aca="false">N('KNOWIFY PHASES'!E9)</f>
        <v>44124.47</v>
      </c>
      <c r="AO9" s="7" t="n">
        <f aca="false">MAX(AE9,AF9)</f>
        <v>44124.47</v>
      </c>
      <c r="AP9" s="7" t="n">
        <f aca="false">MAX(AG9,AH9)</f>
        <v>0</v>
      </c>
      <c r="AQ9" s="7" t="n">
        <f aca="false">MAX(AI9,AJ9)</f>
        <v>0</v>
      </c>
      <c r="AR9" s="7" t="n">
        <f aca="false">MAX(AK9,AL9)</f>
        <v>0</v>
      </c>
      <c r="AT9" s="7" t="str">
        <f aca="false">IF('KNOWIFY TIME'!B9="","",'KNOWIFY TIME'!B9)</f>
        <v>Apprentice Lvl 1</v>
      </c>
      <c r="AU9" s="7" t="n">
        <f aca="false">IF(AT9="",0,IF(ISNUMBER('KNOWIFY TIME'!D9),'KNOWIFY TIME'!D9*24,IFERROR(VALUE(LEFT('KNOWIFY TIME'!D9,FIND(":",'KNOWIFY TIME'!D9)-1))+VALUE(MID('KNOWIFY TIME'!D9,FIND(":",'KNOWIFY TIME'!D9)+1,2))/60,0)))</f>
        <v>532.583333333333</v>
      </c>
      <c r="AV9" s="7" t="n">
        <f aca="false">N('KNOWIFY TIME'!E9)</f>
        <v>26480</v>
      </c>
      <c r="AW9" s="7" t="str">
        <f aca="false">IF(AT9="","",IFERROR(INDEX($BD$5:$BD$60,MATCH(AT9,$BC$5:$BC$60,0)),"Unmapped"))</f>
        <v>Apprentice Lvl 1-2</v>
      </c>
      <c r="AZ9" s="10" t="s">
        <v>861</v>
      </c>
      <c r="BA9" s="10" t="s">
        <v>148</v>
      </c>
      <c r="BC9" s="10" t="s">
        <v>862</v>
      </c>
      <c r="BD9" s="10" t="s">
        <v>184</v>
      </c>
    </row>
    <row r="10" customFormat="false" ht="15" hidden="false" customHeight="false" outlineLevel="0" collapsed="false">
      <c r="B10" s="24" t="s">
        <v>863</v>
      </c>
      <c r="C10" s="28" t="n">
        <f aca="false">SUM('KNOWIFY REVIEW'!$AM$4:$AM$400)</f>
        <v>8232377.54</v>
      </c>
      <c r="D10" s="19" t="n">
        <f aca="false">IFERROR(1-C10/$C$5,0)</f>
        <v>0.14806391070937</v>
      </c>
      <c r="E10" s="24" t="s">
        <v>864</v>
      </c>
      <c r="F10" s="28" t="n">
        <f aca="false">F15-SUMIFS('KNOWIFY REVIEW'!$AP$4:$AP$400,'KNOWIFY REVIEW'!$AC$4:$AC$400,INPUTS!$B$72)</f>
        <v>2361476.17</v>
      </c>
      <c r="G10" s="19" t="n">
        <f aca="false">IFERROR(F10/$C$12,0)</f>
        <v>0.258752132103747</v>
      </c>
      <c r="AA10" s="7" t="str">
        <f aca="false">IF('KNOWIFY PHASES'!A10="","",'KNOWIFY PHASES'!A10)</f>
        <v>P - BLDG A - L3 Plumbing Rough-in (Labour)</v>
      </c>
      <c r="AB10" s="7" t="str">
        <f aca="false">IF(AA10="","",IF(LEFT(AA10,4)="P - ","P",IF(LEFT(AA10,4)="H - ","H",IF(LEFT(AA10,5)="AC - ","AC",IF(OR(LEFT(AA10,4)="V - ",LEFT(AA10,7)="HVAC - "),"V","Other")))))</f>
        <v>P</v>
      </c>
      <c r="AC10" s="7" t="str">
        <f aca="false">IF(AA10="","",IFERROR(LOOKUP(2,1/(($AZ$5:$AZ$60&lt;&gt;"")*ISNUMBER(SEARCH($AZ$5:$AZ$60,AA10))),$BA$5:$BA$60),IF(AB10="Other","Excluded","Unmapped")))</f>
        <v>03 Rough-in (Labour)</v>
      </c>
      <c r="AD10" s="7" t="n">
        <f aca="false">IF(AA10="","",IF(AND(AB10&lt;&gt;"Other",OR(AND('KNOWIFY PHASES'!B10="Closed",N('KNOWIFY PHASES'!D10)&gt;=0.5),N('KNOWIFY PHASES'!D10)&gt;=1)),1,0))</f>
        <v>1</v>
      </c>
      <c r="AE10" s="7" t="n">
        <f aca="false">N('KNOWIFY PHASES'!L10)</f>
        <v>40000</v>
      </c>
      <c r="AF10" s="7" t="n">
        <f aca="false">N('KNOWIFY PHASES'!K10)</f>
        <v>37888.74</v>
      </c>
      <c r="AG10" s="7" t="n">
        <f aca="false">N('KNOWIFY PHASES'!I10)</f>
        <v>0</v>
      </c>
      <c r="AH10" s="7" t="n">
        <f aca="false">N('KNOWIFY PHASES'!H10)</f>
        <v>0</v>
      </c>
      <c r="AI10" s="7" t="n">
        <f aca="false">N('KNOWIFY PHASES'!O10)</f>
        <v>0</v>
      </c>
      <c r="AJ10" s="7" t="n">
        <f aca="false">N('KNOWIFY PHASES'!N10)</f>
        <v>4331.25</v>
      </c>
      <c r="AK10" s="7" t="n">
        <f aca="false">N('KNOWIFY PHASES'!R10)</f>
        <v>0</v>
      </c>
      <c r="AL10" s="7" t="n">
        <f aca="false">N('KNOWIFY PHASES'!Q10)</f>
        <v>0</v>
      </c>
      <c r="AM10" s="7" t="n">
        <f aca="false">N('KNOWIFY PHASES'!F10)</f>
        <v>40000</v>
      </c>
      <c r="AN10" s="7" t="n">
        <f aca="false">N('KNOWIFY PHASES'!E10)</f>
        <v>42219.99</v>
      </c>
      <c r="AO10" s="7" t="n">
        <f aca="false">MAX(AE10,AF10)</f>
        <v>40000</v>
      </c>
      <c r="AP10" s="7" t="n">
        <f aca="false">MAX(AG10,AH10)</f>
        <v>0</v>
      </c>
      <c r="AQ10" s="7" t="n">
        <f aca="false">MAX(AI10,AJ10)</f>
        <v>4331.25</v>
      </c>
      <c r="AR10" s="7" t="n">
        <f aca="false">MAX(AK10,AL10)</f>
        <v>0</v>
      </c>
      <c r="AT10" s="7" t="str">
        <f aca="false">IF('KNOWIFY TIME'!B10="","",'KNOWIFY TIME'!B10)</f>
        <v>Apprentice Lvl 3</v>
      </c>
      <c r="AU10" s="7" t="n">
        <f aca="false">IF(AT10="",0,IF(ISNUMBER('KNOWIFY TIME'!D10),'KNOWIFY TIME'!D10*24,IFERROR(VALUE(LEFT('KNOWIFY TIME'!D10,FIND(":",'KNOWIFY TIME'!D10)-1))+VALUE(MID('KNOWIFY TIME'!D10,FIND(":",'KNOWIFY TIME'!D10)+1,2))/60,0)))</f>
        <v>712.5</v>
      </c>
      <c r="AV10" s="7" t="n">
        <f aca="false">N('KNOWIFY TIME'!E10)</f>
        <v>37728.33</v>
      </c>
      <c r="AW10" s="7" t="str">
        <f aca="false">IF(AT10="","",IFERROR(INDEX($BD$5:$BD$60,MATCH(AT10,$BC$5:$BC$60,0)),"Unmapped"))</f>
        <v>Apprentice Lvl 3-6</v>
      </c>
      <c r="AZ10" s="10" t="s">
        <v>865</v>
      </c>
      <c r="BA10" s="10" t="s">
        <v>148</v>
      </c>
      <c r="BC10" s="10" t="s">
        <v>866</v>
      </c>
      <c r="BD10" s="10" t="s">
        <v>184</v>
      </c>
    </row>
    <row r="11" customFormat="false" ht="15" hidden="false" customHeight="false" outlineLevel="0" collapsed="false">
      <c r="B11" s="24" t="s">
        <v>867</v>
      </c>
      <c r="C11" s="28" t="n">
        <f aca="false">SUM('KNOWIFY REVIEW'!$AN$4:$AN$400)</f>
        <v>6004615.96</v>
      </c>
      <c r="D11" s="19"/>
      <c r="E11" s="24" t="s">
        <v>868</v>
      </c>
      <c r="G11" s="30" t="n">
        <f aca="false">INPUTS!C81</f>
        <v>0.26</v>
      </c>
      <c r="AA11" s="7" t="str">
        <f aca="false">IF('KNOWIFY PHASES'!A11="","",'KNOWIFY PHASES'!A11)</f>
        <v>P - BLDG A - L4 Plumbing Rough-in (Labour)</v>
      </c>
      <c r="AB11" s="7" t="str">
        <f aca="false">IF(AA11="","",IF(LEFT(AA11,4)="P - ","P",IF(LEFT(AA11,4)="H - ","H",IF(LEFT(AA11,5)="AC - ","AC",IF(OR(LEFT(AA11,4)="V - ",LEFT(AA11,7)="HVAC - "),"V","Other")))))</f>
        <v>P</v>
      </c>
      <c r="AC11" s="7" t="str">
        <f aca="false">IF(AA11="","",IFERROR(LOOKUP(2,1/(($AZ$5:$AZ$60&lt;&gt;"")*ISNUMBER(SEARCH($AZ$5:$AZ$60,AA11))),$BA$5:$BA$60),IF(AB11="Other","Excluded","Unmapped")))</f>
        <v>03 Rough-in (Labour)</v>
      </c>
      <c r="AD11" s="7" t="n">
        <f aca="false">IF(AA11="","",IF(AND(AB11&lt;&gt;"Other",OR(AND('KNOWIFY PHASES'!B11="Closed",N('KNOWIFY PHASES'!D11)&gt;=0.5),N('KNOWIFY PHASES'!D11)&gt;=1)),1,0))</f>
        <v>1</v>
      </c>
      <c r="AE11" s="7" t="n">
        <f aca="false">N('KNOWIFY PHASES'!L11)</f>
        <v>40000</v>
      </c>
      <c r="AF11" s="7" t="n">
        <f aca="false">N('KNOWIFY PHASES'!K11)</f>
        <v>43632.52</v>
      </c>
      <c r="AG11" s="7" t="n">
        <f aca="false">N('KNOWIFY PHASES'!I11)</f>
        <v>0</v>
      </c>
      <c r="AH11" s="7" t="n">
        <f aca="false">N('KNOWIFY PHASES'!H11)</f>
        <v>0</v>
      </c>
      <c r="AI11" s="7" t="n">
        <f aca="false">N('KNOWIFY PHASES'!O11)</f>
        <v>0</v>
      </c>
      <c r="AJ11" s="7" t="n">
        <f aca="false">N('KNOWIFY PHASES'!N11)</f>
        <v>0</v>
      </c>
      <c r="AK11" s="7" t="n">
        <f aca="false">N('KNOWIFY PHASES'!R11)</f>
        <v>0</v>
      </c>
      <c r="AL11" s="7" t="n">
        <f aca="false">N('KNOWIFY PHASES'!Q11)</f>
        <v>0</v>
      </c>
      <c r="AM11" s="7" t="n">
        <f aca="false">N('KNOWIFY PHASES'!F11)</f>
        <v>40000</v>
      </c>
      <c r="AN11" s="7" t="n">
        <f aca="false">N('KNOWIFY PHASES'!E11)</f>
        <v>43632.52</v>
      </c>
      <c r="AO11" s="7" t="n">
        <f aca="false">MAX(AE11,AF11)</f>
        <v>43632.52</v>
      </c>
      <c r="AP11" s="7" t="n">
        <f aca="false">MAX(AG11,AH11)</f>
        <v>0</v>
      </c>
      <c r="AQ11" s="7" t="n">
        <f aca="false">MAX(AI11,AJ11)</f>
        <v>0</v>
      </c>
      <c r="AR11" s="7" t="n">
        <f aca="false">MAX(AK11,AL11)</f>
        <v>0</v>
      </c>
      <c r="AT11" s="7" t="str">
        <f aca="false">IF('KNOWIFY TIME'!B11="","",'KNOWIFY TIME'!B11)</f>
        <v>Journeyman Lvl 2</v>
      </c>
      <c r="AU11" s="7" t="n">
        <f aca="false">IF(AT11="",0,IF(ISNUMBER('KNOWIFY TIME'!D11),'KNOWIFY TIME'!D11*24,IFERROR(VALUE(LEFT('KNOWIFY TIME'!D11,FIND(":",'KNOWIFY TIME'!D11)-1))+VALUE(MID('KNOWIFY TIME'!D11,FIND(":",'KNOWIFY TIME'!D11)+1,2))/60,0)))</f>
        <v>530.5</v>
      </c>
      <c r="AV11" s="7" t="n">
        <f aca="false">N('KNOWIFY TIME'!E11)</f>
        <v>38320.57</v>
      </c>
      <c r="AW11" s="7" t="str">
        <f aca="false">IF(AT11="","",IFERROR(INDEX($BD$5:$BD$60,MATCH(AT11,$BC$5:$BC$60,0)),"Unmapped"))</f>
        <v>Journeyman Lvl 1-2</v>
      </c>
      <c r="AZ11" s="10" t="s">
        <v>112</v>
      </c>
      <c r="BA11" s="10" t="s">
        <v>148</v>
      </c>
      <c r="BC11" s="10" t="s">
        <v>869</v>
      </c>
      <c r="BD11" s="10" t="s">
        <v>184</v>
      </c>
    </row>
    <row r="12" customFormat="false" ht="15" hidden="false" customHeight="false" outlineLevel="0" collapsed="false">
      <c r="B12" s="24" t="s">
        <v>870</v>
      </c>
      <c r="C12" s="28" t="n">
        <f aca="false">SUM('KNOWIFY REVIEW'!$AO$4:$AO$400)+SUM('KNOWIFY REVIEW'!$AP$4:$AP$400)+SUM('KNOWIFY REVIEW'!$AQ$4:$AQ$400)+SUM('KNOWIFY REVIEW'!$AR$4:$AR$400)</f>
        <v>9126402.75</v>
      </c>
      <c r="D12" s="19" t="n">
        <f aca="false">IFERROR(1-C12/$C$5,0)</f>
        <v>0.0555447888112465</v>
      </c>
      <c r="E12" s="24" t="s">
        <v>871</v>
      </c>
      <c r="F12" s="28" t="n">
        <f aca="false">F15-F10</f>
        <v>1860000</v>
      </c>
      <c r="G12" s="19" t="n">
        <f aca="false">IFERROR(F12/$C$12,0)</f>
        <v>0.203804286415039</v>
      </c>
      <c r="AA12" s="7" t="str">
        <f aca="false">IF('KNOWIFY PHASES'!A12="","",'KNOWIFY PHASES'!A12)</f>
        <v>P - BLDG A - L5 Plumbing Rough-in (Labour)</v>
      </c>
      <c r="AB12" s="7" t="str">
        <f aca="false">IF(AA12="","",IF(LEFT(AA12,4)="P - ","P",IF(LEFT(AA12,4)="H - ","H",IF(LEFT(AA12,5)="AC - ","AC",IF(OR(LEFT(AA12,4)="V - ",LEFT(AA12,7)="HVAC - "),"V","Other")))))</f>
        <v>P</v>
      </c>
      <c r="AC12" s="7" t="str">
        <f aca="false">IF(AA12="","",IFERROR(LOOKUP(2,1/(($AZ$5:$AZ$60&lt;&gt;"")*ISNUMBER(SEARCH($AZ$5:$AZ$60,AA12))),$BA$5:$BA$60),IF(AB12="Other","Excluded","Unmapped")))</f>
        <v>03 Rough-in (Labour)</v>
      </c>
      <c r="AD12" s="7" t="n">
        <f aca="false">IF(AA12="","",IF(AND(AB12&lt;&gt;"Other",OR(AND('KNOWIFY PHASES'!B12="Closed",N('KNOWIFY PHASES'!D12)&gt;=0.5),N('KNOWIFY PHASES'!D12)&gt;=1)),1,0))</f>
        <v>1</v>
      </c>
      <c r="AE12" s="7" t="n">
        <f aca="false">N('KNOWIFY PHASES'!L12)</f>
        <v>40000</v>
      </c>
      <c r="AF12" s="7" t="n">
        <f aca="false">N('KNOWIFY PHASES'!K12)</f>
        <v>38544.91</v>
      </c>
      <c r="AG12" s="7" t="n">
        <f aca="false">N('KNOWIFY PHASES'!I12)</f>
        <v>0</v>
      </c>
      <c r="AH12" s="7" t="n">
        <f aca="false">N('KNOWIFY PHASES'!H12)</f>
        <v>0</v>
      </c>
      <c r="AI12" s="7" t="n">
        <f aca="false">N('KNOWIFY PHASES'!O12)</f>
        <v>0</v>
      </c>
      <c r="AJ12" s="7" t="n">
        <f aca="false">N('KNOWIFY PHASES'!N12)</f>
        <v>0</v>
      </c>
      <c r="AK12" s="7" t="n">
        <f aca="false">N('KNOWIFY PHASES'!R12)</f>
        <v>0</v>
      </c>
      <c r="AL12" s="7" t="n">
        <f aca="false">N('KNOWIFY PHASES'!Q12)</f>
        <v>0</v>
      </c>
      <c r="AM12" s="7" t="n">
        <f aca="false">N('KNOWIFY PHASES'!F12)</f>
        <v>40000</v>
      </c>
      <c r="AN12" s="7" t="n">
        <f aca="false">N('KNOWIFY PHASES'!E12)</f>
        <v>38544.91</v>
      </c>
      <c r="AO12" s="7" t="n">
        <f aca="false">MAX(AE12,AF12)</f>
        <v>40000</v>
      </c>
      <c r="AP12" s="7" t="n">
        <f aca="false">MAX(AG12,AH12)</f>
        <v>0</v>
      </c>
      <c r="AQ12" s="7" t="n">
        <f aca="false">MAX(AI12,AJ12)</f>
        <v>0</v>
      </c>
      <c r="AR12" s="7" t="n">
        <f aca="false">MAX(AK12,AL12)</f>
        <v>0</v>
      </c>
      <c r="AT12" s="7" t="str">
        <f aca="false">IF('KNOWIFY TIME'!B12="","",'KNOWIFY TIME'!B12)</f>
        <v>Journeyman Lvl 2</v>
      </c>
      <c r="AU12" s="7" t="n">
        <f aca="false">IF(AT12="",0,IF(ISNUMBER('KNOWIFY TIME'!D12),'KNOWIFY TIME'!D12*24,IFERROR(VALUE(LEFT('KNOWIFY TIME'!D12,FIND(":",'KNOWIFY TIME'!D12)-1))+VALUE(MID('KNOWIFY TIME'!D12,FIND(":",'KNOWIFY TIME'!D12)+1,2))/60,0)))</f>
        <v>1586.08333333333</v>
      </c>
      <c r="AV12" s="7" t="n">
        <f aca="false">N('KNOWIFY TIME'!E12)</f>
        <v>88613.26</v>
      </c>
      <c r="AW12" s="7" t="str">
        <f aca="false">IF(AT12="","",IFERROR(INDEX($BD$5:$BD$60,MATCH(AT12,$BC$5:$BC$60,0)),"Unmapped"))</f>
        <v>Journeyman Lvl 1-2</v>
      </c>
      <c r="AZ12" s="10" t="s">
        <v>872</v>
      </c>
      <c r="BA12" s="10" t="s">
        <v>150</v>
      </c>
      <c r="BC12" s="10" t="s">
        <v>873</v>
      </c>
      <c r="BD12" s="10" t="s">
        <v>186</v>
      </c>
    </row>
    <row r="13" customFormat="false" ht="15" hidden="false" customHeight="false" outlineLevel="0" collapsed="false">
      <c r="B13" s="24" t="s">
        <v>874</v>
      </c>
      <c r="C13" s="28" t="n">
        <f aca="false">C6</f>
        <v>8998706.78</v>
      </c>
      <c r="D13" s="19" t="n">
        <f aca="false">IFERROR(1-C13/$C$5,0)</f>
        <v>0.0687595381071073</v>
      </c>
      <c r="AA13" s="7" t="str">
        <f aca="false">IF('KNOWIFY PHASES'!A13="","",'KNOWIFY PHASES'!A13)</f>
        <v>P - BLDG A - L6 Plumbing Rough-in (Labour)</v>
      </c>
      <c r="AB13" s="7" t="str">
        <f aca="false">IF(AA13="","",IF(LEFT(AA13,4)="P - ","P",IF(LEFT(AA13,4)="H - ","H",IF(LEFT(AA13,5)="AC - ","AC",IF(OR(LEFT(AA13,4)="V - ",LEFT(AA13,7)="HVAC - "),"V","Other")))))</f>
        <v>P</v>
      </c>
      <c r="AC13" s="7" t="str">
        <f aca="false">IF(AA13="","",IFERROR(LOOKUP(2,1/(($AZ$5:$AZ$60&lt;&gt;"")*ISNUMBER(SEARCH($AZ$5:$AZ$60,AA13))),$BA$5:$BA$60),IF(AB13="Other","Excluded","Unmapped")))</f>
        <v>03 Rough-in (Labour)</v>
      </c>
      <c r="AD13" s="7" t="n">
        <f aca="false">IF(AA13="","",IF(AND(AB13&lt;&gt;"Other",OR(AND('KNOWIFY PHASES'!B13="Closed",N('KNOWIFY PHASES'!D13)&gt;=0.5),N('KNOWIFY PHASES'!D13)&gt;=1)),1,0))</f>
        <v>1</v>
      </c>
      <c r="AE13" s="7" t="n">
        <f aca="false">N('KNOWIFY PHASES'!L13)</f>
        <v>40000</v>
      </c>
      <c r="AF13" s="7" t="n">
        <f aca="false">N('KNOWIFY PHASES'!K13)</f>
        <v>29711.57</v>
      </c>
      <c r="AG13" s="7" t="n">
        <f aca="false">N('KNOWIFY PHASES'!I13)</f>
        <v>0</v>
      </c>
      <c r="AH13" s="7" t="n">
        <f aca="false">N('KNOWIFY PHASES'!H13)</f>
        <v>0</v>
      </c>
      <c r="AI13" s="7" t="n">
        <f aca="false">N('KNOWIFY PHASES'!O13)</f>
        <v>0</v>
      </c>
      <c r="AJ13" s="7" t="n">
        <f aca="false">N('KNOWIFY PHASES'!N13)</f>
        <v>0</v>
      </c>
      <c r="AK13" s="7" t="n">
        <f aca="false">N('KNOWIFY PHASES'!R13)</f>
        <v>0</v>
      </c>
      <c r="AL13" s="7" t="n">
        <f aca="false">N('KNOWIFY PHASES'!Q13)</f>
        <v>0</v>
      </c>
      <c r="AM13" s="7" t="n">
        <f aca="false">N('KNOWIFY PHASES'!F13)</f>
        <v>40000</v>
      </c>
      <c r="AN13" s="7" t="n">
        <f aca="false">N('KNOWIFY PHASES'!E13)</f>
        <v>29711.57</v>
      </c>
      <c r="AO13" s="7" t="n">
        <f aca="false">MAX(AE13,AF13)</f>
        <v>40000</v>
      </c>
      <c r="AP13" s="7" t="n">
        <f aca="false">MAX(AG13,AH13)</f>
        <v>0</v>
      </c>
      <c r="AQ13" s="7" t="n">
        <f aca="false">MAX(AI13,AJ13)</f>
        <v>0</v>
      </c>
      <c r="AR13" s="7" t="n">
        <f aca="false">MAX(AK13,AL13)</f>
        <v>0</v>
      </c>
      <c r="AT13" s="7" t="str">
        <f aca="false">IF('KNOWIFY TIME'!B13="","",'KNOWIFY TIME'!B13)</f>
        <v>Apprentice Lvl 1</v>
      </c>
      <c r="AU13" s="7" t="n">
        <f aca="false">IF(AT13="",0,IF(ISNUMBER('KNOWIFY TIME'!D13),'KNOWIFY TIME'!D13*24,IFERROR(VALUE(LEFT('KNOWIFY TIME'!D13,FIND(":",'KNOWIFY TIME'!D13)-1))+VALUE(MID('KNOWIFY TIME'!D13,FIND(":",'KNOWIFY TIME'!D13)+1,2))/60,0)))</f>
        <v>817.083333333333</v>
      </c>
      <c r="AV13" s="7" t="n">
        <f aca="false">N('KNOWIFY TIME'!E13)</f>
        <v>40619.1</v>
      </c>
      <c r="AW13" s="7" t="str">
        <f aca="false">IF(AT13="","",IFERROR(INDEX($BD$5:$BD$60,MATCH(AT13,$BC$5:$BC$60,0)),"Unmapped"))</f>
        <v>Apprentice Lvl 1-2</v>
      </c>
      <c r="AZ13" s="10" t="s">
        <v>875</v>
      </c>
      <c r="BA13" s="10" t="s">
        <v>150</v>
      </c>
      <c r="BC13" s="10" t="s">
        <v>876</v>
      </c>
      <c r="BD13" s="10" t="s">
        <v>186</v>
      </c>
    </row>
    <row r="14" customFormat="false" ht="15" hidden="false" customHeight="false" outlineLevel="0" collapsed="false">
      <c r="B14" s="24" t="s">
        <v>877</v>
      </c>
      <c r="C14" s="13" t="n">
        <f aca="false">SUM('KNOWIFY REVIEW'!$AU$3:$AU$300)</f>
        <v>32620.9166666667</v>
      </c>
      <c r="D14" s="19"/>
      <c r="E14" s="24" t="s">
        <v>878</v>
      </c>
      <c r="F14" s="28" t="n">
        <f aca="false">SUM('KNOWIFY REVIEW'!$AO$4:$AO$400)</f>
        <v>2682310.2</v>
      </c>
      <c r="G14" s="19" t="n">
        <f aca="false">IFERROR(F14/$C$12,0)</f>
        <v>0.293906621642355</v>
      </c>
      <c r="AA14" s="7" t="str">
        <f aca="false">IF('KNOWIFY PHASES'!A14="","",'KNOWIFY PHASES'!A14)</f>
        <v>P - BLDG A - Roof Plumbing (Labour &amp; Material)</v>
      </c>
      <c r="AB14" s="7" t="str">
        <f aca="false">IF(AA14="","",IF(LEFT(AA14,4)="P - ","P",IF(LEFT(AA14,4)="H - ","H",IF(LEFT(AA14,5)="AC - ","AC",IF(OR(LEFT(AA14,4)="V - ",LEFT(AA14,7)="HVAC - "),"V","Other")))))</f>
        <v>P</v>
      </c>
      <c r="AC14" s="7" t="str">
        <f aca="false">IF(AA14="","",IFERROR(LOOKUP(2,1/(($AZ$5:$AZ$60&lt;&gt;"")*ISNUMBER(SEARCH($AZ$5:$AZ$60,AA14))),$BA$5:$BA$60),IF(AB14="Other","Excluded","Unmapped")))</f>
        <v>03 Rough-in (Labour)</v>
      </c>
      <c r="AD14" s="7" t="n">
        <f aca="false">IF(AA14="","",IF(AND(AB14&lt;&gt;"Other",OR(AND('KNOWIFY PHASES'!B14="Closed",N('KNOWIFY PHASES'!D14)&gt;=0.5),N('KNOWIFY PHASES'!D14)&gt;=1)),1,0))</f>
        <v>0</v>
      </c>
      <c r="AE14" s="7" t="n">
        <f aca="false">N('KNOWIFY PHASES'!L14)</f>
        <v>27600</v>
      </c>
      <c r="AF14" s="7" t="n">
        <f aca="false">N('KNOWIFY PHASES'!K14)</f>
        <v>491.54</v>
      </c>
      <c r="AG14" s="7" t="n">
        <f aca="false">N('KNOWIFY PHASES'!I14)</f>
        <v>12400</v>
      </c>
      <c r="AH14" s="7" t="n">
        <f aca="false">N('KNOWIFY PHASES'!H14)</f>
        <v>0</v>
      </c>
      <c r="AI14" s="7" t="n">
        <f aca="false">N('KNOWIFY PHASES'!O14)</f>
        <v>0</v>
      </c>
      <c r="AJ14" s="7" t="n">
        <f aca="false">N('KNOWIFY PHASES'!N14)</f>
        <v>0</v>
      </c>
      <c r="AK14" s="7" t="n">
        <f aca="false">N('KNOWIFY PHASES'!R14)</f>
        <v>0</v>
      </c>
      <c r="AL14" s="7" t="n">
        <f aca="false">N('KNOWIFY PHASES'!Q14)</f>
        <v>0</v>
      </c>
      <c r="AM14" s="7" t="n">
        <f aca="false">N('KNOWIFY PHASES'!F14)</f>
        <v>40000</v>
      </c>
      <c r="AN14" s="7" t="n">
        <f aca="false">N('KNOWIFY PHASES'!E14)</f>
        <v>491.54</v>
      </c>
      <c r="AO14" s="7" t="n">
        <f aca="false">MAX(AE14,AF14)</f>
        <v>27600</v>
      </c>
      <c r="AP14" s="7" t="n">
        <f aca="false">MAX(AG14,AH14)</f>
        <v>12400</v>
      </c>
      <c r="AQ14" s="7" t="n">
        <f aca="false">MAX(AI14,AJ14)</f>
        <v>0</v>
      </c>
      <c r="AR14" s="7" t="n">
        <f aca="false">MAX(AK14,AL14)</f>
        <v>0</v>
      </c>
      <c r="AT14" s="7" t="str">
        <f aca="false">IF('KNOWIFY TIME'!B14="","",'KNOWIFY TIME'!B14)</f>
        <v>Apprentice Lvl 1</v>
      </c>
      <c r="AU14" s="7" t="n">
        <f aca="false">IF(AT14="",0,IF(ISNUMBER('KNOWIFY TIME'!D14),'KNOWIFY TIME'!D14*24,IFERROR(VALUE(LEFT('KNOWIFY TIME'!D14,FIND(":",'KNOWIFY TIME'!D14)-1))+VALUE(MID('KNOWIFY TIME'!D14,FIND(":",'KNOWIFY TIME'!D14)+1,2))/60,0)))</f>
        <v>23.75</v>
      </c>
      <c r="AV14" s="7" t="n">
        <f aca="false">N('KNOWIFY TIME'!E14)</f>
        <v>654.87</v>
      </c>
      <c r="AW14" s="7" t="str">
        <f aca="false">IF(AT14="","",IFERROR(INDEX($BD$5:$BD$60,MATCH(AT14,$BC$5:$BC$60,0)),"Unmapped"))</f>
        <v>Apprentice Lvl 1-2</v>
      </c>
      <c r="AZ14" s="10" t="s">
        <v>143</v>
      </c>
      <c r="BA14" s="10" t="s">
        <v>150</v>
      </c>
      <c r="BC14" s="10" t="s">
        <v>879</v>
      </c>
      <c r="BD14" s="10" t="s">
        <v>188</v>
      </c>
    </row>
    <row r="15" customFormat="false" ht="15" hidden="false" customHeight="false" outlineLevel="0" collapsed="false">
      <c r="B15" s="24" t="s">
        <v>880</v>
      </c>
      <c r="C15" s="28" t="n">
        <f aca="false">C14*'LABOUR RATES'!$C$12</f>
        <v>717660.166666667</v>
      </c>
      <c r="D15" s="19"/>
      <c r="E15" s="24" t="s">
        <v>881</v>
      </c>
      <c r="F15" s="28" t="n">
        <f aca="false">SUM('KNOWIFY REVIEW'!$AP$4:$AP$400)</f>
        <v>4221476.17</v>
      </c>
      <c r="G15" s="19" t="n">
        <f aca="false">IFERROR(F15/$C$12,0)</f>
        <v>0.462556418518786</v>
      </c>
      <c r="AA15" s="7" t="str">
        <f aca="false">IF('KNOWIFY PHASES'!A15="","",'KNOWIFY PHASES'!A15)</f>
        <v>P - BLDG A - Material Supply</v>
      </c>
      <c r="AB15" s="7" t="str">
        <f aca="false">IF(AA15="","",IF(LEFT(AA15,4)="P - ","P",IF(LEFT(AA15,4)="H - ","H",IF(LEFT(AA15,5)="AC - ","AC",IF(OR(LEFT(AA15,4)="V - ",LEFT(AA15,7)="HVAC - "),"V","Other")))))</f>
        <v>P</v>
      </c>
      <c r="AC15" s="7" t="str">
        <f aca="false">IF(AA15="","",IFERROR(LOOKUP(2,1/(($AZ$5:$AZ$60&lt;&gt;"")*ISNUMBER(SEARCH($AZ$5:$AZ$60,AA15))),$BA$5:$BA$60),IF(AB15="Other","Excluded","Unmapped")))</f>
        <v>05 Material Supply</v>
      </c>
      <c r="AD15" s="7" t="n">
        <f aca="false">IF(AA15="","",IF(AND(AB15&lt;&gt;"Other",OR(AND('KNOWIFY PHASES'!B15="Closed",N('KNOWIFY PHASES'!D15)&gt;=0.5),N('KNOWIFY PHASES'!D15)&gt;=1)),1,0))</f>
        <v>1</v>
      </c>
      <c r="AE15" s="7" t="n">
        <f aca="false">N('KNOWIFY PHASES'!L15)</f>
        <v>0</v>
      </c>
      <c r="AF15" s="7" t="n">
        <f aca="false">N('KNOWIFY PHASES'!K15)</f>
        <v>0</v>
      </c>
      <c r="AG15" s="7" t="n">
        <f aca="false">N('KNOWIFY PHASES'!I15)</f>
        <v>200000</v>
      </c>
      <c r="AH15" s="7" t="n">
        <f aca="false">N('KNOWIFY PHASES'!H15)</f>
        <v>263945.54</v>
      </c>
      <c r="AI15" s="7" t="n">
        <f aca="false">N('KNOWIFY PHASES'!O15)</f>
        <v>0</v>
      </c>
      <c r="AJ15" s="7" t="n">
        <f aca="false">N('KNOWIFY PHASES'!N15)</f>
        <v>0</v>
      </c>
      <c r="AK15" s="7" t="n">
        <f aca="false">N('KNOWIFY PHASES'!R15)</f>
        <v>0</v>
      </c>
      <c r="AL15" s="7" t="n">
        <f aca="false">N('KNOWIFY PHASES'!Q15)</f>
        <v>38.39</v>
      </c>
      <c r="AM15" s="7" t="n">
        <f aca="false">N('KNOWIFY PHASES'!F15)</f>
        <v>200000</v>
      </c>
      <c r="AN15" s="7" t="n">
        <f aca="false">N('KNOWIFY PHASES'!E15)</f>
        <v>263983.93</v>
      </c>
      <c r="AO15" s="7" t="n">
        <f aca="false">MAX(AE15,AF15)</f>
        <v>0</v>
      </c>
      <c r="AP15" s="7" t="n">
        <f aca="false">MAX(AG15,AH15)</f>
        <v>263945.54</v>
      </c>
      <c r="AQ15" s="7" t="n">
        <f aca="false">MAX(AI15,AJ15)</f>
        <v>0</v>
      </c>
      <c r="AR15" s="7" t="n">
        <f aca="false">MAX(AK15,AL15)</f>
        <v>38.39</v>
      </c>
      <c r="AT15" s="7" t="str">
        <f aca="false">IF('KNOWIFY TIME'!B15="","",'KNOWIFY TIME'!B15)</f>
        <v>Apprentice Lvl 2</v>
      </c>
      <c r="AU15" s="7" t="n">
        <f aca="false">IF(AT15="",0,IF(ISNUMBER('KNOWIFY TIME'!D15),'KNOWIFY TIME'!D15*24,IFERROR(VALUE(LEFT('KNOWIFY TIME'!D15,FIND(":",'KNOWIFY TIME'!D15)-1))+VALUE(MID('KNOWIFY TIME'!D15,FIND(":",'KNOWIFY TIME'!D15)+1,2))/60,0)))</f>
        <v>1276</v>
      </c>
      <c r="AV15" s="7" t="n">
        <f aca="false">N('KNOWIFY TIME'!E15)</f>
        <v>48723.69</v>
      </c>
      <c r="AW15" s="7" t="str">
        <f aca="false">IF(AT15="","",IFERROR(INDEX($BD$5:$BD$60,MATCH(AT15,$BC$5:$BC$60,0)),"Unmapped"))</f>
        <v>Apprentice Lvl 1-2</v>
      </c>
      <c r="AZ15" s="10" t="s">
        <v>882</v>
      </c>
      <c r="BA15" s="10" t="s">
        <v>150</v>
      </c>
      <c r="BC15" s="10" t="s">
        <v>883</v>
      </c>
      <c r="BD15" s="10" t="s">
        <v>188</v>
      </c>
    </row>
    <row r="16" customFormat="false" ht="15" hidden="false" customHeight="false" outlineLevel="0" collapsed="false">
      <c r="B16" s="79" t="s">
        <v>884</v>
      </c>
      <c r="C16" s="28"/>
      <c r="D16" s="80" t="n">
        <f aca="false">IFERROR(1-(C12+C15)/$C$5,0)</f>
        <v>-0.0187230144884623</v>
      </c>
      <c r="E16" s="24" t="s">
        <v>167</v>
      </c>
      <c r="F16" s="28" t="n">
        <f aca="false">SUM('KNOWIFY REVIEW'!$AQ$4:$AQ$400)</f>
        <v>2220434.25</v>
      </c>
      <c r="G16" s="19" t="n">
        <f aca="false">IFERROR(F16/$C$12,0)</f>
        <v>0.243297859060625</v>
      </c>
      <c r="AA16" s="7" t="str">
        <f aca="false">IF('KNOWIFY PHASES'!A16="","",'KNOWIFY PHASES'!A16)</f>
        <v>P - BLDG A - Plumbing Fixtures &amp; Access Panels Supply</v>
      </c>
      <c r="AB16" s="7" t="str">
        <f aca="false">IF(AA16="","",IF(LEFT(AA16,4)="P - ","P",IF(LEFT(AA16,4)="H - ","H",IF(LEFT(AA16,5)="AC - ","AC",IF(OR(LEFT(AA16,4)="V - ",LEFT(AA16,7)="HVAC - "),"V","Other")))))</f>
        <v>P</v>
      </c>
      <c r="AC16" s="7" t="str">
        <f aca="false">IF(AA16="","",IFERROR(LOOKUP(2,1/(($AZ$5:$AZ$60&lt;&gt;"")*ISNUMBER(SEARCH($AZ$5:$AZ$60,AA16))),$BA$5:$BA$60),IF(AB16="Other","Excluded","Unmapped")))</f>
        <v>06 Fixtures &amp; Equipment Supply</v>
      </c>
      <c r="AD16" s="7" t="n">
        <f aca="false">IF(AA16="","",IF(AND(AB16&lt;&gt;"Other",OR(AND('KNOWIFY PHASES'!B16="Closed",N('KNOWIFY PHASES'!D16)&gt;=0.5),N('KNOWIFY PHASES'!D16)&gt;=1)),1,0))</f>
        <v>0</v>
      </c>
      <c r="AE16" s="7" t="n">
        <f aca="false">N('KNOWIFY PHASES'!L16)</f>
        <v>0</v>
      </c>
      <c r="AF16" s="7" t="n">
        <f aca="false">N('KNOWIFY PHASES'!K16)</f>
        <v>0</v>
      </c>
      <c r="AG16" s="7" t="n">
        <f aca="false">N('KNOWIFY PHASES'!I16)</f>
        <v>340000</v>
      </c>
      <c r="AH16" s="7" t="n">
        <f aca="false">N('KNOWIFY PHASES'!H16)</f>
        <v>236533.26</v>
      </c>
      <c r="AI16" s="7" t="n">
        <f aca="false">N('KNOWIFY PHASES'!O16)</f>
        <v>0</v>
      </c>
      <c r="AJ16" s="7" t="n">
        <f aca="false">N('KNOWIFY PHASES'!N16)</f>
        <v>0</v>
      </c>
      <c r="AK16" s="7" t="n">
        <f aca="false">N('KNOWIFY PHASES'!R16)</f>
        <v>0</v>
      </c>
      <c r="AL16" s="7" t="n">
        <f aca="false">N('KNOWIFY PHASES'!Q16)</f>
        <v>0</v>
      </c>
      <c r="AM16" s="7" t="n">
        <f aca="false">N('KNOWIFY PHASES'!F16)</f>
        <v>340000</v>
      </c>
      <c r="AN16" s="7" t="n">
        <f aca="false">N('KNOWIFY PHASES'!E16)</f>
        <v>236533.26</v>
      </c>
      <c r="AO16" s="7" t="n">
        <f aca="false">MAX(AE16,AF16)</f>
        <v>0</v>
      </c>
      <c r="AP16" s="7" t="n">
        <f aca="false">MAX(AG16,AH16)</f>
        <v>340000</v>
      </c>
      <c r="AQ16" s="7" t="n">
        <f aca="false">MAX(AI16,AJ16)</f>
        <v>0</v>
      </c>
      <c r="AR16" s="7" t="n">
        <f aca="false">MAX(AK16,AL16)</f>
        <v>0</v>
      </c>
      <c r="AT16" s="7" t="str">
        <f aca="false">IF('KNOWIFY TIME'!B16="","",'KNOWIFY TIME'!B16)</f>
        <v>Apprentice Lvl 1</v>
      </c>
      <c r="AU16" s="7" t="n">
        <f aca="false">IF(AT16="",0,IF(ISNUMBER('KNOWIFY TIME'!D16),'KNOWIFY TIME'!D16*24,IFERROR(VALUE(LEFT('KNOWIFY TIME'!D16,FIND(":",'KNOWIFY TIME'!D16)-1))+VALUE(MID('KNOWIFY TIME'!D16,FIND(":",'KNOWIFY TIME'!D16)+1,2))/60,0)))</f>
        <v>8.25</v>
      </c>
      <c r="AV16" s="7" t="n">
        <f aca="false">N('KNOWIFY TIME'!E16)</f>
        <v>409.94</v>
      </c>
      <c r="AW16" s="7" t="str">
        <f aca="false">IF(AT16="","",IFERROR(INDEX($BD$5:$BD$60,MATCH(AT16,$BC$5:$BC$60,0)),"Unmapped"))</f>
        <v>Apprentice Lvl 1-2</v>
      </c>
      <c r="AZ16" s="10" t="s">
        <v>885</v>
      </c>
      <c r="BA16" s="10" t="s">
        <v>150</v>
      </c>
      <c r="BC16" s="10" t="s">
        <v>886</v>
      </c>
      <c r="BD16" s="10" t="s">
        <v>188</v>
      </c>
    </row>
    <row r="17" customFormat="false" ht="15" hidden="false" customHeight="false" outlineLevel="0" collapsed="false">
      <c r="B17" s="79" t="s">
        <v>887</v>
      </c>
      <c r="C17" s="28"/>
      <c r="D17" s="80" t="n">
        <f aca="false">IFERROR(1-(C13+C15)/$C$5,0)</f>
        <v>-0.0055082651926015</v>
      </c>
      <c r="E17" s="24" t="s">
        <v>888</v>
      </c>
      <c r="F17" s="28" t="n">
        <f aca="false">SUM('KNOWIFY REVIEW'!$AR$4:$AR$400)</f>
        <v>2182.13</v>
      </c>
      <c r="G17" s="19" t="n">
        <f aca="false">IFERROR(F17/$C$12,0)</f>
        <v>0.00023910077823379</v>
      </c>
      <c r="AA17" s="7" t="str">
        <f aca="false">IF('KNOWIFY PHASES'!A17="","",'KNOWIFY PHASES'!A17)</f>
        <v>P - BLDG A - L1 Plumbing Finishing (Labour)</v>
      </c>
      <c r="AB17" s="7" t="str">
        <f aca="false">IF(AA17="","",IF(LEFT(AA17,4)="P - ","P",IF(LEFT(AA17,4)="H - ","H",IF(LEFT(AA17,5)="AC - ","AC",IF(OR(LEFT(AA17,4)="V - ",LEFT(AA17,7)="HVAC - "),"V","Other")))))</f>
        <v>P</v>
      </c>
      <c r="AC17" s="7" t="str">
        <f aca="false">IF(AA17="","",IFERROR(LOOKUP(2,1/(($AZ$5:$AZ$60&lt;&gt;"")*ISNUMBER(SEARCH($AZ$5:$AZ$60,AA17))),$BA$5:$BA$60),IF(AB17="Other","Excluded","Unmapped")))</f>
        <v>04 Finishing (Labour)</v>
      </c>
      <c r="AD17" s="7" t="n">
        <f aca="false">IF(AA17="","",IF(AND(AB17&lt;&gt;"Other",OR(AND('KNOWIFY PHASES'!B17="Closed",N('KNOWIFY PHASES'!D17)&gt;=0.5),N('KNOWIFY PHASES'!D17)&gt;=1)),1,0))</f>
        <v>0</v>
      </c>
      <c r="AE17" s="7" t="n">
        <f aca="false">N('KNOWIFY PHASES'!L17)</f>
        <v>30000</v>
      </c>
      <c r="AF17" s="7" t="n">
        <f aca="false">N('KNOWIFY PHASES'!K17)</f>
        <v>536.04</v>
      </c>
      <c r="AG17" s="7" t="n">
        <f aca="false">N('KNOWIFY PHASES'!I17)</f>
        <v>0</v>
      </c>
      <c r="AH17" s="7" t="n">
        <f aca="false">N('KNOWIFY PHASES'!H17)</f>
        <v>0</v>
      </c>
      <c r="AI17" s="7" t="n">
        <f aca="false">N('KNOWIFY PHASES'!O17)</f>
        <v>0</v>
      </c>
      <c r="AJ17" s="7" t="n">
        <f aca="false">N('KNOWIFY PHASES'!N17)</f>
        <v>0</v>
      </c>
      <c r="AK17" s="7" t="n">
        <f aca="false">N('KNOWIFY PHASES'!R17)</f>
        <v>0</v>
      </c>
      <c r="AL17" s="7" t="n">
        <f aca="false">N('KNOWIFY PHASES'!Q17)</f>
        <v>0</v>
      </c>
      <c r="AM17" s="7" t="n">
        <f aca="false">N('KNOWIFY PHASES'!F17)</f>
        <v>30000</v>
      </c>
      <c r="AN17" s="7" t="n">
        <f aca="false">N('KNOWIFY PHASES'!E17)</f>
        <v>536.04</v>
      </c>
      <c r="AO17" s="7" t="n">
        <f aca="false">MAX(AE17,AF17)</f>
        <v>30000</v>
      </c>
      <c r="AP17" s="7" t="n">
        <f aca="false">MAX(AG17,AH17)</f>
        <v>0</v>
      </c>
      <c r="AQ17" s="7" t="n">
        <f aca="false">MAX(AI17,AJ17)</f>
        <v>0</v>
      </c>
      <c r="AR17" s="7" t="n">
        <f aca="false">MAX(AK17,AL17)</f>
        <v>0</v>
      </c>
      <c r="AT17" s="7" t="str">
        <f aca="false">IF('KNOWIFY TIME'!B17="","",'KNOWIFY TIME'!B17)</f>
        <v>Apprentice Lvl 4</v>
      </c>
      <c r="AU17" s="7" t="n">
        <f aca="false">IF(AT17="",0,IF(ISNUMBER('KNOWIFY TIME'!D17),'KNOWIFY TIME'!D17*24,IFERROR(VALUE(LEFT('KNOWIFY TIME'!D17,FIND(":",'KNOWIFY TIME'!D17)-1))+VALUE(MID('KNOWIFY TIME'!D17,FIND(":",'KNOWIFY TIME'!D17)+1,2))/60,0)))</f>
        <v>774.5</v>
      </c>
      <c r="AV17" s="7" t="n">
        <f aca="false">N('KNOWIFY TIME'!E17)</f>
        <v>29422.34</v>
      </c>
      <c r="AW17" s="7" t="str">
        <f aca="false">IF(AT17="","",IFERROR(INDEX($BD$5:$BD$60,MATCH(AT17,$BC$5:$BC$60,0)),"Unmapped"))</f>
        <v>Apprentice Lvl 3-6</v>
      </c>
      <c r="AZ17" s="10" t="s">
        <v>889</v>
      </c>
      <c r="BA17" s="10" t="s">
        <v>151</v>
      </c>
      <c r="BC17" s="10" t="s">
        <v>890</v>
      </c>
      <c r="BD17" s="10" t="s">
        <v>190</v>
      </c>
    </row>
    <row r="18" customFormat="false" ht="15" hidden="false" customHeight="false" outlineLevel="0" collapsed="false">
      <c r="B18" s="2" t="s">
        <v>891</v>
      </c>
      <c r="AA18" s="7" t="str">
        <f aca="false">IF('KNOWIFY PHASES'!A18="","",'KNOWIFY PHASES'!A18)</f>
        <v>P - BLDG A - L2 Plumbing Finishing (Labour)</v>
      </c>
      <c r="AB18" s="7" t="str">
        <f aca="false">IF(AA18="","",IF(LEFT(AA18,4)="P - ","P",IF(LEFT(AA18,4)="H - ","H",IF(LEFT(AA18,5)="AC - ","AC",IF(OR(LEFT(AA18,4)="V - ",LEFT(AA18,7)="HVAC - "),"V","Other")))))</f>
        <v>P</v>
      </c>
      <c r="AC18" s="7" t="str">
        <f aca="false">IF(AA18="","",IFERROR(LOOKUP(2,1/(($AZ$5:$AZ$60&lt;&gt;"")*ISNUMBER(SEARCH($AZ$5:$AZ$60,AA18))),$BA$5:$BA$60),IF(AB18="Other","Excluded","Unmapped")))</f>
        <v>04 Finishing (Labour)</v>
      </c>
      <c r="AD18" s="7" t="n">
        <f aca="false">IF(AA18="","",IF(AND(AB18&lt;&gt;"Other",OR(AND('KNOWIFY PHASES'!B18="Closed",N('KNOWIFY PHASES'!D18)&gt;=0.5),N('KNOWIFY PHASES'!D18)&gt;=1)),1,0))</f>
        <v>0</v>
      </c>
      <c r="AE18" s="7" t="n">
        <f aca="false">N('KNOWIFY PHASES'!L18)</f>
        <v>30000</v>
      </c>
      <c r="AF18" s="7" t="n">
        <f aca="false">N('KNOWIFY PHASES'!K18)</f>
        <v>1271.84</v>
      </c>
      <c r="AG18" s="7" t="n">
        <f aca="false">N('KNOWIFY PHASES'!I18)</f>
        <v>0</v>
      </c>
      <c r="AH18" s="7" t="n">
        <f aca="false">N('KNOWIFY PHASES'!H18)</f>
        <v>0</v>
      </c>
      <c r="AI18" s="7" t="n">
        <f aca="false">N('KNOWIFY PHASES'!O18)</f>
        <v>0</v>
      </c>
      <c r="AJ18" s="7" t="n">
        <f aca="false">N('KNOWIFY PHASES'!N18)</f>
        <v>0</v>
      </c>
      <c r="AK18" s="7" t="n">
        <f aca="false">N('KNOWIFY PHASES'!R18)</f>
        <v>0</v>
      </c>
      <c r="AL18" s="7" t="n">
        <f aca="false">N('KNOWIFY PHASES'!Q18)</f>
        <v>0</v>
      </c>
      <c r="AM18" s="7" t="n">
        <f aca="false">N('KNOWIFY PHASES'!F18)</f>
        <v>30000</v>
      </c>
      <c r="AN18" s="7" t="n">
        <f aca="false">N('KNOWIFY PHASES'!E18)</f>
        <v>1271.84</v>
      </c>
      <c r="AO18" s="7" t="n">
        <f aca="false">MAX(AE18,AF18)</f>
        <v>30000</v>
      </c>
      <c r="AP18" s="7" t="n">
        <f aca="false">MAX(AG18,AH18)</f>
        <v>0</v>
      </c>
      <c r="AQ18" s="7" t="n">
        <f aca="false">MAX(AI18,AJ18)</f>
        <v>0</v>
      </c>
      <c r="AR18" s="7" t="n">
        <f aca="false">MAX(AK18,AL18)</f>
        <v>0</v>
      </c>
      <c r="AT18" s="7" t="str">
        <f aca="false">IF('KNOWIFY TIME'!B18="","",'KNOWIFY TIME'!B18)</f>
        <v>Journeyman Lvl 1</v>
      </c>
      <c r="AU18" s="7" t="n">
        <f aca="false">IF(AT18="",0,IF(ISNUMBER('KNOWIFY TIME'!D18),'KNOWIFY TIME'!D18*24,IFERROR(VALUE(LEFT('KNOWIFY TIME'!D18,FIND(":",'KNOWIFY TIME'!D18)-1))+VALUE(MID('KNOWIFY TIME'!D18,FIND(":",'KNOWIFY TIME'!D18)+1,2))/60,0)))</f>
        <v>8.25</v>
      </c>
      <c r="AV18" s="7" t="n">
        <f aca="false">N('KNOWIFY TIME'!E18)</f>
        <v>0</v>
      </c>
      <c r="AW18" s="7" t="str">
        <f aca="false">IF(AT18="","",IFERROR(INDEX($BD$5:$BD$60,MATCH(AT18,$BC$5:$BC$60,0)),"Unmapped"))</f>
        <v>Journeyman Lvl 1-2</v>
      </c>
      <c r="AZ18" s="10" t="s">
        <v>892</v>
      </c>
      <c r="BA18" s="10" t="s">
        <v>152</v>
      </c>
      <c r="BC18" s="10" t="s">
        <v>893</v>
      </c>
      <c r="BD18" s="10" t="s">
        <v>190</v>
      </c>
    </row>
    <row r="19" customFormat="false" ht="15" hidden="false" customHeight="false" outlineLevel="0" collapsed="false">
      <c r="AA19" s="7" t="str">
        <f aca="false">IF('KNOWIFY PHASES'!A19="","",'KNOWIFY PHASES'!A19)</f>
        <v>P - BLDG A - L3 Plumbing Finishing (Labour)</v>
      </c>
      <c r="AB19" s="7" t="str">
        <f aca="false">IF(AA19="","",IF(LEFT(AA19,4)="P - ","P",IF(LEFT(AA19,4)="H - ","H",IF(LEFT(AA19,5)="AC - ","AC",IF(OR(LEFT(AA19,4)="V - ",LEFT(AA19,7)="HVAC - "),"V","Other")))))</f>
        <v>P</v>
      </c>
      <c r="AC19" s="7" t="str">
        <f aca="false">IF(AA19="","",IFERROR(LOOKUP(2,1/(($AZ$5:$AZ$60&lt;&gt;"")*ISNUMBER(SEARCH($AZ$5:$AZ$60,AA19))),$BA$5:$BA$60),IF(AB19="Other","Excluded","Unmapped")))</f>
        <v>04 Finishing (Labour)</v>
      </c>
      <c r="AD19" s="7" t="n">
        <f aca="false">IF(AA19="","",IF(AND(AB19&lt;&gt;"Other",OR(AND('KNOWIFY PHASES'!B19="Closed",N('KNOWIFY PHASES'!D19)&gt;=0.5),N('KNOWIFY PHASES'!D19)&gt;=1)),1,0))</f>
        <v>0</v>
      </c>
      <c r="AE19" s="7" t="n">
        <f aca="false">N('KNOWIFY PHASES'!L19)</f>
        <v>30000</v>
      </c>
      <c r="AF19" s="7" t="n">
        <f aca="false">N('KNOWIFY PHASES'!K19)</f>
        <v>0</v>
      </c>
      <c r="AG19" s="7" t="n">
        <f aca="false">N('KNOWIFY PHASES'!I19)</f>
        <v>0</v>
      </c>
      <c r="AH19" s="7" t="n">
        <f aca="false">N('KNOWIFY PHASES'!H19)</f>
        <v>0</v>
      </c>
      <c r="AI19" s="7" t="n">
        <f aca="false">N('KNOWIFY PHASES'!O19)</f>
        <v>0</v>
      </c>
      <c r="AJ19" s="7" t="n">
        <f aca="false">N('KNOWIFY PHASES'!N19)</f>
        <v>0</v>
      </c>
      <c r="AK19" s="7" t="n">
        <f aca="false">N('KNOWIFY PHASES'!R19)</f>
        <v>0</v>
      </c>
      <c r="AL19" s="7" t="n">
        <f aca="false">N('KNOWIFY PHASES'!Q19)</f>
        <v>0</v>
      </c>
      <c r="AM19" s="7" t="n">
        <f aca="false">N('KNOWIFY PHASES'!F19)</f>
        <v>30000</v>
      </c>
      <c r="AN19" s="7" t="n">
        <f aca="false">N('KNOWIFY PHASES'!E19)</f>
        <v>0</v>
      </c>
      <c r="AO19" s="7" t="n">
        <f aca="false">MAX(AE19,AF19)</f>
        <v>30000</v>
      </c>
      <c r="AP19" s="7" t="n">
        <f aca="false">MAX(AG19,AH19)</f>
        <v>0</v>
      </c>
      <c r="AQ19" s="7" t="n">
        <f aca="false">MAX(AI19,AJ19)</f>
        <v>0</v>
      </c>
      <c r="AR19" s="7" t="n">
        <f aca="false">MAX(AK19,AL19)</f>
        <v>0</v>
      </c>
      <c r="AT19" s="7" t="str">
        <f aca="false">IF('KNOWIFY TIME'!B19="","",'KNOWIFY TIME'!B19)</f>
        <v>Foreman Lvl 1</v>
      </c>
      <c r="AU19" s="7" t="n">
        <f aca="false">IF(AT19="",0,IF(ISNUMBER('KNOWIFY TIME'!D19),'KNOWIFY TIME'!D19*24,IFERROR(VALUE(LEFT('KNOWIFY TIME'!D19,FIND(":",'KNOWIFY TIME'!D19)-1))+VALUE(MID('KNOWIFY TIME'!D19,FIND(":",'KNOWIFY TIME'!D19)+1,2))/60,0)))</f>
        <v>68.75</v>
      </c>
      <c r="AV19" s="7" t="n">
        <f aca="false">N('KNOWIFY TIME'!E19)</f>
        <v>4934.73</v>
      </c>
      <c r="AW19" s="7" t="str">
        <f aca="false">IF(AT19="","",IFERROR(INDEX($BD$5:$BD$60,MATCH(AT19,$BC$5:$BC$60,0)),"Unmapped"))</f>
        <v>Foreman &amp; PM</v>
      </c>
      <c r="AZ19" s="10" t="s">
        <v>894</v>
      </c>
      <c r="BA19" s="10" t="s">
        <v>153</v>
      </c>
      <c r="BC19" s="10" t="s">
        <v>895</v>
      </c>
      <c r="BD19" s="10" t="s">
        <v>190</v>
      </c>
    </row>
    <row r="20" customFormat="false" ht="15" hidden="false" customHeight="false" outlineLevel="0" collapsed="false">
      <c r="B20" s="24" t="s">
        <v>896</v>
      </c>
      <c r="C20" s="51" t="str">
        <f aca="false">IF(COUNTIF('KNOWIFY REVIEW'!$AC$4:$AC$400,"Unmapped")=0,"OK","CHECK")</f>
        <v>OK</v>
      </c>
      <c r="AA20" s="7" t="str">
        <f aca="false">IF('KNOWIFY PHASES'!A20="","",'KNOWIFY PHASES'!A20)</f>
        <v>P - BLDG A - L4 Plumbing Finishing (Labour)</v>
      </c>
      <c r="AB20" s="7" t="str">
        <f aca="false">IF(AA20="","",IF(LEFT(AA20,4)="P - ","P",IF(LEFT(AA20,4)="H - ","H",IF(LEFT(AA20,5)="AC - ","AC",IF(OR(LEFT(AA20,4)="V - ",LEFT(AA20,7)="HVAC - "),"V","Other")))))</f>
        <v>P</v>
      </c>
      <c r="AC20" s="7" t="str">
        <f aca="false">IF(AA20="","",IFERROR(LOOKUP(2,1/(($AZ$5:$AZ$60&lt;&gt;"")*ISNUMBER(SEARCH($AZ$5:$AZ$60,AA20))),$BA$5:$BA$60),IF(AB20="Other","Excluded","Unmapped")))</f>
        <v>04 Finishing (Labour)</v>
      </c>
      <c r="AD20" s="7" t="n">
        <f aca="false">IF(AA20="","",IF(AND(AB20&lt;&gt;"Other",OR(AND('KNOWIFY PHASES'!B20="Closed",N('KNOWIFY PHASES'!D20)&gt;=0.5),N('KNOWIFY PHASES'!D20)&gt;=1)),1,0))</f>
        <v>0</v>
      </c>
      <c r="AE20" s="7" t="n">
        <f aca="false">N('KNOWIFY PHASES'!L20)</f>
        <v>30000</v>
      </c>
      <c r="AF20" s="7" t="n">
        <f aca="false">N('KNOWIFY PHASES'!K20)</f>
        <v>15076.26</v>
      </c>
      <c r="AG20" s="7" t="n">
        <f aca="false">N('KNOWIFY PHASES'!I20)</f>
        <v>0</v>
      </c>
      <c r="AH20" s="7" t="n">
        <f aca="false">N('KNOWIFY PHASES'!H20)</f>
        <v>0</v>
      </c>
      <c r="AI20" s="7" t="n">
        <f aca="false">N('KNOWIFY PHASES'!O20)</f>
        <v>0</v>
      </c>
      <c r="AJ20" s="7" t="n">
        <f aca="false">N('KNOWIFY PHASES'!N20)</f>
        <v>0</v>
      </c>
      <c r="AK20" s="7" t="n">
        <f aca="false">N('KNOWIFY PHASES'!R20)</f>
        <v>0</v>
      </c>
      <c r="AL20" s="7" t="n">
        <f aca="false">N('KNOWIFY PHASES'!Q20)</f>
        <v>0</v>
      </c>
      <c r="AM20" s="7" t="n">
        <f aca="false">N('KNOWIFY PHASES'!F20)</f>
        <v>30000</v>
      </c>
      <c r="AN20" s="7" t="n">
        <f aca="false">N('KNOWIFY PHASES'!E20)</f>
        <v>15076.26</v>
      </c>
      <c r="AO20" s="7" t="n">
        <f aca="false">MAX(AE20,AF20)</f>
        <v>30000</v>
      </c>
      <c r="AP20" s="7" t="n">
        <f aca="false">MAX(AG20,AH20)</f>
        <v>0</v>
      </c>
      <c r="AQ20" s="7" t="n">
        <f aca="false">MAX(AI20,AJ20)</f>
        <v>0</v>
      </c>
      <c r="AR20" s="7" t="n">
        <f aca="false">MAX(AK20,AL20)</f>
        <v>0</v>
      </c>
      <c r="AT20" s="7" t="str">
        <f aca="false">IF('KNOWIFY TIME'!B20="","",'KNOWIFY TIME'!B20)</f>
        <v>Apprentice Lvl 1</v>
      </c>
      <c r="AU20" s="7" t="n">
        <f aca="false">IF(AT20="",0,IF(ISNUMBER('KNOWIFY TIME'!D20),'KNOWIFY TIME'!D20*24,IFERROR(VALUE(LEFT('KNOWIFY TIME'!D20,FIND(":",'KNOWIFY TIME'!D20)-1))+VALUE(MID('KNOWIFY TIME'!D20,FIND(":",'KNOWIFY TIME'!D20)+1,2))/60,0)))</f>
        <v>127.5</v>
      </c>
      <c r="AV20" s="7" t="n">
        <f aca="false">N('KNOWIFY TIME'!E20)</f>
        <v>6350.74</v>
      </c>
      <c r="AW20" s="7" t="str">
        <f aca="false">IF(AT20="","",IFERROR(INDEX($BD$5:$BD$60,MATCH(AT20,$BC$5:$BC$60,0)),"Unmapped"))</f>
        <v>Apprentice Lvl 1-2</v>
      </c>
      <c r="AZ20" s="10" t="s">
        <v>897</v>
      </c>
      <c r="BA20" s="10" t="s">
        <v>153</v>
      </c>
      <c r="BC20" s="10" t="s">
        <v>898</v>
      </c>
      <c r="BD20" s="10" t="s">
        <v>190</v>
      </c>
    </row>
    <row r="21" customFormat="false" ht="15" hidden="false" customHeight="false" outlineLevel="0" collapsed="false">
      <c r="B21" s="24" t="s">
        <v>899</v>
      </c>
      <c r="C21" s="51" t="str">
        <f aca="false">IF(COUNTIF('KNOWIFY REVIEW'!$AW$3:$AW$300,"Unmapped")=0,"OK","CHECK")</f>
        <v>OK</v>
      </c>
      <c r="AA21" s="7" t="str">
        <f aca="false">IF('KNOWIFY PHASES'!A21="","",'KNOWIFY PHASES'!A21)</f>
        <v>P - BLDG A - L5 Plumbing Finishing (Labour)</v>
      </c>
      <c r="AB21" s="7" t="str">
        <f aca="false">IF(AA21="","",IF(LEFT(AA21,4)="P - ","P",IF(LEFT(AA21,4)="H - ","H",IF(LEFT(AA21,5)="AC - ","AC",IF(OR(LEFT(AA21,4)="V - ",LEFT(AA21,7)="HVAC - "),"V","Other")))))</f>
        <v>P</v>
      </c>
      <c r="AC21" s="7" t="str">
        <f aca="false">IF(AA21="","",IFERROR(LOOKUP(2,1/(($AZ$5:$AZ$60&lt;&gt;"")*ISNUMBER(SEARCH($AZ$5:$AZ$60,AA21))),$BA$5:$BA$60),IF(AB21="Other","Excluded","Unmapped")))</f>
        <v>04 Finishing (Labour)</v>
      </c>
      <c r="AD21" s="7" t="n">
        <f aca="false">IF(AA21="","",IF(AND(AB21&lt;&gt;"Other",OR(AND('KNOWIFY PHASES'!B21="Closed",N('KNOWIFY PHASES'!D21)&gt;=0.5),N('KNOWIFY PHASES'!D21)&gt;=1)),1,0))</f>
        <v>0</v>
      </c>
      <c r="AE21" s="7" t="n">
        <f aca="false">N('KNOWIFY PHASES'!L21)</f>
        <v>30000</v>
      </c>
      <c r="AF21" s="7" t="n">
        <f aca="false">N('KNOWIFY PHASES'!K21)</f>
        <v>14799.4</v>
      </c>
      <c r="AG21" s="7" t="n">
        <f aca="false">N('KNOWIFY PHASES'!I21)</f>
        <v>0</v>
      </c>
      <c r="AH21" s="7" t="n">
        <f aca="false">N('KNOWIFY PHASES'!H21)</f>
        <v>0</v>
      </c>
      <c r="AI21" s="7" t="n">
        <f aca="false">N('KNOWIFY PHASES'!O21)</f>
        <v>0</v>
      </c>
      <c r="AJ21" s="7" t="n">
        <f aca="false">N('KNOWIFY PHASES'!N21)</f>
        <v>0</v>
      </c>
      <c r="AK21" s="7" t="n">
        <f aca="false">N('KNOWIFY PHASES'!R21)</f>
        <v>0</v>
      </c>
      <c r="AL21" s="7" t="n">
        <f aca="false">N('KNOWIFY PHASES'!Q21)</f>
        <v>0</v>
      </c>
      <c r="AM21" s="7" t="n">
        <f aca="false">N('KNOWIFY PHASES'!F21)</f>
        <v>30000</v>
      </c>
      <c r="AN21" s="7" t="n">
        <f aca="false">N('KNOWIFY PHASES'!E21)</f>
        <v>14799.4</v>
      </c>
      <c r="AO21" s="7" t="n">
        <f aca="false">MAX(AE21,AF21)</f>
        <v>30000</v>
      </c>
      <c r="AP21" s="7" t="n">
        <f aca="false">MAX(AG21,AH21)</f>
        <v>0</v>
      </c>
      <c r="AQ21" s="7" t="n">
        <f aca="false">MAX(AI21,AJ21)</f>
        <v>0</v>
      </c>
      <c r="AR21" s="7" t="n">
        <f aca="false">MAX(AK21,AL21)</f>
        <v>0</v>
      </c>
      <c r="AT21" s="7" t="str">
        <f aca="false">IF('KNOWIFY TIME'!B21="","",'KNOWIFY TIME'!B21)</f>
        <v>Journeyman Lvl 1</v>
      </c>
      <c r="AU21" s="7" t="n">
        <f aca="false">IF(AT21="",0,IF(ISNUMBER('KNOWIFY TIME'!D21),'KNOWIFY TIME'!D21*24,IFERROR(VALUE(LEFT('KNOWIFY TIME'!D21,FIND(":",'KNOWIFY TIME'!D21)-1))+VALUE(MID('KNOWIFY TIME'!D21,FIND(":",'KNOWIFY TIME'!D21)+1,2))/60,0)))</f>
        <v>130.666666666667</v>
      </c>
      <c r="AV21" s="7" t="n">
        <f aca="false">N('KNOWIFY TIME'!E21)</f>
        <v>5613.44</v>
      </c>
      <c r="AW21" s="7" t="str">
        <f aca="false">IF(AT21="","",IFERROR(INDEX($BD$5:$BD$60,MATCH(AT21,$BC$5:$BC$60,0)),"Unmapped"))</f>
        <v>Journeyman Lvl 1-2</v>
      </c>
      <c r="AZ21" s="10" t="s">
        <v>900</v>
      </c>
      <c r="BA21" s="10" t="s">
        <v>153</v>
      </c>
      <c r="BC21" s="10" t="s">
        <v>901</v>
      </c>
      <c r="BD21" s="10" t="s">
        <v>190</v>
      </c>
    </row>
    <row r="22" customFormat="false" ht="15" hidden="false" customHeight="false" outlineLevel="0" collapsed="false">
      <c r="AA22" s="7" t="str">
        <f aca="false">IF('KNOWIFY PHASES'!A22="","",'KNOWIFY PHASES'!A22)</f>
        <v>P - BLDG A - L6 Plumbing Finishing (Labour)</v>
      </c>
      <c r="AB22" s="7" t="str">
        <f aca="false">IF(AA22="","",IF(LEFT(AA22,4)="P - ","P",IF(LEFT(AA22,4)="H - ","H",IF(LEFT(AA22,5)="AC - ","AC",IF(OR(LEFT(AA22,4)="V - ",LEFT(AA22,7)="HVAC - "),"V","Other")))))</f>
        <v>P</v>
      </c>
      <c r="AC22" s="7" t="str">
        <f aca="false">IF(AA22="","",IFERROR(LOOKUP(2,1/(($AZ$5:$AZ$60&lt;&gt;"")*ISNUMBER(SEARCH($AZ$5:$AZ$60,AA22))),$BA$5:$BA$60),IF(AB22="Other","Excluded","Unmapped")))</f>
        <v>04 Finishing (Labour)</v>
      </c>
      <c r="AD22" s="7" t="n">
        <f aca="false">IF(AA22="","",IF(AND(AB22&lt;&gt;"Other",OR(AND('KNOWIFY PHASES'!B22="Closed",N('KNOWIFY PHASES'!D22)&gt;=0.5),N('KNOWIFY PHASES'!D22)&gt;=1)),1,0))</f>
        <v>0</v>
      </c>
      <c r="AE22" s="7" t="n">
        <f aca="false">N('KNOWIFY PHASES'!L22)</f>
        <v>30000</v>
      </c>
      <c r="AF22" s="7" t="n">
        <f aca="false">N('KNOWIFY PHASES'!K22)</f>
        <v>19468.79</v>
      </c>
      <c r="AG22" s="7" t="n">
        <f aca="false">N('KNOWIFY PHASES'!I22)</f>
        <v>0</v>
      </c>
      <c r="AH22" s="7" t="n">
        <f aca="false">N('KNOWIFY PHASES'!H22)</f>
        <v>0</v>
      </c>
      <c r="AI22" s="7" t="n">
        <f aca="false">N('KNOWIFY PHASES'!O22)</f>
        <v>0</v>
      </c>
      <c r="AJ22" s="7" t="n">
        <f aca="false">N('KNOWIFY PHASES'!N22)</f>
        <v>0</v>
      </c>
      <c r="AK22" s="7" t="n">
        <f aca="false">N('KNOWIFY PHASES'!R22)</f>
        <v>0</v>
      </c>
      <c r="AL22" s="7" t="n">
        <f aca="false">N('KNOWIFY PHASES'!Q22)</f>
        <v>0</v>
      </c>
      <c r="AM22" s="7" t="n">
        <f aca="false">N('KNOWIFY PHASES'!F22)</f>
        <v>30000</v>
      </c>
      <c r="AN22" s="7" t="n">
        <f aca="false">N('KNOWIFY PHASES'!E22)</f>
        <v>19468.79</v>
      </c>
      <c r="AO22" s="7" t="n">
        <f aca="false">MAX(AE22,AF22)</f>
        <v>30000</v>
      </c>
      <c r="AP22" s="7" t="n">
        <f aca="false">MAX(AG22,AH22)</f>
        <v>0</v>
      </c>
      <c r="AQ22" s="7" t="n">
        <f aca="false">MAX(AI22,AJ22)</f>
        <v>0</v>
      </c>
      <c r="AR22" s="7" t="n">
        <f aca="false">MAX(AK22,AL22)</f>
        <v>0</v>
      </c>
      <c r="AT22" s="7" t="str">
        <f aca="false">IF('KNOWIFY TIME'!B22="","",'KNOWIFY TIME'!B22)</f>
        <v>Foreman Lvl 1</v>
      </c>
      <c r="AU22" s="7" t="n">
        <f aca="false">IF(AT22="",0,IF(ISNUMBER('KNOWIFY TIME'!D22),'KNOWIFY TIME'!D22*24,IFERROR(VALUE(LEFT('KNOWIFY TIME'!D22,FIND(":",'KNOWIFY TIME'!D22)-1))+VALUE(MID('KNOWIFY TIME'!D22,FIND(":",'KNOWIFY TIME'!D22)+1,2))/60,0)))</f>
        <v>7.25</v>
      </c>
      <c r="AV22" s="7" t="n">
        <f aca="false">N('KNOWIFY TIME'!E22)</f>
        <v>409.55</v>
      </c>
      <c r="AW22" s="7" t="str">
        <f aca="false">IF(AT22="","",IFERROR(INDEX($BD$5:$BD$60,MATCH(AT22,$BC$5:$BC$60,0)),"Unmapped"))</f>
        <v>Foreman &amp; PM</v>
      </c>
      <c r="AZ22" s="10" t="s">
        <v>902</v>
      </c>
      <c r="BA22" s="10" t="s">
        <v>153</v>
      </c>
      <c r="BC22" s="10" t="s">
        <v>903</v>
      </c>
      <c r="BD22" s="10" t="s">
        <v>190</v>
      </c>
    </row>
    <row r="23" customFormat="false" ht="15" hidden="false" customHeight="false" outlineLevel="0" collapsed="false">
      <c r="AA23" s="7" t="str">
        <f aca="false">IF('KNOWIFY PHASES'!A23="","",'KNOWIFY PHASES'!A23)</f>
        <v>P - BLDG B - L1 Plumbing Rough-in (Labour)</v>
      </c>
      <c r="AB23" s="7" t="str">
        <f aca="false">IF(AA23="","",IF(LEFT(AA23,4)="P - ","P",IF(LEFT(AA23,4)="H - ","H",IF(LEFT(AA23,5)="AC - ","AC",IF(OR(LEFT(AA23,4)="V - ",LEFT(AA23,7)="HVAC - "),"V","Other")))))</f>
        <v>P</v>
      </c>
      <c r="AC23" s="7" t="str">
        <f aca="false">IF(AA23="","",IFERROR(LOOKUP(2,1/(($AZ$5:$AZ$60&lt;&gt;"")*ISNUMBER(SEARCH($AZ$5:$AZ$60,AA23))),$BA$5:$BA$60),IF(AB23="Other","Excluded","Unmapped")))</f>
        <v>03 Rough-in (Labour)</v>
      </c>
      <c r="AD23" s="7" t="n">
        <f aca="false">IF(AA23="","",IF(AND(AB23&lt;&gt;"Other",OR(AND('KNOWIFY PHASES'!B23="Closed",N('KNOWIFY PHASES'!D23)&gt;=0.5),N('KNOWIFY PHASES'!D23)&gt;=1)),1,0))</f>
        <v>1</v>
      </c>
      <c r="AE23" s="7" t="n">
        <f aca="false">N('KNOWIFY PHASES'!L23)</f>
        <v>40000</v>
      </c>
      <c r="AF23" s="7" t="n">
        <f aca="false">N('KNOWIFY PHASES'!K23)</f>
        <v>72622.68</v>
      </c>
      <c r="AG23" s="7" t="n">
        <f aca="false">N('KNOWIFY PHASES'!I23)</f>
        <v>0</v>
      </c>
      <c r="AH23" s="7" t="n">
        <f aca="false">N('KNOWIFY PHASES'!H23)</f>
        <v>0</v>
      </c>
      <c r="AI23" s="7" t="n">
        <f aca="false">N('KNOWIFY PHASES'!O23)</f>
        <v>0</v>
      </c>
      <c r="AJ23" s="7" t="n">
        <f aca="false">N('KNOWIFY PHASES'!N23)</f>
        <v>0</v>
      </c>
      <c r="AK23" s="7" t="n">
        <f aca="false">N('KNOWIFY PHASES'!R23)</f>
        <v>0</v>
      </c>
      <c r="AL23" s="7" t="n">
        <f aca="false">N('KNOWIFY PHASES'!Q23)</f>
        <v>0</v>
      </c>
      <c r="AM23" s="7" t="n">
        <f aca="false">N('KNOWIFY PHASES'!F23)</f>
        <v>40000</v>
      </c>
      <c r="AN23" s="7" t="n">
        <f aca="false">N('KNOWIFY PHASES'!E23)</f>
        <v>72622.68</v>
      </c>
      <c r="AO23" s="7" t="n">
        <f aca="false">MAX(AE23,AF23)</f>
        <v>72622.68</v>
      </c>
      <c r="AP23" s="7" t="n">
        <f aca="false">MAX(AG23,AH23)</f>
        <v>0</v>
      </c>
      <c r="AQ23" s="7" t="n">
        <f aca="false">MAX(AI23,AJ23)</f>
        <v>0</v>
      </c>
      <c r="AR23" s="7" t="n">
        <f aca="false">MAX(AK23,AL23)</f>
        <v>0</v>
      </c>
      <c r="AT23" s="7" t="str">
        <f aca="false">IF('KNOWIFY TIME'!B23="","",'KNOWIFY TIME'!B23)</f>
        <v>Apprentice Lvl 1</v>
      </c>
      <c r="AU23" s="7" t="n">
        <f aca="false">IF(AT23="",0,IF(ISNUMBER('KNOWIFY TIME'!D23),'KNOWIFY TIME'!D23*24,IFERROR(VALUE(LEFT('KNOWIFY TIME'!D23,FIND(":",'KNOWIFY TIME'!D23)-1))+VALUE(MID('KNOWIFY TIME'!D23,FIND(":",'KNOWIFY TIME'!D23)+1,2))/60,0)))</f>
        <v>1321.08333333333</v>
      </c>
      <c r="AV23" s="7" t="n">
        <f aca="false">N('KNOWIFY TIME'!E23)</f>
        <v>62909.07</v>
      </c>
      <c r="AW23" s="7" t="str">
        <f aca="false">IF(AT23="","",IFERROR(INDEX($BD$5:$BD$60,MATCH(AT23,$BC$5:$BC$60,0)),"Unmapped"))</f>
        <v>Apprentice Lvl 1-2</v>
      </c>
      <c r="AZ23" s="10" t="s">
        <v>304</v>
      </c>
      <c r="BA23" s="10" t="s">
        <v>154</v>
      </c>
      <c r="BC23" s="10" t="s">
        <v>904</v>
      </c>
      <c r="BD23" s="10" t="s">
        <v>190</v>
      </c>
    </row>
    <row r="24" customFormat="false" ht="15" hidden="false" customHeight="false" outlineLevel="0" collapsed="false">
      <c r="B24" s="3" t="s">
        <v>905</v>
      </c>
      <c r="AA24" s="7" t="str">
        <f aca="false">IF('KNOWIFY PHASES'!A24="","",'KNOWIFY PHASES'!A24)</f>
        <v>P - BLDG B - L2 Plumbing Rough-in (Labour)</v>
      </c>
      <c r="AB24" s="7" t="str">
        <f aca="false">IF(AA24="","",IF(LEFT(AA24,4)="P - ","P",IF(LEFT(AA24,4)="H - ","H",IF(LEFT(AA24,5)="AC - ","AC",IF(OR(LEFT(AA24,4)="V - ",LEFT(AA24,7)="HVAC - "),"V","Other")))))</f>
        <v>P</v>
      </c>
      <c r="AC24" s="7" t="str">
        <f aca="false">IF(AA24="","",IFERROR(LOOKUP(2,1/(($AZ$5:$AZ$60&lt;&gt;"")*ISNUMBER(SEARCH($AZ$5:$AZ$60,AA24))),$BA$5:$BA$60),IF(AB24="Other","Excluded","Unmapped")))</f>
        <v>03 Rough-in (Labour)</v>
      </c>
      <c r="AD24" s="7" t="n">
        <f aca="false">IF(AA24="","",IF(AND(AB24&lt;&gt;"Other",OR(AND('KNOWIFY PHASES'!B24="Closed",N('KNOWIFY PHASES'!D24)&gt;=0.5),N('KNOWIFY PHASES'!D24)&gt;=1)),1,0))</f>
        <v>1</v>
      </c>
      <c r="AE24" s="7" t="n">
        <f aca="false">N('KNOWIFY PHASES'!L24)</f>
        <v>40000</v>
      </c>
      <c r="AF24" s="7" t="n">
        <f aca="false">N('KNOWIFY PHASES'!K24)</f>
        <v>52429.5</v>
      </c>
      <c r="AG24" s="7" t="n">
        <f aca="false">N('KNOWIFY PHASES'!I24)</f>
        <v>0</v>
      </c>
      <c r="AH24" s="7" t="n">
        <f aca="false">N('KNOWIFY PHASES'!H24)</f>
        <v>0</v>
      </c>
      <c r="AI24" s="7" t="n">
        <f aca="false">N('KNOWIFY PHASES'!O24)</f>
        <v>0</v>
      </c>
      <c r="AJ24" s="7" t="n">
        <f aca="false">N('KNOWIFY PHASES'!N24)</f>
        <v>0</v>
      </c>
      <c r="AK24" s="7" t="n">
        <f aca="false">N('KNOWIFY PHASES'!R24)</f>
        <v>0</v>
      </c>
      <c r="AL24" s="7" t="n">
        <f aca="false">N('KNOWIFY PHASES'!Q24)</f>
        <v>0</v>
      </c>
      <c r="AM24" s="7" t="n">
        <f aca="false">N('KNOWIFY PHASES'!F24)</f>
        <v>40000</v>
      </c>
      <c r="AN24" s="7" t="n">
        <f aca="false">N('KNOWIFY PHASES'!E24)</f>
        <v>52429.5</v>
      </c>
      <c r="AO24" s="7" t="n">
        <f aca="false">MAX(AE24,AF24)</f>
        <v>52429.5</v>
      </c>
      <c r="AP24" s="7" t="n">
        <f aca="false">MAX(AG24,AH24)</f>
        <v>0</v>
      </c>
      <c r="AQ24" s="7" t="n">
        <f aca="false">MAX(AI24,AJ24)</f>
        <v>0</v>
      </c>
      <c r="AR24" s="7" t="n">
        <f aca="false">MAX(AK24,AL24)</f>
        <v>0</v>
      </c>
      <c r="AT24" s="7" t="str">
        <f aca="false">IF('KNOWIFY TIME'!B24="","",'KNOWIFY TIME'!B24)</f>
        <v>Apprentice Lvl 5</v>
      </c>
      <c r="AU24" s="7" t="n">
        <f aca="false">IF(AT24="",0,IF(ISNUMBER('KNOWIFY TIME'!D24),'KNOWIFY TIME'!D24*24,IFERROR(VALUE(LEFT('KNOWIFY TIME'!D24,FIND(":",'KNOWIFY TIME'!D24)-1))+VALUE(MID('KNOWIFY TIME'!D24,FIND(":",'KNOWIFY TIME'!D24)+1,2))/60,0)))</f>
        <v>712.333333333333</v>
      </c>
      <c r="AV24" s="7" t="n">
        <f aca="false">N('KNOWIFY TIME'!E24)</f>
        <v>41132.91</v>
      </c>
      <c r="AW24" s="7" t="str">
        <f aca="false">IF(AT24="","",IFERROR(INDEX($BD$5:$BD$60,MATCH(AT24,$BC$5:$BC$60,0)),"Unmapped"))</f>
        <v>Apprentice Lvl 3-6</v>
      </c>
      <c r="AZ24" s="10" t="s">
        <v>906</v>
      </c>
      <c r="BA24" s="10" t="s">
        <v>154</v>
      </c>
      <c r="BC24" s="10"/>
      <c r="BD24" s="10"/>
    </row>
    <row r="25" customFormat="false" ht="30" hidden="false" customHeight="true" outlineLevel="0" collapsed="false">
      <c r="B25" s="17" t="s">
        <v>907</v>
      </c>
      <c r="C25" s="17" t="s">
        <v>908</v>
      </c>
      <c r="D25" s="17" t="s">
        <v>909</v>
      </c>
      <c r="E25" s="17" t="s">
        <v>910</v>
      </c>
      <c r="F25" s="17" t="s">
        <v>911</v>
      </c>
      <c r="G25" s="17" t="s">
        <v>912</v>
      </c>
      <c r="H25" s="17" t="s">
        <v>913</v>
      </c>
      <c r="I25" s="17" t="s">
        <v>914</v>
      </c>
      <c r="J25" s="17" t="s">
        <v>915</v>
      </c>
      <c r="AA25" s="7" t="str">
        <f aca="false">IF('KNOWIFY PHASES'!A25="","",'KNOWIFY PHASES'!A25)</f>
        <v>P - BLDG B - L3 Plumbing Rough-in (Labour)</v>
      </c>
      <c r="AB25" s="7" t="str">
        <f aca="false">IF(AA25="","",IF(LEFT(AA25,4)="P - ","P",IF(LEFT(AA25,4)="H - ","H",IF(LEFT(AA25,5)="AC - ","AC",IF(OR(LEFT(AA25,4)="V - ",LEFT(AA25,7)="HVAC - "),"V","Other")))))</f>
        <v>P</v>
      </c>
      <c r="AC25" s="7" t="str">
        <f aca="false">IF(AA25="","",IFERROR(LOOKUP(2,1/(($AZ$5:$AZ$60&lt;&gt;"")*ISNUMBER(SEARCH($AZ$5:$AZ$60,AA25))),$BA$5:$BA$60),IF(AB25="Other","Excluded","Unmapped")))</f>
        <v>03 Rough-in (Labour)</v>
      </c>
      <c r="AD25" s="7" t="n">
        <f aca="false">IF(AA25="","",IF(AND(AB25&lt;&gt;"Other",OR(AND('KNOWIFY PHASES'!B25="Closed",N('KNOWIFY PHASES'!D25)&gt;=0.5),N('KNOWIFY PHASES'!D25)&gt;=1)),1,0))</f>
        <v>1</v>
      </c>
      <c r="AE25" s="7" t="n">
        <f aca="false">N('KNOWIFY PHASES'!L25)</f>
        <v>40000</v>
      </c>
      <c r="AF25" s="7" t="n">
        <f aca="false">N('KNOWIFY PHASES'!K25)</f>
        <v>46912.2</v>
      </c>
      <c r="AG25" s="7" t="n">
        <f aca="false">N('KNOWIFY PHASES'!I25)</f>
        <v>0</v>
      </c>
      <c r="AH25" s="7" t="n">
        <f aca="false">N('KNOWIFY PHASES'!H25)</f>
        <v>0</v>
      </c>
      <c r="AI25" s="7" t="n">
        <f aca="false">N('KNOWIFY PHASES'!O25)</f>
        <v>0</v>
      </c>
      <c r="AJ25" s="7" t="n">
        <f aca="false">N('KNOWIFY PHASES'!N25)</f>
        <v>0</v>
      </c>
      <c r="AK25" s="7" t="n">
        <f aca="false">N('KNOWIFY PHASES'!R25)</f>
        <v>0</v>
      </c>
      <c r="AL25" s="7" t="n">
        <f aca="false">N('KNOWIFY PHASES'!Q25)</f>
        <v>0</v>
      </c>
      <c r="AM25" s="7" t="n">
        <f aca="false">N('KNOWIFY PHASES'!F25)</f>
        <v>40000</v>
      </c>
      <c r="AN25" s="7" t="n">
        <f aca="false">N('KNOWIFY PHASES'!E25)</f>
        <v>46912.2</v>
      </c>
      <c r="AO25" s="7" t="n">
        <f aca="false">MAX(AE25,AF25)</f>
        <v>46912.2</v>
      </c>
      <c r="AP25" s="7" t="n">
        <f aca="false">MAX(AG25,AH25)</f>
        <v>0</v>
      </c>
      <c r="AQ25" s="7" t="n">
        <f aca="false">MAX(AI25,AJ25)</f>
        <v>0</v>
      </c>
      <c r="AR25" s="7" t="n">
        <f aca="false">MAX(AK25,AL25)</f>
        <v>0</v>
      </c>
      <c r="AT25" s="7" t="str">
        <f aca="false">IF('KNOWIFY TIME'!B25="","",'KNOWIFY TIME'!B25)</f>
        <v>Journeyman Lvl 1</v>
      </c>
      <c r="AU25" s="7" t="n">
        <f aca="false">IF(AT25="",0,IF(ISNUMBER('KNOWIFY TIME'!D25),'KNOWIFY TIME'!D25*24,IFERROR(VALUE(LEFT('KNOWIFY TIME'!D25,FIND(":",'KNOWIFY TIME'!D25)-1))+VALUE(MID('KNOWIFY TIME'!D25,FIND(":",'KNOWIFY TIME'!D25)+1,2))/60,0)))</f>
        <v>295.666666666667</v>
      </c>
      <c r="AV25" s="7" t="n">
        <f aca="false">N('KNOWIFY TIME'!E25)</f>
        <v>21456.47</v>
      </c>
      <c r="AW25" s="7" t="str">
        <f aca="false">IF(AT25="","",IFERROR(INDEX($BD$5:$BD$60,MATCH(AT25,$BC$5:$BC$60,0)),"Unmapped"))</f>
        <v>Journeyman Lvl 1-2</v>
      </c>
      <c r="AZ25" s="10" t="s">
        <v>916</v>
      </c>
      <c r="BA25" s="10" t="s">
        <v>154</v>
      </c>
      <c r="BC25" s="10"/>
      <c r="BD25" s="10"/>
    </row>
    <row r="26" customFormat="false" ht="15" hidden="false" customHeight="false" outlineLevel="0" collapsed="false">
      <c r="B26" s="24" t="str">
        <f aca="false">"P  "&amp;INPUTS!$B$67</f>
        <v>P  01 Shop Drawings, Permits &amp; Mobilization</v>
      </c>
      <c r="C26" s="13" t="n">
        <f aca="false">COUNTIFS('KNOWIFY REVIEW'!$AB$4:$AB$400,"P",'KNOWIFY REVIEW'!$AC$4:$AC$400,INPUTS!$B$67,'KNOWIFY REVIEW'!$AD$4:$AD$400,1)</f>
        <v>1</v>
      </c>
      <c r="D26" s="28" t="n">
        <f aca="false">SUMIFS('KNOWIFY REVIEW'!$AE$4:$AE$400,'KNOWIFY REVIEW'!$AB$4:$AB$400,"P",'KNOWIFY REVIEW'!$AC$4:$AC$400,INPUTS!$B$67,'KNOWIFY REVIEW'!$AD$4:$AD$400,1)</f>
        <v>4000</v>
      </c>
      <c r="E26" s="28" t="n">
        <f aca="false">SUMIFS('KNOWIFY REVIEW'!$AF$4:$AF$400,'KNOWIFY REVIEW'!$AB$4:$AB$400,"P",'KNOWIFY REVIEW'!$AC$4:$AC$400,INPUTS!$B$67,'KNOWIFY REVIEW'!$AD$4:$AD$400,1)</f>
        <v>530.01</v>
      </c>
      <c r="F26" s="43" t="n">
        <f aca="false">IFERROR(E26/D26,"")</f>
        <v>0.1325025</v>
      </c>
      <c r="G26" s="28" t="n">
        <f aca="false">SUMIFS('KNOWIFY REVIEW'!$AG$4:$AG$400,'KNOWIFY REVIEW'!$AB$4:$AB$400,"P",'KNOWIFY REVIEW'!$AC$4:$AC$400,INPUTS!$B$67,'KNOWIFY REVIEW'!$AD$4:$AD$400,1)</f>
        <v>1500</v>
      </c>
      <c r="H26" s="28" t="n">
        <f aca="false">SUMIFS('KNOWIFY REVIEW'!$AH$4:$AH$400,'KNOWIFY REVIEW'!$AB$4:$AB$400,"P",'KNOWIFY REVIEW'!$AC$4:$AC$400,INPUTS!$B$67,'KNOWIFY REVIEW'!$AD$4:$AD$400,1)</f>
        <v>3203.97</v>
      </c>
      <c r="I26" s="43" t="n">
        <f aca="false">IFERROR(H26/G26,"")</f>
        <v>2.13598</v>
      </c>
      <c r="J26" s="13" t="n">
        <f aca="false">IFERROR(E26/'KNOWIFY REVIEW'!$E$72,0)</f>
        <v>10.4946848820004</v>
      </c>
      <c r="AA26" s="7" t="str">
        <f aca="false">IF('KNOWIFY PHASES'!A26="","",'KNOWIFY PHASES'!A26)</f>
        <v>P - BLDG B - L4 Plumbing Rough-in (Labour)</v>
      </c>
      <c r="AB26" s="7" t="str">
        <f aca="false">IF(AA26="","",IF(LEFT(AA26,4)="P - ","P",IF(LEFT(AA26,4)="H - ","H",IF(LEFT(AA26,5)="AC - ","AC",IF(OR(LEFT(AA26,4)="V - ",LEFT(AA26,7)="HVAC - "),"V","Other")))))</f>
        <v>P</v>
      </c>
      <c r="AC26" s="7" t="str">
        <f aca="false">IF(AA26="","",IFERROR(LOOKUP(2,1/(($AZ$5:$AZ$60&lt;&gt;"")*ISNUMBER(SEARCH($AZ$5:$AZ$60,AA26))),$BA$5:$BA$60),IF(AB26="Other","Excluded","Unmapped")))</f>
        <v>03 Rough-in (Labour)</v>
      </c>
      <c r="AD26" s="7" t="n">
        <f aca="false">IF(AA26="","",IF(AND(AB26&lt;&gt;"Other",OR(AND('KNOWIFY PHASES'!B26="Closed",N('KNOWIFY PHASES'!D26)&gt;=0.5),N('KNOWIFY PHASES'!D26)&gt;=1)),1,0))</f>
        <v>1</v>
      </c>
      <c r="AE26" s="7" t="n">
        <f aca="false">N('KNOWIFY PHASES'!L26)</f>
        <v>40000</v>
      </c>
      <c r="AF26" s="7" t="n">
        <f aca="false">N('KNOWIFY PHASES'!K26)</f>
        <v>53561.64</v>
      </c>
      <c r="AG26" s="7" t="n">
        <f aca="false">N('KNOWIFY PHASES'!I26)</f>
        <v>0</v>
      </c>
      <c r="AH26" s="7" t="n">
        <f aca="false">N('KNOWIFY PHASES'!H26)</f>
        <v>0</v>
      </c>
      <c r="AI26" s="7" t="n">
        <f aca="false">N('KNOWIFY PHASES'!O26)</f>
        <v>0</v>
      </c>
      <c r="AJ26" s="7" t="n">
        <f aca="false">N('KNOWIFY PHASES'!N26)</f>
        <v>0</v>
      </c>
      <c r="AK26" s="7" t="n">
        <f aca="false">N('KNOWIFY PHASES'!R26)</f>
        <v>0</v>
      </c>
      <c r="AL26" s="7" t="n">
        <f aca="false">N('KNOWIFY PHASES'!Q26)</f>
        <v>0</v>
      </c>
      <c r="AM26" s="7" t="n">
        <f aca="false">N('KNOWIFY PHASES'!F26)</f>
        <v>40000</v>
      </c>
      <c r="AN26" s="7" t="n">
        <f aca="false">N('KNOWIFY PHASES'!E26)</f>
        <v>53561.64</v>
      </c>
      <c r="AO26" s="7" t="n">
        <f aca="false">MAX(AE26,AF26)</f>
        <v>53561.64</v>
      </c>
      <c r="AP26" s="7" t="n">
        <f aca="false">MAX(AG26,AH26)</f>
        <v>0</v>
      </c>
      <c r="AQ26" s="7" t="n">
        <f aca="false">MAX(AI26,AJ26)</f>
        <v>0</v>
      </c>
      <c r="AR26" s="7" t="n">
        <f aca="false">MAX(AK26,AL26)</f>
        <v>0</v>
      </c>
      <c r="AT26" s="7" t="str">
        <f aca="false">IF('KNOWIFY TIME'!B26="","",'KNOWIFY TIME'!B26)</f>
        <v>HVAC Field Supervisor</v>
      </c>
      <c r="AU26" s="7" t="n">
        <f aca="false">IF(AT26="",0,IF(ISNUMBER('KNOWIFY TIME'!D26),'KNOWIFY TIME'!D26*24,IFERROR(VALUE(LEFT('KNOWIFY TIME'!D26,FIND(":",'KNOWIFY TIME'!D26)-1))+VALUE(MID('KNOWIFY TIME'!D26,FIND(":",'KNOWIFY TIME'!D26)+1,2))/60,0)))</f>
        <v>296</v>
      </c>
      <c r="AV26" s="7" t="n">
        <f aca="false">N('KNOWIFY TIME'!E26)</f>
        <v>19846.2</v>
      </c>
      <c r="AW26" s="7" t="str">
        <f aca="false">IF(AT26="","",IFERROR(INDEX($BD$5:$BD$60,MATCH(AT26,$BC$5:$BC$60,0)),"Unmapped"))</f>
        <v>Foreman &amp; PM</v>
      </c>
      <c r="AZ26" s="10" t="s">
        <v>917</v>
      </c>
      <c r="BA26" s="10" t="s">
        <v>155</v>
      </c>
      <c r="BC26" s="10"/>
      <c r="BD26" s="10"/>
    </row>
    <row r="27" customFormat="false" ht="15" hidden="false" customHeight="false" outlineLevel="0" collapsed="false">
      <c r="B27" s="24" t="str">
        <f aca="false">"P  "&amp;INPUTS!$B$68</f>
        <v>P  02 Foundation &amp; Underground</v>
      </c>
      <c r="C27" s="13" t="n">
        <f aca="false">COUNTIFS('KNOWIFY REVIEW'!$AB$4:$AB$400,"P",'KNOWIFY REVIEW'!$AC$4:$AC$400,INPUTS!$B$68,'KNOWIFY REVIEW'!$AD$4:$AD$400,1)</f>
        <v>1</v>
      </c>
      <c r="D27" s="28" t="n">
        <f aca="false">SUMIFS('KNOWIFY REVIEW'!$AE$4:$AE$400,'KNOWIFY REVIEW'!$AB$4:$AB$400,"P",'KNOWIFY REVIEW'!$AC$4:$AC$400,INPUTS!$B$68,'KNOWIFY REVIEW'!$AD$4:$AD$400,1)</f>
        <v>35000</v>
      </c>
      <c r="E27" s="28" t="n">
        <f aca="false">SUMIFS('KNOWIFY REVIEW'!$AF$4:$AF$400,'KNOWIFY REVIEW'!$AB$4:$AB$400,"P",'KNOWIFY REVIEW'!$AC$4:$AC$400,INPUTS!$B$68,'KNOWIFY REVIEW'!$AD$4:$AD$400,1)</f>
        <v>60524.63</v>
      </c>
      <c r="F27" s="43" t="n">
        <f aca="false">IFERROR(E27/D27,"")</f>
        <v>1.72927514285714</v>
      </c>
      <c r="G27" s="28" t="n">
        <f aca="false">SUMIFS('KNOWIFY REVIEW'!$AG$4:$AG$400,'KNOWIFY REVIEW'!$AB$4:$AB$400,"P",'KNOWIFY REVIEW'!$AC$4:$AC$400,INPUTS!$B$68,'KNOWIFY REVIEW'!$AD$4:$AD$400,1)</f>
        <v>125000</v>
      </c>
      <c r="H27" s="28" t="n">
        <f aca="false">SUMIFS('KNOWIFY REVIEW'!$AH$4:$AH$400,'KNOWIFY REVIEW'!$AB$4:$AB$400,"P",'KNOWIFY REVIEW'!$AC$4:$AC$400,INPUTS!$B$68,'KNOWIFY REVIEW'!$AD$4:$AD$400,1)</f>
        <v>127755.62</v>
      </c>
      <c r="I27" s="43" t="n">
        <f aca="false">IFERROR(H27/G27,"")</f>
        <v>1.02204496</v>
      </c>
      <c r="J27" s="13" t="n">
        <f aca="false">IFERROR(E27/'KNOWIFY REVIEW'!$E$72,0)</f>
        <v>1198.44327361685</v>
      </c>
      <c r="AA27" s="7" t="str">
        <f aca="false">IF('KNOWIFY PHASES'!A27="","",'KNOWIFY PHASES'!A27)</f>
        <v>P - BLDG B - L5 Plumbing Rough-in (Labour)</v>
      </c>
      <c r="AB27" s="7" t="str">
        <f aca="false">IF(AA27="","",IF(LEFT(AA27,4)="P - ","P",IF(LEFT(AA27,4)="H - ","H",IF(LEFT(AA27,5)="AC - ","AC",IF(OR(LEFT(AA27,4)="V - ",LEFT(AA27,7)="HVAC - "),"V","Other")))))</f>
        <v>P</v>
      </c>
      <c r="AC27" s="7" t="str">
        <f aca="false">IF(AA27="","",IFERROR(LOOKUP(2,1/(($AZ$5:$AZ$60&lt;&gt;"")*ISNUMBER(SEARCH($AZ$5:$AZ$60,AA27))),$BA$5:$BA$60),IF(AB27="Other","Excluded","Unmapped")))</f>
        <v>03 Rough-in (Labour)</v>
      </c>
      <c r="AD27" s="7" t="n">
        <f aca="false">IF(AA27="","",IF(AND(AB27&lt;&gt;"Other",OR(AND('KNOWIFY PHASES'!B27="Closed",N('KNOWIFY PHASES'!D27)&gt;=0.5),N('KNOWIFY PHASES'!D27)&gt;=1)),1,0))</f>
        <v>1</v>
      </c>
      <c r="AE27" s="7" t="n">
        <f aca="false">N('KNOWIFY PHASES'!L27)</f>
        <v>40000</v>
      </c>
      <c r="AF27" s="7" t="n">
        <f aca="false">N('KNOWIFY PHASES'!K27)</f>
        <v>67839.85</v>
      </c>
      <c r="AG27" s="7" t="n">
        <f aca="false">N('KNOWIFY PHASES'!I27)</f>
        <v>0</v>
      </c>
      <c r="AH27" s="7" t="n">
        <f aca="false">N('KNOWIFY PHASES'!H27)</f>
        <v>0</v>
      </c>
      <c r="AI27" s="7" t="n">
        <f aca="false">N('KNOWIFY PHASES'!O27)</f>
        <v>0</v>
      </c>
      <c r="AJ27" s="7" t="n">
        <f aca="false">N('KNOWIFY PHASES'!N27)</f>
        <v>0</v>
      </c>
      <c r="AK27" s="7" t="n">
        <f aca="false">N('KNOWIFY PHASES'!R27)</f>
        <v>0</v>
      </c>
      <c r="AL27" s="7" t="n">
        <f aca="false">N('KNOWIFY PHASES'!Q27)</f>
        <v>0</v>
      </c>
      <c r="AM27" s="7" t="n">
        <f aca="false">N('KNOWIFY PHASES'!F27)</f>
        <v>40000</v>
      </c>
      <c r="AN27" s="7" t="n">
        <f aca="false">N('KNOWIFY PHASES'!E27)</f>
        <v>67839.85</v>
      </c>
      <c r="AO27" s="7" t="n">
        <f aca="false">MAX(AE27,AF27)</f>
        <v>67839.85</v>
      </c>
      <c r="AP27" s="7" t="n">
        <f aca="false">MAX(AG27,AH27)</f>
        <v>0</v>
      </c>
      <c r="AQ27" s="7" t="n">
        <f aca="false">MAX(AI27,AJ27)</f>
        <v>0</v>
      </c>
      <c r="AR27" s="7" t="n">
        <f aca="false">MAX(AK27,AL27)</f>
        <v>0</v>
      </c>
      <c r="AT27" s="7" t="str">
        <f aca="false">IF('KNOWIFY TIME'!B27="","",'KNOWIFY TIME'!B27)</f>
        <v>Apprentice Lvl 3</v>
      </c>
      <c r="AU27" s="7" t="n">
        <f aca="false">IF(AT27="",0,IF(ISNUMBER('KNOWIFY TIME'!D27),'KNOWIFY TIME'!D27*24,IFERROR(VALUE(LEFT('KNOWIFY TIME'!D27,FIND(":",'KNOWIFY TIME'!D27)-1))+VALUE(MID('KNOWIFY TIME'!D27,FIND(":",'KNOWIFY TIME'!D27)+1,2))/60,0)))</f>
        <v>670.916666666667</v>
      </c>
      <c r="AV27" s="7" t="n">
        <f aca="false">N('KNOWIFY TIME'!E27)</f>
        <v>35887.26</v>
      </c>
      <c r="AW27" s="7" t="str">
        <f aca="false">IF(AT27="","",IFERROR(INDEX($BD$5:$BD$60,MATCH(AT27,$BC$5:$BC$60,0)),"Unmapped"))</f>
        <v>Apprentice Lvl 3-6</v>
      </c>
      <c r="AZ27" s="10" t="s">
        <v>918</v>
      </c>
      <c r="BA27" s="10" t="s">
        <v>155</v>
      </c>
      <c r="BC27" s="10"/>
      <c r="BD27" s="10"/>
    </row>
    <row r="28" customFormat="false" ht="15" hidden="false" customHeight="false" outlineLevel="0" collapsed="false">
      <c r="B28" s="24" t="str">
        <f aca="false">"P  "&amp;INPUTS!$B$69</f>
        <v>P  03 Rough-in (Labour)</v>
      </c>
      <c r="C28" s="13" t="n">
        <f aca="false">COUNTIFS('KNOWIFY REVIEW'!$AB$4:$AB$400,"P",'KNOWIFY REVIEW'!$AC$4:$AC$400,INPUTS!$B$69,'KNOWIFY REVIEW'!$AD$4:$AD$400,1)</f>
        <v>12</v>
      </c>
      <c r="D28" s="28" t="n">
        <f aca="false">SUMIFS('KNOWIFY REVIEW'!$AE$4:$AE$400,'KNOWIFY REVIEW'!$AB$4:$AB$400,"P",'KNOWIFY REVIEW'!$AC$4:$AC$400,INPUTS!$B$69,'KNOWIFY REVIEW'!$AD$4:$AD$400,1)</f>
        <v>480000</v>
      </c>
      <c r="E28" s="28" t="n">
        <f aca="false">SUMIFS('KNOWIFY REVIEW'!$AF$4:$AF$400,'KNOWIFY REVIEW'!$AB$4:$AB$400,"P",'KNOWIFY REVIEW'!$AC$4:$AC$400,INPUTS!$B$69,'KNOWIFY REVIEW'!$AD$4:$AD$400,1)</f>
        <v>647639.94</v>
      </c>
      <c r="F28" s="43" t="n">
        <f aca="false">IFERROR(E28/D28,"")</f>
        <v>1.349249875</v>
      </c>
      <c r="G28" s="28" t="n">
        <f aca="false">SUMIFS('KNOWIFY REVIEW'!$AG$4:$AG$400,'KNOWIFY REVIEW'!$AB$4:$AB$400,"P",'KNOWIFY REVIEW'!$AC$4:$AC$400,INPUTS!$B$69,'KNOWIFY REVIEW'!$AD$4:$AD$400,1)</f>
        <v>0</v>
      </c>
      <c r="H28" s="28" t="n">
        <f aca="false">SUMIFS('KNOWIFY REVIEW'!$AH$4:$AH$400,'KNOWIFY REVIEW'!$AB$4:$AB$400,"P",'KNOWIFY REVIEW'!$AC$4:$AC$400,INPUTS!$B$69,'KNOWIFY REVIEW'!$AD$4:$AD$400,1)</f>
        <v>0</v>
      </c>
      <c r="I28" s="43" t="str">
        <f aca="false">IFERROR(H28/G28,"")</f>
        <v/>
      </c>
      <c r="J28" s="13" t="n">
        <f aca="false">IFERROR(E28/'KNOWIFY REVIEW'!$E$72,0)</f>
        <v>12823.8657521511</v>
      </c>
      <c r="AA28" s="7" t="str">
        <f aca="false">IF('KNOWIFY PHASES'!A28="","",'KNOWIFY PHASES'!A28)</f>
        <v>P - BLDG B - L6 Plumbing Rough-in (Labour)</v>
      </c>
      <c r="AB28" s="7" t="str">
        <f aca="false">IF(AA28="","",IF(LEFT(AA28,4)="P - ","P",IF(LEFT(AA28,4)="H - ","H",IF(LEFT(AA28,5)="AC - ","AC",IF(OR(LEFT(AA28,4)="V - ",LEFT(AA28,7)="HVAC - "),"V","Other")))))</f>
        <v>P</v>
      </c>
      <c r="AC28" s="7" t="str">
        <f aca="false">IF(AA28="","",IFERROR(LOOKUP(2,1/(($AZ$5:$AZ$60&lt;&gt;"")*ISNUMBER(SEARCH($AZ$5:$AZ$60,AA28))),$BA$5:$BA$60),IF(AB28="Other","Excluded","Unmapped")))</f>
        <v>03 Rough-in (Labour)</v>
      </c>
      <c r="AD28" s="7" t="n">
        <f aca="false">IF(AA28="","",IF(AND(AB28&lt;&gt;"Other",OR(AND('KNOWIFY PHASES'!B28="Closed",N('KNOWIFY PHASES'!D28)&gt;=0.5),N('KNOWIFY PHASES'!D28)&gt;=1)),1,0))</f>
        <v>1</v>
      </c>
      <c r="AE28" s="7" t="n">
        <f aca="false">N('KNOWIFY PHASES'!L28)</f>
        <v>40000</v>
      </c>
      <c r="AF28" s="7" t="n">
        <f aca="false">N('KNOWIFY PHASES'!K28)</f>
        <v>81402.13</v>
      </c>
      <c r="AG28" s="7" t="n">
        <f aca="false">N('KNOWIFY PHASES'!I28)</f>
        <v>0</v>
      </c>
      <c r="AH28" s="7" t="n">
        <f aca="false">N('KNOWIFY PHASES'!H28)</f>
        <v>0</v>
      </c>
      <c r="AI28" s="7" t="n">
        <f aca="false">N('KNOWIFY PHASES'!O28)</f>
        <v>0</v>
      </c>
      <c r="AJ28" s="7" t="n">
        <f aca="false">N('KNOWIFY PHASES'!N28)</f>
        <v>0</v>
      </c>
      <c r="AK28" s="7" t="n">
        <f aca="false">N('KNOWIFY PHASES'!R28)</f>
        <v>0</v>
      </c>
      <c r="AL28" s="7" t="n">
        <f aca="false">N('KNOWIFY PHASES'!Q28)</f>
        <v>0</v>
      </c>
      <c r="AM28" s="7" t="n">
        <f aca="false">N('KNOWIFY PHASES'!F28)</f>
        <v>40000</v>
      </c>
      <c r="AN28" s="7" t="n">
        <f aca="false">N('KNOWIFY PHASES'!E28)</f>
        <v>81402.13</v>
      </c>
      <c r="AO28" s="7" t="n">
        <f aca="false">MAX(AE28,AF28)</f>
        <v>81402.13</v>
      </c>
      <c r="AP28" s="7" t="n">
        <f aca="false">MAX(AG28,AH28)</f>
        <v>0</v>
      </c>
      <c r="AQ28" s="7" t="n">
        <f aca="false">MAX(AI28,AJ28)</f>
        <v>0</v>
      </c>
      <c r="AR28" s="7" t="n">
        <f aca="false">MAX(AK28,AL28)</f>
        <v>0</v>
      </c>
      <c r="AT28" s="7" t="str">
        <f aca="false">IF('KNOWIFY TIME'!B28="","",'KNOWIFY TIME'!B28)</f>
        <v>Apprentice Lvl 2</v>
      </c>
      <c r="AU28" s="7" t="n">
        <f aca="false">IF(AT28="",0,IF(ISNUMBER('KNOWIFY TIME'!D28),'KNOWIFY TIME'!D28*24,IFERROR(VALUE(LEFT('KNOWIFY TIME'!D28,FIND(":",'KNOWIFY TIME'!D28)-1))+VALUE(MID('KNOWIFY TIME'!D28,FIND(":",'KNOWIFY TIME'!D28)+1,2))/60,0)))</f>
        <v>524</v>
      </c>
      <c r="AV28" s="7" t="n">
        <f aca="false">N('KNOWIFY TIME'!E28)</f>
        <v>15622.92</v>
      </c>
      <c r="AW28" s="7" t="str">
        <f aca="false">IF(AT28="","",IFERROR(INDEX($BD$5:$BD$60,MATCH(AT28,$BC$5:$BC$60,0)),"Unmapped"))</f>
        <v>Apprentice Lvl 1-2</v>
      </c>
      <c r="AZ28" s="10" t="s">
        <v>919</v>
      </c>
      <c r="BA28" s="10" t="s">
        <v>156</v>
      </c>
      <c r="BC28" s="10"/>
      <c r="BD28" s="10"/>
    </row>
    <row r="29" customFormat="false" ht="15" hidden="false" customHeight="false" outlineLevel="0" collapsed="false">
      <c r="B29" s="24" t="str">
        <f aca="false">"P  "&amp;INPUTS!$B$70</f>
        <v>P  04 Finishing (Labour)</v>
      </c>
      <c r="C29" s="13" t="n">
        <f aca="false">COUNTIFS('KNOWIFY REVIEW'!$AB$4:$AB$400,"P",'KNOWIFY REVIEW'!$AC$4:$AC$400,INPUTS!$B$70,'KNOWIFY REVIEW'!$AD$4:$AD$400,1)</f>
        <v>0</v>
      </c>
      <c r="D29" s="28" t="n">
        <f aca="false">SUMIFS('KNOWIFY REVIEW'!$AE$4:$AE$400,'KNOWIFY REVIEW'!$AB$4:$AB$400,"P",'KNOWIFY REVIEW'!$AC$4:$AC$400,INPUTS!$B$70,'KNOWIFY REVIEW'!$AD$4:$AD$400,1)</f>
        <v>0</v>
      </c>
      <c r="E29" s="28" t="n">
        <f aca="false">SUMIFS('KNOWIFY REVIEW'!$AF$4:$AF$400,'KNOWIFY REVIEW'!$AB$4:$AB$400,"P",'KNOWIFY REVIEW'!$AC$4:$AC$400,INPUTS!$B$70,'KNOWIFY REVIEW'!$AD$4:$AD$400,1)</f>
        <v>0</v>
      </c>
      <c r="F29" s="43" t="str">
        <f aca="false">IFERROR(E29/D29,"")</f>
        <v/>
      </c>
      <c r="G29" s="28" t="n">
        <f aca="false">SUMIFS('KNOWIFY REVIEW'!$AG$4:$AG$400,'KNOWIFY REVIEW'!$AB$4:$AB$400,"P",'KNOWIFY REVIEW'!$AC$4:$AC$400,INPUTS!$B$70,'KNOWIFY REVIEW'!$AD$4:$AD$400,1)</f>
        <v>0</v>
      </c>
      <c r="H29" s="28" t="n">
        <f aca="false">SUMIFS('KNOWIFY REVIEW'!$AH$4:$AH$400,'KNOWIFY REVIEW'!$AB$4:$AB$400,"P",'KNOWIFY REVIEW'!$AC$4:$AC$400,INPUTS!$B$70,'KNOWIFY REVIEW'!$AD$4:$AD$400,1)</f>
        <v>0</v>
      </c>
      <c r="I29" s="43" t="str">
        <f aca="false">IFERROR(H29/G29,"")</f>
        <v/>
      </c>
      <c r="J29" s="13" t="n">
        <f aca="false">IFERROR(E29/'KNOWIFY REVIEW'!$E$72,0)</f>
        <v>0</v>
      </c>
      <c r="AA29" s="7" t="str">
        <f aca="false">IF('KNOWIFY PHASES'!A29="","",'KNOWIFY PHASES'!A29)</f>
        <v>P - BLDG B - Roof Plumbing (Labour &amp; Material)</v>
      </c>
      <c r="AB29" s="7" t="str">
        <f aca="false">IF(AA29="","",IF(LEFT(AA29,4)="P - ","P",IF(LEFT(AA29,4)="H - ","H",IF(LEFT(AA29,5)="AC - ","AC",IF(OR(LEFT(AA29,4)="V - ",LEFT(AA29,7)="HVAC - "),"V","Other")))))</f>
        <v>P</v>
      </c>
      <c r="AC29" s="7" t="str">
        <f aca="false">IF(AA29="","",IFERROR(LOOKUP(2,1/(($AZ$5:$AZ$60&lt;&gt;"")*ISNUMBER(SEARCH($AZ$5:$AZ$60,AA29))),$BA$5:$BA$60),IF(AB29="Other","Excluded","Unmapped")))</f>
        <v>03 Rough-in (Labour)</v>
      </c>
      <c r="AD29" s="7" t="n">
        <f aca="false">IF(AA29="","",IF(AND(AB29&lt;&gt;"Other",OR(AND('KNOWIFY PHASES'!B29="Closed",N('KNOWIFY PHASES'!D29)&gt;=0.5),N('KNOWIFY PHASES'!D29)&gt;=1)),1,0))</f>
        <v>0</v>
      </c>
      <c r="AE29" s="7" t="n">
        <f aca="false">N('KNOWIFY PHASES'!L29)</f>
        <v>27600</v>
      </c>
      <c r="AF29" s="7" t="n">
        <f aca="false">N('KNOWIFY PHASES'!K29)</f>
        <v>0</v>
      </c>
      <c r="AG29" s="7" t="n">
        <f aca="false">N('KNOWIFY PHASES'!I29)</f>
        <v>12400</v>
      </c>
      <c r="AH29" s="7" t="n">
        <f aca="false">N('KNOWIFY PHASES'!H29)</f>
        <v>569.49</v>
      </c>
      <c r="AI29" s="7" t="n">
        <f aca="false">N('KNOWIFY PHASES'!O29)</f>
        <v>0</v>
      </c>
      <c r="AJ29" s="7" t="n">
        <f aca="false">N('KNOWIFY PHASES'!N29)</f>
        <v>0</v>
      </c>
      <c r="AK29" s="7" t="n">
        <f aca="false">N('KNOWIFY PHASES'!R29)</f>
        <v>0</v>
      </c>
      <c r="AL29" s="7" t="n">
        <f aca="false">N('KNOWIFY PHASES'!Q29)</f>
        <v>0</v>
      </c>
      <c r="AM29" s="7" t="n">
        <f aca="false">N('KNOWIFY PHASES'!F29)</f>
        <v>40000</v>
      </c>
      <c r="AN29" s="7" t="n">
        <f aca="false">N('KNOWIFY PHASES'!E29)</f>
        <v>569.49</v>
      </c>
      <c r="AO29" s="7" t="n">
        <f aca="false">MAX(AE29,AF29)</f>
        <v>27600</v>
      </c>
      <c r="AP29" s="7" t="n">
        <f aca="false">MAX(AG29,AH29)</f>
        <v>12400</v>
      </c>
      <c r="AQ29" s="7" t="n">
        <f aca="false">MAX(AI29,AJ29)</f>
        <v>0</v>
      </c>
      <c r="AR29" s="7" t="n">
        <f aca="false">MAX(AK29,AL29)</f>
        <v>0</v>
      </c>
      <c r="AT29" s="7" t="str">
        <f aca="false">IF('KNOWIFY TIME'!B29="","",'KNOWIFY TIME'!B29)</f>
        <v>Foreman Lvl 1</v>
      </c>
      <c r="AU29" s="7" t="n">
        <f aca="false">IF(AT29="",0,IF(ISNUMBER('KNOWIFY TIME'!D29),'KNOWIFY TIME'!D29*24,IFERROR(VALUE(LEFT('KNOWIFY TIME'!D29,FIND(":",'KNOWIFY TIME'!D29)-1))+VALUE(MID('KNOWIFY TIME'!D29,FIND(":",'KNOWIFY TIME'!D29)+1,2))/60,0)))</f>
        <v>1594.41666666667</v>
      </c>
      <c r="AV29" s="7" t="n">
        <f aca="false">N('KNOWIFY TIME'!E29)</f>
        <v>106764.29</v>
      </c>
      <c r="AW29" s="7" t="str">
        <f aca="false">IF(AT29="","",IFERROR(INDEX($BD$5:$BD$60,MATCH(AT29,$BC$5:$BC$60,0)),"Unmapped"))</f>
        <v>Foreman &amp; PM</v>
      </c>
      <c r="AZ29" s="10" t="s">
        <v>920</v>
      </c>
      <c r="BA29" s="10" t="s">
        <v>156</v>
      </c>
      <c r="BC29" s="10"/>
      <c r="BD29" s="10"/>
    </row>
    <row r="30" customFormat="false" ht="15" hidden="false" customHeight="false" outlineLevel="0" collapsed="false">
      <c r="B30" s="24" t="str">
        <f aca="false">"P  "&amp;INPUTS!$B$71</f>
        <v>P  05 Material Supply</v>
      </c>
      <c r="C30" s="13" t="n">
        <f aca="false">COUNTIFS('KNOWIFY REVIEW'!$AB$4:$AB$400,"P",'KNOWIFY REVIEW'!$AC$4:$AC$400,INPUTS!$B$71,'KNOWIFY REVIEW'!$AD$4:$AD$400,1)</f>
        <v>2</v>
      </c>
      <c r="D30" s="28" t="n">
        <f aca="false">SUMIFS('KNOWIFY REVIEW'!$AE$4:$AE$400,'KNOWIFY REVIEW'!$AB$4:$AB$400,"P",'KNOWIFY REVIEW'!$AC$4:$AC$400,INPUTS!$B$71,'KNOWIFY REVIEW'!$AD$4:$AD$400,1)</f>
        <v>0</v>
      </c>
      <c r="E30" s="28" t="n">
        <f aca="false">SUMIFS('KNOWIFY REVIEW'!$AF$4:$AF$400,'KNOWIFY REVIEW'!$AB$4:$AB$400,"P",'KNOWIFY REVIEW'!$AC$4:$AC$400,INPUTS!$B$71,'KNOWIFY REVIEW'!$AD$4:$AD$400,1)</f>
        <v>0</v>
      </c>
      <c r="F30" s="43" t="str">
        <f aca="false">IFERROR(E30/D30,"")</f>
        <v/>
      </c>
      <c r="G30" s="28" t="n">
        <f aca="false">SUMIFS('KNOWIFY REVIEW'!$AG$4:$AG$400,'KNOWIFY REVIEW'!$AB$4:$AB$400,"P",'KNOWIFY REVIEW'!$AC$4:$AC$400,INPUTS!$B$71,'KNOWIFY REVIEW'!$AD$4:$AD$400,1)</f>
        <v>400000</v>
      </c>
      <c r="H30" s="28" t="n">
        <f aca="false">SUMIFS('KNOWIFY REVIEW'!$AH$4:$AH$400,'KNOWIFY REVIEW'!$AB$4:$AB$400,"P",'KNOWIFY REVIEW'!$AC$4:$AC$400,INPUTS!$B$71,'KNOWIFY REVIEW'!$AD$4:$AD$400,1)</f>
        <v>516964.94</v>
      </c>
      <c r="I30" s="43" t="n">
        <f aca="false">IFERROR(H30/G30,"")</f>
        <v>1.29241235</v>
      </c>
      <c r="J30" s="13" t="n">
        <f aca="false">IFERROR(E30/'KNOWIFY REVIEW'!$E$72,0)</f>
        <v>0</v>
      </c>
      <c r="AA30" s="7" t="str">
        <f aca="false">IF('KNOWIFY PHASES'!A30="","",'KNOWIFY PHASES'!A30)</f>
        <v>P - BLDG B - Material Supply</v>
      </c>
      <c r="AB30" s="7" t="str">
        <f aca="false">IF(AA30="","",IF(LEFT(AA30,4)="P - ","P",IF(LEFT(AA30,4)="H - ","H",IF(LEFT(AA30,5)="AC - ","AC",IF(OR(LEFT(AA30,4)="V - ",LEFT(AA30,7)="HVAC - "),"V","Other")))))</f>
        <v>P</v>
      </c>
      <c r="AC30" s="7" t="str">
        <f aca="false">IF(AA30="","",IFERROR(LOOKUP(2,1/(($AZ$5:$AZ$60&lt;&gt;"")*ISNUMBER(SEARCH($AZ$5:$AZ$60,AA30))),$BA$5:$BA$60),IF(AB30="Other","Excluded","Unmapped")))</f>
        <v>05 Material Supply</v>
      </c>
      <c r="AD30" s="7" t="n">
        <f aca="false">IF(AA30="","",IF(AND(AB30&lt;&gt;"Other",OR(AND('KNOWIFY PHASES'!B30="Closed",N('KNOWIFY PHASES'!D30)&gt;=0.5),N('KNOWIFY PHASES'!D30)&gt;=1)),1,0))</f>
        <v>1</v>
      </c>
      <c r="AE30" s="7" t="n">
        <f aca="false">N('KNOWIFY PHASES'!L30)</f>
        <v>0</v>
      </c>
      <c r="AF30" s="7" t="n">
        <f aca="false">N('KNOWIFY PHASES'!K30)</f>
        <v>0</v>
      </c>
      <c r="AG30" s="7" t="n">
        <f aca="false">N('KNOWIFY PHASES'!I30)</f>
        <v>200000</v>
      </c>
      <c r="AH30" s="7" t="n">
        <f aca="false">N('KNOWIFY PHASES'!H30)</f>
        <v>253019.4</v>
      </c>
      <c r="AI30" s="7" t="n">
        <f aca="false">N('KNOWIFY PHASES'!O30)</f>
        <v>0</v>
      </c>
      <c r="AJ30" s="7" t="n">
        <f aca="false">N('KNOWIFY PHASES'!N30)</f>
        <v>0</v>
      </c>
      <c r="AK30" s="7" t="n">
        <f aca="false">N('KNOWIFY PHASES'!R30)</f>
        <v>0</v>
      </c>
      <c r="AL30" s="7" t="n">
        <f aca="false">N('KNOWIFY PHASES'!Q30)</f>
        <v>0</v>
      </c>
      <c r="AM30" s="7" t="n">
        <f aca="false">N('KNOWIFY PHASES'!F30)</f>
        <v>200000</v>
      </c>
      <c r="AN30" s="7" t="n">
        <f aca="false">N('KNOWIFY PHASES'!E30)</f>
        <v>253019.4</v>
      </c>
      <c r="AO30" s="7" t="n">
        <f aca="false">MAX(AE30,AF30)</f>
        <v>0</v>
      </c>
      <c r="AP30" s="7" t="n">
        <f aca="false">MAX(AG30,AH30)</f>
        <v>253019.4</v>
      </c>
      <c r="AQ30" s="7" t="n">
        <f aca="false">MAX(AI30,AJ30)</f>
        <v>0</v>
      </c>
      <c r="AR30" s="7" t="n">
        <f aca="false">MAX(AK30,AL30)</f>
        <v>0</v>
      </c>
      <c r="AT30" s="7" t="str">
        <f aca="false">IF('KNOWIFY TIME'!B30="","",'KNOWIFY TIME'!B30)</f>
        <v>Project Manager</v>
      </c>
      <c r="AU30" s="7" t="n">
        <f aca="false">IF(AT30="",0,IF(ISNUMBER('KNOWIFY TIME'!D30),'KNOWIFY TIME'!D30*24,IFERROR(VALUE(LEFT('KNOWIFY TIME'!D30,FIND(":",'KNOWIFY TIME'!D30)-1))+VALUE(MID('KNOWIFY TIME'!D30,FIND(":",'KNOWIFY TIME'!D30)+1,2))/60,0)))</f>
        <v>313.5</v>
      </c>
      <c r="AV30" s="7" t="n">
        <f aca="false">N('KNOWIFY TIME'!E30)</f>
        <v>26841.87</v>
      </c>
      <c r="AW30" s="7" t="str">
        <f aca="false">IF(AT30="","",IFERROR(INDEX($BD$5:$BD$60,MATCH(AT30,$BC$5:$BC$60,0)),"Unmapped"))</f>
        <v>Foreman &amp; PM</v>
      </c>
      <c r="AZ30" s="10" t="s">
        <v>921</v>
      </c>
      <c r="BA30" s="10" t="s">
        <v>156</v>
      </c>
      <c r="BC30" s="10"/>
      <c r="BD30" s="10"/>
    </row>
    <row r="31" customFormat="false" ht="15" hidden="false" customHeight="false" outlineLevel="0" collapsed="false">
      <c r="B31" s="24" t="str">
        <f aca="false">"P  "&amp;INPUTS!$B$72</f>
        <v>P  06 Fixtures &amp; Equipment Supply</v>
      </c>
      <c r="C31" s="13" t="n">
        <f aca="false">COUNTIFS('KNOWIFY REVIEW'!$AB$4:$AB$400,"P",'KNOWIFY REVIEW'!$AC$4:$AC$400,INPUTS!$B$72,'KNOWIFY REVIEW'!$AD$4:$AD$400,1)</f>
        <v>0</v>
      </c>
      <c r="D31" s="28" t="n">
        <f aca="false">SUMIFS('KNOWIFY REVIEW'!$AE$4:$AE$400,'KNOWIFY REVIEW'!$AB$4:$AB$400,"P",'KNOWIFY REVIEW'!$AC$4:$AC$400,INPUTS!$B$72,'KNOWIFY REVIEW'!$AD$4:$AD$400,1)</f>
        <v>0</v>
      </c>
      <c r="E31" s="28" t="n">
        <f aca="false">SUMIFS('KNOWIFY REVIEW'!$AF$4:$AF$400,'KNOWIFY REVIEW'!$AB$4:$AB$400,"P",'KNOWIFY REVIEW'!$AC$4:$AC$400,INPUTS!$B$72,'KNOWIFY REVIEW'!$AD$4:$AD$400,1)</f>
        <v>0</v>
      </c>
      <c r="F31" s="43" t="str">
        <f aca="false">IFERROR(E31/D31,"")</f>
        <v/>
      </c>
      <c r="G31" s="28" t="n">
        <f aca="false">SUMIFS('KNOWIFY REVIEW'!$AG$4:$AG$400,'KNOWIFY REVIEW'!$AB$4:$AB$400,"P",'KNOWIFY REVIEW'!$AC$4:$AC$400,INPUTS!$B$72,'KNOWIFY REVIEW'!$AD$4:$AD$400,1)</f>
        <v>0</v>
      </c>
      <c r="H31" s="28" t="n">
        <f aca="false">SUMIFS('KNOWIFY REVIEW'!$AH$4:$AH$400,'KNOWIFY REVIEW'!$AB$4:$AB$400,"P",'KNOWIFY REVIEW'!$AC$4:$AC$400,INPUTS!$B$72,'KNOWIFY REVIEW'!$AD$4:$AD$400,1)</f>
        <v>0</v>
      </c>
      <c r="I31" s="43" t="str">
        <f aca="false">IFERROR(H31/G31,"")</f>
        <v/>
      </c>
      <c r="J31" s="13" t="n">
        <f aca="false">IFERROR(E31/'KNOWIFY REVIEW'!$E$72,0)</f>
        <v>0</v>
      </c>
      <c r="AA31" s="7" t="str">
        <f aca="false">IF('KNOWIFY PHASES'!A31="","",'KNOWIFY PHASES'!A31)</f>
        <v>P - BLDG B - Plumbing Fixtures &amp; Access Panels Supply</v>
      </c>
      <c r="AB31" s="7" t="str">
        <f aca="false">IF(AA31="","",IF(LEFT(AA31,4)="P - ","P",IF(LEFT(AA31,4)="H - ","H",IF(LEFT(AA31,5)="AC - ","AC",IF(OR(LEFT(AA31,4)="V - ",LEFT(AA31,7)="HVAC - "),"V","Other")))))</f>
        <v>P</v>
      </c>
      <c r="AC31" s="7" t="str">
        <f aca="false">IF(AA31="","",IFERROR(LOOKUP(2,1/(($AZ$5:$AZ$60&lt;&gt;"")*ISNUMBER(SEARCH($AZ$5:$AZ$60,AA31))),$BA$5:$BA$60),IF(AB31="Other","Excluded","Unmapped")))</f>
        <v>06 Fixtures &amp; Equipment Supply</v>
      </c>
      <c r="AD31" s="7" t="n">
        <f aca="false">IF(AA31="","",IF(AND(AB31&lt;&gt;"Other",OR(AND('KNOWIFY PHASES'!B31="Closed",N('KNOWIFY PHASES'!D31)&gt;=0.5),N('KNOWIFY PHASES'!D31)&gt;=1)),1,0))</f>
        <v>0</v>
      </c>
      <c r="AE31" s="7" t="n">
        <f aca="false">N('KNOWIFY PHASES'!L31)</f>
        <v>0</v>
      </c>
      <c r="AF31" s="7" t="n">
        <f aca="false">N('KNOWIFY PHASES'!K31)</f>
        <v>0</v>
      </c>
      <c r="AG31" s="7" t="n">
        <f aca="false">N('KNOWIFY PHASES'!I31)</f>
        <v>340000</v>
      </c>
      <c r="AH31" s="7" t="n">
        <f aca="false">N('KNOWIFY PHASES'!H31)</f>
        <v>40501.95</v>
      </c>
      <c r="AI31" s="7" t="n">
        <f aca="false">N('KNOWIFY PHASES'!O31)</f>
        <v>0</v>
      </c>
      <c r="AJ31" s="7" t="n">
        <f aca="false">N('KNOWIFY PHASES'!N31)</f>
        <v>0</v>
      </c>
      <c r="AK31" s="7" t="n">
        <f aca="false">N('KNOWIFY PHASES'!R31)</f>
        <v>0</v>
      </c>
      <c r="AL31" s="7" t="n">
        <f aca="false">N('KNOWIFY PHASES'!Q31)</f>
        <v>0</v>
      </c>
      <c r="AM31" s="7" t="n">
        <f aca="false">N('KNOWIFY PHASES'!F31)</f>
        <v>340000</v>
      </c>
      <c r="AN31" s="7" t="n">
        <f aca="false">N('KNOWIFY PHASES'!E31)</f>
        <v>40501.95</v>
      </c>
      <c r="AO31" s="7" t="n">
        <f aca="false">MAX(AE31,AF31)</f>
        <v>0</v>
      </c>
      <c r="AP31" s="7" t="n">
        <f aca="false">MAX(AG31,AH31)</f>
        <v>340000</v>
      </c>
      <c r="AQ31" s="7" t="n">
        <f aca="false">MAX(AI31,AJ31)</f>
        <v>0</v>
      </c>
      <c r="AR31" s="7" t="n">
        <f aca="false">MAX(AK31,AL31)</f>
        <v>0</v>
      </c>
      <c r="AT31" s="7" t="str">
        <f aca="false">IF('KNOWIFY TIME'!B31="","",'KNOWIFY TIME'!B31)</f>
        <v>Apprentice Lvl 2</v>
      </c>
      <c r="AU31" s="7" t="n">
        <f aca="false">IF(AT31="",0,IF(ISNUMBER('KNOWIFY TIME'!D31),'KNOWIFY TIME'!D31*24,IFERROR(VALUE(LEFT('KNOWIFY TIME'!D31,FIND(":",'KNOWIFY TIME'!D31)-1))+VALUE(MID('KNOWIFY TIME'!D31,FIND(":",'KNOWIFY TIME'!D31)+1,2))/60,0)))</f>
        <v>328.5</v>
      </c>
      <c r="AV31" s="7" t="n">
        <f aca="false">N('KNOWIFY TIME'!E31)</f>
        <v>17953.45</v>
      </c>
      <c r="AW31" s="7" t="str">
        <f aca="false">IF(AT31="","",IFERROR(INDEX($BD$5:$BD$60,MATCH(AT31,$BC$5:$BC$60,0)),"Unmapped"))</f>
        <v>Apprentice Lvl 1-2</v>
      </c>
      <c r="AZ31" s="10"/>
      <c r="BA31" s="10"/>
      <c r="BC31" s="10"/>
      <c r="BD31" s="10"/>
    </row>
    <row r="32" customFormat="false" ht="15" hidden="false" customHeight="false" outlineLevel="0" collapsed="false">
      <c r="B32" s="24" t="str">
        <f aca="false">"P  "&amp;INPUTS!$B$73</f>
        <v>P  07 Testing, TAB &amp; Commissioning</v>
      </c>
      <c r="C32" s="13" t="n">
        <f aca="false">COUNTIFS('KNOWIFY REVIEW'!$AB$4:$AB$400,"P",'KNOWIFY REVIEW'!$AC$4:$AC$400,INPUTS!$B$73,'KNOWIFY REVIEW'!$AD$4:$AD$400,1)</f>
        <v>0</v>
      </c>
      <c r="D32" s="28" t="n">
        <f aca="false">SUMIFS('KNOWIFY REVIEW'!$AE$4:$AE$400,'KNOWIFY REVIEW'!$AB$4:$AB$400,"P",'KNOWIFY REVIEW'!$AC$4:$AC$400,INPUTS!$B$73,'KNOWIFY REVIEW'!$AD$4:$AD$400,1)</f>
        <v>0</v>
      </c>
      <c r="E32" s="28" t="n">
        <f aca="false">SUMIFS('KNOWIFY REVIEW'!$AF$4:$AF$400,'KNOWIFY REVIEW'!$AB$4:$AB$400,"P",'KNOWIFY REVIEW'!$AC$4:$AC$400,INPUTS!$B$73,'KNOWIFY REVIEW'!$AD$4:$AD$400,1)</f>
        <v>0</v>
      </c>
      <c r="F32" s="43" t="str">
        <f aca="false">IFERROR(E32/D32,"")</f>
        <v/>
      </c>
      <c r="G32" s="28" t="n">
        <f aca="false">SUMIFS('KNOWIFY REVIEW'!$AG$4:$AG$400,'KNOWIFY REVIEW'!$AB$4:$AB$400,"P",'KNOWIFY REVIEW'!$AC$4:$AC$400,INPUTS!$B$73,'KNOWIFY REVIEW'!$AD$4:$AD$400,1)</f>
        <v>0</v>
      </c>
      <c r="H32" s="28" t="n">
        <f aca="false">SUMIFS('KNOWIFY REVIEW'!$AH$4:$AH$400,'KNOWIFY REVIEW'!$AB$4:$AB$400,"P",'KNOWIFY REVIEW'!$AC$4:$AC$400,INPUTS!$B$73,'KNOWIFY REVIEW'!$AD$4:$AD$400,1)</f>
        <v>0</v>
      </c>
      <c r="I32" s="43" t="str">
        <f aca="false">IFERROR(H32/G32,"")</f>
        <v/>
      </c>
      <c r="J32" s="13" t="n">
        <f aca="false">IFERROR(E32/'KNOWIFY REVIEW'!$E$72,0)</f>
        <v>0</v>
      </c>
      <c r="AA32" s="7" t="str">
        <f aca="false">IF('KNOWIFY PHASES'!A32="","",'KNOWIFY PHASES'!A32)</f>
        <v>P - BLDG B - L1 Plumbing Finishing (Labour)</v>
      </c>
      <c r="AB32" s="7" t="str">
        <f aca="false">IF(AA32="","",IF(LEFT(AA32,4)="P - ","P",IF(LEFT(AA32,4)="H - ","H",IF(LEFT(AA32,5)="AC - ","AC",IF(OR(LEFT(AA32,4)="V - ",LEFT(AA32,7)="HVAC - "),"V","Other")))))</f>
        <v>P</v>
      </c>
      <c r="AC32" s="7" t="str">
        <f aca="false">IF(AA32="","",IFERROR(LOOKUP(2,1/(($AZ$5:$AZ$60&lt;&gt;"")*ISNUMBER(SEARCH($AZ$5:$AZ$60,AA32))),$BA$5:$BA$60),IF(AB32="Other","Excluded","Unmapped")))</f>
        <v>04 Finishing (Labour)</v>
      </c>
      <c r="AD32" s="7" t="n">
        <f aca="false">IF(AA32="","",IF(AND(AB32&lt;&gt;"Other",OR(AND('KNOWIFY PHASES'!B32="Closed",N('KNOWIFY PHASES'!D32)&gt;=0.5),N('KNOWIFY PHASES'!D32)&gt;=1)),1,0))</f>
        <v>0</v>
      </c>
      <c r="AE32" s="7" t="n">
        <f aca="false">N('KNOWIFY PHASES'!L32)</f>
        <v>30000</v>
      </c>
      <c r="AF32" s="7" t="n">
        <f aca="false">N('KNOWIFY PHASES'!K32)</f>
        <v>0</v>
      </c>
      <c r="AG32" s="7" t="n">
        <f aca="false">N('KNOWIFY PHASES'!I32)</f>
        <v>0</v>
      </c>
      <c r="AH32" s="7" t="n">
        <f aca="false">N('KNOWIFY PHASES'!H32)</f>
        <v>0</v>
      </c>
      <c r="AI32" s="7" t="n">
        <f aca="false">N('KNOWIFY PHASES'!O32)</f>
        <v>0</v>
      </c>
      <c r="AJ32" s="7" t="n">
        <f aca="false">N('KNOWIFY PHASES'!N32)</f>
        <v>0</v>
      </c>
      <c r="AK32" s="7" t="n">
        <f aca="false">N('KNOWIFY PHASES'!R32)</f>
        <v>0</v>
      </c>
      <c r="AL32" s="7" t="n">
        <f aca="false">N('KNOWIFY PHASES'!Q32)</f>
        <v>0</v>
      </c>
      <c r="AM32" s="7" t="n">
        <f aca="false">N('KNOWIFY PHASES'!F32)</f>
        <v>30000</v>
      </c>
      <c r="AN32" s="7" t="n">
        <f aca="false">N('KNOWIFY PHASES'!E32)</f>
        <v>0</v>
      </c>
      <c r="AO32" s="7" t="n">
        <f aca="false">MAX(AE32,AF32)</f>
        <v>30000</v>
      </c>
      <c r="AP32" s="7" t="n">
        <f aca="false">MAX(AG32,AH32)</f>
        <v>0</v>
      </c>
      <c r="AQ32" s="7" t="n">
        <f aca="false">MAX(AI32,AJ32)</f>
        <v>0</v>
      </c>
      <c r="AR32" s="7" t="n">
        <f aca="false">MAX(AK32,AL32)</f>
        <v>0</v>
      </c>
      <c r="AT32" s="7" t="str">
        <f aca="false">IF('KNOWIFY TIME'!B32="","",'KNOWIFY TIME'!B32)</f>
        <v>Apprentice Lvl 1</v>
      </c>
      <c r="AU32" s="7" t="n">
        <f aca="false">IF(AT32="",0,IF(ISNUMBER('KNOWIFY TIME'!D32),'KNOWIFY TIME'!D32*24,IFERROR(VALUE(LEFT('KNOWIFY TIME'!D32,FIND(":",'KNOWIFY TIME'!D32)-1))+VALUE(MID('KNOWIFY TIME'!D32,FIND(":",'KNOWIFY TIME'!D32)+1,2))/60,0)))</f>
        <v>523.416666666667</v>
      </c>
      <c r="AV32" s="7" t="n">
        <f aca="false">N('KNOWIFY TIME'!E32)</f>
        <v>23983.24</v>
      </c>
      <c r="AW32" s="7" t="str">
        <f aca="false">IF(AT32="","",IFERROR(INDEX($BD$5:$BD$60,MATCH(AT32,$BC$5:$BC$60,0)),"Unmapped"))</f>
        <v>Apprentice Lvl 1-2</v>
      </c>
      <c r="AZ32" s="10"/>
      <c r="BA32" s="10"/>
      <c r="BC32" s="10"/>
      <c r="BD32" s="10"/>
    </row>
    <row r="33" customFormat="false" ht="15" hidden="false" customHeight="false" outlineLevel="0" collapsed="false">
      <c r="B33" s="24" t="str">
        <f aca="false">"P  "&amp;INPUTS!$B$74</f>
        <v>P  08 Completion &amp; Final Documents</v>
      </c>
      <c r="C33" s="13" t="n">
        <f aca="false">COUNTIFS('KNOWIFY REVIEW'!$AB$4:$AB$400,"P",'KNOWIFY REVIEW'!$AC$4:$AC$400,INPUTS!$B$74,'KNOWIFY REVIEW'!$AD$4:$AD$400,1)</f>
        <v>0</v>
      </c>
      <c r="D33" s="28" t="n">
        <f aca="false">SUMIFS('KNOWIFY REVIEW'!$AE$4:$AE$400,'KNOWIFY REVIEW'!$AB$4:$AB$400,"P",'KNOWIFY REVIEW'!$AC$4:$AC$400,INPUTS!$B$74,'KNOWIFY REVIEW'!$AD$4:$AD$400,1)</f>
        <v>0</v>
      </c>
      <c r="E33" s="28" t="n">
        <f aca="false">SUMIFS('KNOWIFY REVIEW'!$AF$4:$AF$400,'KNOWIFY REVIEW'!$AB$4:$AB$400,"P",'KNOWIFY REVIEW'!$AC$4:$AC$400,INPUTS!$B$74,'KNOWIFY REVIEW'!$AD$4:$AD$400,1)</f>
        <v>0</v>
      </c>
      <c r="F33" s="43" t="str">
        <f aca="false">IFERROR(E33/D33,"")</f>
        <v/>
      </c>
      <c r="G33" s="28" t="n">
        <f aca="false">SUMIFS('KNOWIFY REVIEW'!$AG$4:$AG$400,'KNOWIFY REVIEW'!$AB$4:$AB$400,"P",'KNOWIFY REVIEW'!$AC$4:$AC$400,INPUTS!$B$74,'KNOWIFY REVIEW'!$AD$4:$AD$400,1)</f>
        <v>0</v>
      </c>
      <c r="H33" s="28" t="n">
        <f aca="false">SUMIFS('KNOWIFY REVIEW'!$AH$4:$AH$400,'KNOWIFY REVIEW'!$AB$4:$AB$400,"P",'KNOWIFY REVIEW'!$AC$4:$AC$400,INPUTS!$B$74,'KNOWIFY REVIEW'!$AD$4:$AD$400,1)</f>
        <v>0</v>
      </c>
      <c r="I33" s="43" t="str">
        <f aca="false">IFERROR(H33/G33,"")</f>
        <v/>
      </c>
      <c r="J33" s="13" t="n">
        <f aca="false">IFERROR(E33/'KNOWIFY REVIEW'!$E$72,0)</f>
        <v>0</v>
      </c>
      <c r="AA33" s="7" t="str">
        <f aca="false">IF('KNOWIFY PHASES'!A33="","",'KNOWIFY PHASES'!A33)</f>
        <v>P - BLDG B - L2 Plumbing Finishing (Labour)</v>
      </c>
      <c r="AB33" s="7" t="str">
        <f aca="false">IF(AA33="","",IF(LEFT(AA33,4)="P - ","P",IF(LEFT(AA33,4)="H - ","H",IF(LEFT(AA33,5)="AC - ","AC",IF(OR(LEFT(AA33,4)="V - ",LEFT(AA33,7)="HVAC - "),"V","Other")))))</f>
        <v>P</v>
      </c>
      <c r="AC33" s="7" t="str">
        <f aca="false">IF(AA33="","",IFERROR(LOOKUP(2,1/(($AZ$5:$AZ$60&lt;&gt;"")*ISNUMBER(SEARCH($AZ$5:$AZ$60,AA33))),$BA$5:$BA$60),IF(AB33="Other","Excluded","Unmapped")))</f>
        <v>04 Finishing (Labour)</v>
      </c>
      <c r="AD33" s="7" t="n">
        <f aca="false">IF(AA33="","",IF(AND(AB33&lt;&gt;"Other",OR(AND('KNOWIFY PHASES'!B33="Closed",N('KNOWIFY PHASES'!D33)&gt;=0.5),N('KNOWIFY PHASES'!D33)&gt;=1)),1,0))</f>
        <v>0</v>
      </c>
      <c r="AE33" s="7" t="n">
        <f aca="false">N('KNOWIFY PHASES'!L33)</f>
        <v>30000</v>
      </c>
      <c r="AF33" s="7" t="n">
        <f aca="false">N('KNOWIFY PHASES'!K33)</f>
        <v>0</v>
      </c>
      <c r="AG33" s="7" t="n">
        <f aca="false">N('KNOWIFY PHASES'!I33)</f>
        <v>0</v>
      </c>
      <c r="AH33" s="7" t="n">
        <f aca="false">N('KNOWIFY PHASES'!H33)</f>
        <v>0</v>
      </c>
      <c r="AI33" s="7" t="n">
        <f aca="false">N('KNOWIFY PHASES'!O33)</f>
        <v>0</v>
      </c>
      <c r="AJ33" s="7" t="n">
        <f aca="false">N('KNOWIFY PHASES'!N33)</f>
        <v>0</v>
      </c>
      <c r="AK33" s="7" t="n">
        <f aca="false">N('KNOWIFY PHASES'!R33)</f>
        <v>0</v>
      </c>
      <c r="AL33" s="7" t="n">
        <f aca="false">N('KNOWIFY PHASES'!Q33)</f>
        <v>0</v>
      </c>
      <c r="AM33" s="7" t="n">
        <f aca="false">N('KNOWIFY PHASES'!F33)</f>
        <v>30000</v>
      </c>
      <c r="AN33" s="7" t="n">
        <f aca="false">N('KNOWIFY PHASES'!E33)</f>
        <v>0</v>
      </c>
      <c r="AO33" s="7" t="n">
        <f aca="false">MAX(AE33,AF33)</f>
        <v>30000</v>
      </c>
      <c r="AP33" s="7" t="n">
        <f aca="false">MAX(AG33,AH33)</f>
        <v>0</v>
      </c>
      <c r="AQ33" s="7" t="n">
        <f aca="false">MAX(AI33,AJ33)</f>
        <v>0</v>
      </c>
      <c r="AR33" s="7" t="n">
        <f aca="false">MAX(AK33,AL33)</f>
        <v>0</v>
      </c>
      <c r="AT33" s="7" t="str">
        <f aca="false">IF('KNOWIFY TIME'!B33="","",'KNOWIFY TIME'!B33)</f>
        <v>Apprentice Lvl 2</v>
      </c>
      <c r="AU33" s="7" t="n">
        <f aca="false">IF(AT33="",0,IF(ISNUMBER('KNOWIFY TIME'!D33),'KNOWIFY TIME'!D33*24,IFERROR(VALUE(LEFT('KNOWIFY TIME'!D33,FIND(":",'KNOWIFY TIME'!D33)-1))+VALUE(MID('KNOWIFY TIME'!D33,FIND(":",'KNOWIFY TIME'!D33)+1,2))/60,0)))</f>
        <v>233.25</v>
      </c>
      <c r="AV33" s="7" t="n">
        <f aca="false">N('KNOWIFY TIME'!E33)</f>
        <v>6486.69</v>
      </c>
      <c r="AW33" s="7" t="str">
        <f aca="false">IF(AT33="","",IFERROR(INDEX($BD$5:$BD$60,MATCH(AT33,$BC$5:$BC$60,0)),"Unmapped"))</f>
        <v>Apprentice Lvl 1-2</v>
      </c>
      <c r="AZ33" s="10"/>
      <c r="BA33" s="10"/>
      <c r="BC33" s="10"/>
      <c r="BD33" s="10"/>
    </row>
    <row r="34" customFormat="false" ht="15" hidden="false" customHeight="false" outlineLevel="0" collapsed="false">
      <c r="B34" s="24" t="str">
        <f aca="false">"P  "&amp;INPUTS!$B$75</f>
        <v>P  09 Office, Supervision &amp; General</v>
      </c>
      <c r="C34" s="13" t="n">
        <f aca="false">COUNTIFS('KNOWIFY REVIEW'!$AB$4:$AB$400,"P",'KNOWIFY REVIEW'!$AC$4:$AC$400,INPUTS!$B$75,'KNOWIFY REVIEW'!$AD$4:$AD$400,1)</f>
        <v>0</v>
      </c>
      <c r="D34" s="28" t="n">
        <f aca="false">SUMIFS('KNOWIFY REVIEW'!$AE$4:$AE$400,'KNOWIFY REVIEW'!$AB$4:$AB$400,"P",'KNOWIFY REVIEW'!$AC$4:$AC$400,INPUTS!$B$75,'KNOWIFY REVIEW'!$AD$4:$AD$400,1)</f>
        <v>0</v>
      </c>
      <c r="E34" s="28" t="n">
        <f aca="false">SUMIFS('KNOWIFY REVIEW'!$AF$4:$AF$400,'KNOWIFY REVIEW'!$AB$4:$AB$400,"P",'KNOWIFY REVIEW'!$AC$4:$AC$400,INPUTS!$B$75,'KNOWIFY REVIEW'!$AD$4:$AD$400,1)</f>
        <v>0</v>
      </c>
      <c r="F34" s="43" t="str">
        <f aca="false">IFERROR(E34/D34,"")</f>
        <v/>
      </c>
      <c r="G34" s="28" t="n">
        <f aca="false">SUMIFS('KNOWIFY REVIEW'!$AG$4:$AG$400,'KNOWIFY REVIEW'!$AB$4:$AB$400,"P",'KNOWIFY REVIEW'!$AC$4:$AC$400,INPUTS!$B$75,'KNOWIFY REVIEW'!$AD$4:$AD$400,1)</f>
        <v>0</v>
      </c>
      <c r="H34" s="28" t="n">
        <f aca="false">SUMIFS('KNOWIFY REVIEW'!$AH$4:$AH$400,'KNOWIFY REVIEW'!$AB$4:$AB$400,"P",'KNOWIFY REVIEW'!$AC$4:$AC$400,INPUTS!$B$75,'KNOWIFY REVIEW'!$AD$4:$AD$400,1)</f>
        <v>0</v>
      </c>
      <c r="I34" s="43" t="str">
        <f aca="false">IFERROR(H34/G34,"")</f>
        <v/>
      </c>
      <c r="J34" s="13" t="n">
        <f aca="false">IFERROR(E34/'KNOWIFY REVIEW'!$E$72,0)</f>
        <v>0</v>
      </c>
      <c r="AA34" s="7" t="str">
        <f aca="false">IF('KNOWIFY PHASES'!A34="","",'KNOWIFY PHASES'!A34)</f>
        <v>P - BLDG B - L3 Plumbing Finishing (Labour)</v>
      </c>
      <c r="AB34" s="7" t="str">
        <f aca="false">IF(AA34="","",IF(LEFT(AA34,4)="P - ","P",IF(LEFT(AA34,4)="H - ","H",IF(LEFT(AA34,5)="AC - ","AC",IF(OR(LEFT(AA34,4)="V - ",LEFT(AA34,7)="HVAC - "),"V","Other")))))</f>
        <v>P</v>
      </c>
      <c r="AC34" s="7" t="str">
        <f aca="false">IF(AA34="","",IFERROR(LOOKUP(2,1/(($AZ$5:$AZ$60&lt;&gt;"")*ISNUMBER(SEARCH($AZ$5:$AZ$60,AA34))),$BA$5:$BA$60),IF(AB34="Other","Excluded","Unmapped")))</f>
        <v>04 Finishing (Labour)</v>
      </c>
      <c r="AD34" s="7" t="n">
        <f aca="false">IF(AA34="","",IF(AND(AB34&lt;&gt;"Other",OR(AND('KNOWIFY PHASES'!B34="Closed",N('KNOWIFY PHASES'!D34)&gt;=0.5),N('KNOWIFY PHASES'!D34)&gt;=1)),1,0))</f>
        <v>0</v>
      </c>
      <c r="AE34" s="7" t="n">
        <f aca="false">N('KNOWIFY PHASES'!L34)</f>
        <v>30000</v>
      </c>
      <c r="AF34" s="7" t="n">
        <f aca="false">N('KNOWIFY PHASES'!K34)</f>
        <v>0</v>
      </c>
      <c r="AG34" s="7" t="n">
        <f aca="false">N('KNOWIFY PHASES'!I34)</f>
        <v>0</v>
      </c>
      <c r="AH34" s="7" t="n">
        <f aca="false">N('KNOWIFY PHASES'!H34)</f>
        <v>0</v>
      </c>
      <c r="AI34" s="7" t="n">
        <f aca="false">N('KNOWIFY PHASES'!O34)</f>
        <v>0</v>
      </c>
      <c r="AJ34" s="7" t="n">
        <f aca="false">N('KNOWIFY PHASES'!N34)</f>
        <v>0</v>
      </c>
      <c r="AK34" s="7" t="n">
        <f aca="false">N('KNOWIFY PHASES'!R34)</f>
        <v>0</v>
      </c>
      <c r="AL34" s="7" t="n">
        <f aca="false">N('KNOWIFY PHASES'!Q34)</f>
        <v>0</v>
      </c>
      <c r="AM34" s="7" t="n">
        <f aca="false">N('KNOWIFY PHASES'!F34)</f>
        <v>30000</v>
      </c>
      <c r="AN34" s="7" t="n">
        <f aca="false">N('KNOWIFY PHASES'!E34)</f>
        <v>0</v>
      </c>
      <c r="AO34" s="7" t="n">
        <f aca="false">MAX(AE34,AF34)</f>
        <v>30000</v>
      </c>
      <c r="AP34" s="7" t="n">
        <f aca="false">MAX(AG34,AH34)</f>
        <v>0</v>
      </c>
      <c r="AQ34" s="7" t="n">
        <f aca="false">MAX(AI34,AJ34)</f>
        <v>0</v>
      </c>
      <c r="AR34" s="7" t="n">
        <f aca="false">MAX(AK34,AL34)</f>
        <v>0</v>
      </c>
      <c r="AT34" s="7" t="str">
        <f aca="false">IF('KNOWIFY TIME'!B34="","",'KNOWIFY TIME'!B34)</f>
        <v>Foreman Lvl 1</v>
      </c>
      <c r="AU34" s="7" t="n">
        <f aca="false">IF(AT34="",0,IF(ISNUMBER('KNOWIFY TIME'!D34),'KNOWIFY TIME'!D34*24,IFERROR(VALUE(LEFT('KNOWIFY TIME'!D34,FIND(":",'KNOWIFY TIME'!D34)-1))+VALUE(MID('KNOWIFY TIME'!D34,FIND(":",'KNOWIFY TIME'!D34)+1,2))/60,0)))</f>
        <v>683.75</v>
      </c>
      <c r="AV34" s="7" t="n">
        <f aca="false">N('KNOWIFY TIME'!E34)</f>
        <v>38447.43</v>
      </c>
      <c r="AW34" s="7" t="str">
        <f aca="false">IF(AT34="","",IFERROR(INDEX($BD$5:$BD$60,MATCH(AT34,$BC$5:$BC$60,0)),"Unmapped"))</f>
        <v>Foreman &amp; PM</v>
      </c>
      <c r="AZ34" s="10"/>
      <c r="BA34" s="10"/>
      <c r="BC34" s="10"/>
      <c r="BD34" s="10"/>
    </row>
    <row r="35" customFormat="false" ht="15" hidden="false" customHeight="false" outlineLevel="0" collapsed="false">
      <c r="B35" s="24" t="str">
        <f aca="false">"H  "&amp;INPUTS!$B$67</f>
        <v>H  01 Shop Drawings, Permits &amp; Mobilization</v>
      </c>
      <c r="C35" s="13" t="n">
        <f aca="false">COUNTIFS('KNOWIFY REVIEW'!$AB$4:$AB$400,"H",'KNOWIFY REVIEW'!$AC$4:$AC$400,INPUTS!$B$67,'KNOWIFY REVIEW'!$AD$4:$AD$400,1)</f>
        <v>0</v>
      </c>
      <c r="D35" s="28" t="n">
        <f aca="false">SUMIFS('KNOWIFY REVIEW'!$AE$4:$AE$400,'KNOWIFY REVIEW'!$AB$4:$AB$400,"H",'KNOWIFY REVIEW'!$AC$4:$AC$400,INPUTS!$B$67,'KNOWIFY REVIEW'!$AD$4:$AD$400,1)</f>
        <v>0</v>
      </c>
      <c r="E35" s="28" t="n">
        <f aca="false">SUMIFS('KNOWIFY REVIEW'!$AF$4:$AF$400,'KNOWIFY REVIEW'!$AB$4:$AB$400,"H",'KNOWIFY REVIEW'!$AC$4:$AC$400,INPUTS!$B$67,'KNOWIFY REVIEW'!$AD$4:$AD$400,1)</f>
        <v>0</v>
      </c>
      <c r="F35" s="43" t="str">
        <f aca="false">IFERROR(E35/D35,"")</f>
        <v/>
      </c>
      <c r="G35" s="28" t="n">
        <f aca="false">SUMIFS('KNOWIFY REVIEW'!$AG$4:$AG$400,'KNOWIFY REVIEW'!$AB$4:$AB$400,"H",'KNOWIFY REVIEW'!$AC$4:$AC$400,INPUTS!$B$67,'KNOWIFY REVIEW'!$AD$4:$AD$400,1)</f>
        <v>0</v>
      </c>
      <c r="H35" s="28" t="n">
        <f aca="false">SUMIFS('KNOWIFY REVIEW'!$AH$4:$AH$400,'KNOWIFY REVIEW'!$AB$4:$AB$400,"H",'KNOWIFY REVIEW'!$AC$4:$AC$400,INPUTS!$B$67,'KNOWIFY REVIEW'!$AD$4:$AD$400,1)</f>
        <v>0</v>
      </c>
      <c r="I35" s="43" t="str">
        <f aca="false">IFERROR(H35/G35,"")</f>
        <v/>
      </c>
      <c r="J35" s="13" t="n">
        <f aca="false">IFERROR(E35/'KNOWIFY REVIEW'!$E$72,0)</f>
        <v>0</v>
      </c>
      <c r="AA35" s="7" t="str">
        <f aca="false">IF('KNOWIFY PHASES'!A35="","",'KNOWIFY PHASES'!A35)</f>
        <v>P - BLDG B - L4 Plumbing Finishing (Labour)</v>
      </c>
      <c r="AB35" s="7" t="str">
        <f aca="false">IF(AA35="","",IF(LEFT(AA35,4)="P - ","P",IF(LEFT(AA35,4)="H - ","H",IF(LEFT(AA35,5)="AC - ","AC",IF(OR(LEFT(AA35,4)="V - ",LEFT(AA35,7)="HVAC - "),"V","Other")))))</f>
        <v>P</v>
      </c>
      <c r="AC35" s="7" t="str">
        <f aca="false">IF(AA35="","",IFERROR(LOOKUP(2,1/(($AZ$5:$AZ$60&lt;&gt;"")*ISNUMBER(SEARCH($AZ$5:$AZ$60,AA35))),$BA$5:$BA$60),IF(AB35="Other","Excluded","Unmapped")))</f>
        <v>04 Finishing (Labour)</v>
      </c>
      <c r="AD35" s="7" t="n">
        <f aca="false">IF(AA35="","",IF(AND(AB35&lt;&gt;"Other",OR(AND('KNOWIFY PHASES'!B35="Closed",N('KNOWIFY PHASES'!D35)&gt;=0.5),N('KNOWIFY PHASES'!D35)&gt;=1)),1,0))</f>
        <v>0</v>
      </c>
      <c r="AE35" s="7" t="n">
        <f aca="false">N('KNOWIFY PHASES'!L35)</f>
        <v>30000</v>
      </c>
      <c r="AF35" s="7" t="n">
        <f aca="false">N('KNOWIFY PHASES'!K35)</f>
        <v>0</v>
      </c>
      <c r="AG35" s="7" t="n">
        <f aca="false">N('KNOWIFY PHASES'!I35)</f>
        <v>0</v>
      </c>
      <c r="AH35" s="7" t="n">
        <f aca="false">N('KNOWIFY PHASES'!H35)</f>
        <v>0</v>
      </c>
      <c r="AI35" s="7" t="n">
        <f aca="false">N('KNOWIFY PHASES'!O35)</f>
        <v>0</v>
      </c>
      <c r="AJ35" s="7" t="n">
        <f aca="false">N('KNOWIFY PHASES'!N35)</f>
        <v>0</v>
      </c>
      <c r="AK35" s="7" t="n">
        <f aca="false">N('KNOWIFY PHASES'!R35)</f>
        <v>0</v>
      </c>
      <c r="AL35" s="7" t="n">
        <f aca="false">N('KNOWIFY PHASES'!Q35)</f>
        <v>0</v>
      </c>
      <c r="AM35" s="7" t="n">
        <f aca="false">N('KNOWIFY PHASES'!F35)</f>
        <v>30000</v>
      </c>
      <c r="AN35" s="7" t="n">
        <f aca="false">N('KNOWIFY PHASES'!E35)</f>
        <v>0</v>
      </c>
      <c r="AO35" s="7" t="n">
        <f aca="false">MAX(AE35,AF35)</f>
        <v>30000</v>
      </c>
      <c r="AP35" s="7" t="n">
        <f aca="false">MAX(AG35,AH35)</f>
        <v>0</v>
      </c>
      <c r="AQ35" s="7" t="n">
        <f aca="false">MAX(AI35,AJ35)</f>
        <v>0</v>
      </c>
      <c r="AR35" s="7" t="n">
        <f aca="false">MAX(AK35,AL35)</f>
        <v>0</v>
      </c>
      <c r="AT35" s="7" t="str">
        <f aca="false">IF('KNOWIFY TIME'!B35="","",'KNOWIFY TIME'!B35)</f>
        <v>Journeyman Lvl 2</v>
      </c>
      <c r="AU35" s="7" t="n">
        <f aca="false">IF(AT35="",0,IF(ISNUMBER('KNOWIFY TIME'!D35),'KNOWIFY TIME'!D35*24,IFERROR(VALUE(LEFT('KNOWIFY TIME'!D35,FIND(":",'KNOWIFY TIME'!D35)-1))+VALUE(MID('KNOWIFY TIME'!D35,FIND(":",'KNOWIFY TIME'!D35)+1,2))/60,0)))</f>
        <v>810</v>
      </c>
      <c r="AV35" s="7" t="n">
        <f aca="false">N('KNOWIFY TIME'!E35)</f>
        <v>49501.04</v>
      </c>
      <c r="AW35" s="7" t="str">
        <f aca="false">IF(AT35="","",IFERROR(INDEX($BD$5:$BD$60,MATCH(AT35,$BC$5:$BC$60,0)),"Unmapped"))</f>
        <v>Journeyman Lvl 1-2</v>
      </c>
      <c r="AZ35" s="10"/>
      <c r="BA35" s="10"/>
      <c r="BC35" s="10"/>
      <c r="BD35" s="10"/>
    </row>
    <row r="36" customFormat="false" ht="15" hidden="false" customHeight="false" outlineLevel="0" collapsed="false">
      <c r="B36" s="24" t="str">
        <f aca="false">"H  "&amp;INPUTS!$B$68</f>
        <v>H  02 Foundation &amp; Underground</v>
      </c>
      <c r="C36" s="13" t="n">
        <f aca="false">COUNTIFS('KNOWIFY REVIEW'!$AB$4:$AB$400,"H",'KNOWIFY REVIEW'!$AC$4:$AC$400,INPUTS!$B$68,'KNOWIFY REVIEW'!$AD$4:$AD$400,1)</f>
        <v>0</v>
      </c>
      <c r="D36" s="28" t="n">
        <f aca="false">SUMIFS('KNOWIFY REVIEW'!$AE$4:$AE$400,'KNOWIFY REVIEW'!$AB$4:$AB$400,"H",'KNOWIFY REVIEW'!$AC$4:$AC$400,INPUTS!$B$68,'KNOWIFY REVIEW'!$AD$4:$AD$400,1)</f>
        <v>0</v>
      </c>
      <c r="E36" s="28" t="n">
        <f aca="false">SUMIFS('KNOWIFY REVIEW'!$AF$4:$AF$400,'KNOWIFY REVIEW'!$AB$4:$AB$400,"H",'KNOWIFY REVIEW'!$AC$4:$AC$400,INPUTS!$B$68,'KNOWIFY REVIEW'!$AD$4:$AD$400,1)</f>
        <v>0</v>
      </c>
      <c r="F36" s="43" t="str">
        <f aca="false">IFERROR(E36/D36,"")</f>
        <v/>
      </c>
      <c r="G36" s="28" t="n">
        <f aca="false">SUMIFS('KNOWIFY REVIEW'!$AG$4:$AG$400,'KNOWIFY REVIEW'!$AB$4:$AB$400,"H",'KNOWIFY REVIEW'!$AC$4:$AC$400,INPUTS!$B$68,'KNOWIFY REVIEW'!$AD$4:$AD$400,1)</f>
        <v>0</v>
      </c>
      <c r="H36" s="28" t="n">
        <f aca="false">SUMIFS('KNOWIFY REVIEW'!$AH$4:$AH$400,'KNOWIFY REVIEW'!$AB$4:$AB$400,"H",'KNOWIFY REVIEW'!$AC$4:$AC$400,INPUTS!$B$68,'KNOWIFY REVIEW'!$AD$4:$AD$400,1)</f>
        <v>0</v>
      </c>
      <c r="I36" s="43" t="str">
        <f aca="false">IFERROR(H36/G36,"")</f>
        <v/>
      </c>
      <c r="J36" s="13" t="n">
        <f aca="false">IFERROR(E36/'KNOWIFY REVIEW'!$E$72,0)</f>
        <v>0</v>
      </c>
      <c r="AA36" s="7" t="str">
        <f aca="false">IF('KNOWIFY PHASES'!A36="","",'KNOWIFY PHASES'!A36)</f>
        <v>P - BLDG B - L5 Plumbing Finishing (Labour)</v>
      </c>
      <c r="AB36" s="7" t="str">
        <f aca="false">IF(AA36="","",IF(LEFT(AA36,4)="P - ","P",IF(LEFT(AA36,4)="H - ","H",IF(LEFT(AA36,5)="AC - ","AC",IF(OR(LEFT(AA36,4)="V - ",LEFT(AA36,7)="HVAC - "),"V","Other")))))</f>
        <v>P</v>
      </c>
      <c r="AC36" s="7" t="str">
        <f aca="false">IF(AA36="","",IFERROR(LOOKUP(2,1/(($AZ$5:$AZ$60&lt;&gt;"")*ISNUMBER(SEARCH($AZ$5:$AZ$60,AA36))),$BA$5:$BA$60),IF(AB36="Other","Excluded","Unmapped")))</f>
        <v>04 Finishing (Labour)</v>
      </c>
      <c r="AD36" s="7" t="n">
        <f aca="false">IF(AA36="","",IF(AND(AB36&lt;&gt;"Other",OR(AND('KNOWIFY PHASES'!B36="Closed",N('KNOWIFY PHASES'!D36)&gt;=0.5),N('KNOWIFY PHASES'!D36)&gt;=1)),1,0))</f>
        <v>0</v>
      </c>
      <c r="AE36" s="7" t="n">
        <f aca="false">N('KNOWIFY PHASES'!L36)</f>
        <v>30000</v>
      </c>
      <c r="AF36" s="7" t="n">
        <f aca="false">N('KNOWIFY PHASES'!K36)</f>
        <v>0</v>
      </c>
      <c r="AG36" s="7" t="n">
        <f aca="false">N('KNOWIFY PHASES'!I36)</f>
        <v>0</v>
      </c>
      <c r="AH36" s="7" t="n">
        <f aca="false">N('KNOWIFY PHASES'!H36)</f>
        <v>0</v>
      </c>
      <c r="AI36" s="7" t="n">
        <f aca="false">N('KNOWIFY PHASES'!O36)</f>
        <v>0</v>
      </c>
      <c r="AJ36" s="7" t="n">
        <f aca="false">N('KNOWIFY PHASES'!N36)</f>
        <v>0</v>
      </c>
      <c r="AK36" s="7" t="n">
        <f aca="false">N('KNOWIFY PHASES'!R36)</f>
        <v>0</v>
      </c>
      <c r="AL36" s="7" t="n">
        <f aca="false">N('KNOWIFY PHASES'!Q36)</f>
        <v>0</v>
      </c>
      <c r="AM36" s="7" t="n">
        <f aca="false">N('KNOWIFY PHASES'!F36)</f>
        <v>30000</v>
      </c>
      <c r="AN36" s="7" t="n">
        <f aca="false">N('KNOWIFY PHASES'!E36)</f>
        <v>0</v>
      </c>
      <c r="AO36" s="7" t="n">
        <f aca="false">MAX(AE36,AF36)</f>
        <v>30000</v>
      </c>
      <c r="AP36" s="7" t="n">
        <f aca="false">MAX(AG36,AH36)</f>
        <v>0</v>
      </c>
      <c r="AQ36" s="7" t="n">
        <f aca="false">MAX(AI36,AJ36)</f>
        <v>0</v>
      </c>
      <c r="AR36" s="7" t="n">
        <f aca="false">MAX(AK36,AL36)</f>
        <v>0</v>
      </c>
      <c r="AT36" s="7" t="str">
        <f aca="false">IF('KNOWIFY TIME'!B36="","",'KNOWIFY TIME'!B36)</f>
        <v>Journeyman Lvl 2</v>
      </c>
      <c r="AU36" s="7" t="n">
        <f aca="false">IF(AT36="",0,IF(ISNUMBER('KNOWIFY TIME'!D36),'KNOWIFY TIME'!D36*24,IFERROR(VALUE(LEFT('KNOWIFY TIME'!D36,FIND(":",'KNOWIFY TIME'!D36)-1))+VALUE(MID('KNOWIFY TIME'!D36,FIND(":",'KNOWIFY TIME'!D36)+1,2))/60,0)))</f>
        <v>419.5</v>
      </c>
      <c r="AV36" s="7" t="n">
        <f aca="false">N('KNOWIFY TIME'!E36)</f>
        <v>28117.47</v>
      </c>
      <c r="AW36" s="7" t="str">
        <f aca="false">IF(AT36="","",IFERROR(INDEX($BD$5:$BD$60,MATCH(AT36,$BC$5:$BC$60,0)),"Unmapped"))</f>
        <v>Journeyman Lvl 1-2</v>
      </c>
      <c r="AZ36" s="10"/>
      <c r="BA36" s="10"/>
      <c r="BC36" s="10"/>
      <c r="BD36" s="10"/>
    </row>
    <row r="37" customFormat="false" ht="15" hidden="false" customHeight="false" outlineLevel="0" collapsed="false">
      <c r="B37" s="24" t="str">
        <f aca="false">"H  "&amp;INPUTS!$B$69</f>
        <v>H  03 Rough-in (Labour)</v>
      </c>
      <c r="C37" s="13" t="n">
        <f aca="false">COUNTIFS('KNOWIFY REVIEW'!$AB$4:$AB$400,"H",'KNOWIFY REVIEW'!$AC$4:$AC$400,INPUTS!$B$69,'KNOWIFY REVIEW'!$AD$4:$AD$400,1)</f>
        <v>0</v>
      </c>
      <c r="D37" s="28" t="n">
        <f aca="false">SUMIFS('KNOWIFY REVIEW'!$AE$4:$AE$400,'KNOWIFY REVIEW'!$AB$4:$AB$400,"H",'KNOWIFY REVIEW'!$AC$4:$AC$400,INPUTS!$B$69,'KNOWIFY REVIEW'!$AD$4:$AD$400,1)</f>
        <v>0</v>
      </c>
      <c r="E37" s="28" t="n">
        <f aca="false">SUMIFS('KNOWIFY REVIEW'!$AF$4:$AF$400,'KNOWIFY REVIEW'!$AB$4:$AB$400,"H",'KNOWIFY REVIEW'!$AC$4:$AC$400,INPUTS!$B$69,'KNOWIFY REVIEW'!$AD$4:$AD$400,1)</f>
        <v>0</v>
      </c>
      <c r="F37" s="43" t="str">
        <f aca="false">IFERROR(E37/D37,"")</f>
        <v/>
      </c>
      <c r="G37" s="28" t="n">
        <f aca="false">SUMIFS('KNOWIFY REVIEW'!$AG$4:$AG$400,'KNOWIFY REVIEW'!$AB$4:$AB$400,"H",'KNOWIFY REVIEW'!$AC$4:$AC$400,INPUTS!$B$69,'KNOWIFY REVIEW'!$AD$4:$AD$400,1)</f>
        <v>0</v>
      </c>
      <c r="H37" s="28" t="n">
        <f aca="false">SUMIFS('KNOWIFY REVIEW'!$AH$4:$AH$400,'KNOWIFY REVIEW'!$AB$4:$AB$400,"H",'KNOWIFY REVIEW'!$AC$4:$AC$400,INPUTS!$B$69,'KNOWIFY REVIEW'!$AD$4:$AD$400,1)</f>
        <v>0</v>
      </c>
      <c r="I37" s="43" t="str">
        <f aca="false">IFERROR(H37/G37,"")</f>
        <v/>
      </c>
      <c r="J37" s="13" t="n">
        <f aca="false">IFERROR(E37/'KNOWIFY REVIEW'!$E$72,0)</f>
        <v>0</v>
      </c>
      <c r="AA37" s="7" t="str">
        <f aca="false">IF('KNOWIFY PHASES'!A37="","",'KNOWIFY PHASES'!A37)</f>
        <v>P - BLDG B - L6 Plumbing Finishing (Labour)</v>
      </c>
      <c r="AB37" s="7" t="str">
        <f aca="false">IF(AA37="","",IF(LEFT(AA37,4)="P - ","P",IF(LEFT(AA37,4)="H - ","H",IF(LEFT(AA37,5)="AC - ","AC",IF(OR(LEFT(AA37,4)="V - ",LEFT(AA37,7)="HVAC - "),"V","Other")))))</f>
        <v>P</v>
      </c>
      <c r="AC37" s="7" t="str">
        <f aca="false">IF(AA37="","",IFERROR(LOOKUP(2,1/(($AZ$5:$AZ$60&lt;&gt;"")*ISNUMBER(SEARCH($AZ$5:$AZ$60,AA37))),$BA$5:$BA$60),IF(AB37="Other","Excluded","Unmapped")))</f>
        <v>04 Finishing (Labour)</v>
      </c>
      <c r="AD37" s="7" t="n">
        <f aca="false">IF(AA37="","",IF(AND(AB37&lt;&gt;"Other",OR(AND('KNOWIFY PHASES'!B37="Closed",N('KNOWIFY PHASES'!D37)&gt;=0.5),N('KNOWIFY PHASES'!D37)&gt;=1)),1,0))</f>
        <v>0</v>
      </c>
      <c r="AE37" s="7" t="n">
        <f aca="false">N('KNOWIFY PHASES'!L37)</f>
        <v>30000</v>
      </c>
      <c r="AF37" s="7" t="n">
        <f aca="false">N('KNOWIFY PHASES'!K37)</f>
        <v>0</v>
      </c>
      <c r="AG37" s="7" t="n">
        <f aca="false">N('KNOWIFY PHASES'!I37)</f>
        <v>0</v>
      </c>
      <c r="AH37" s="7" t="n">
        <f aca="false">N('KNOWIFY PHASES'!H37)</f>
        <v>0</v>
      </c>
      <c r="AI37" s="7" t="n">
        <f aca="false">N('KNOWIFY PHASES'!O37)</f>
        <v>0</v>
      </c>
      <c r="AJ37" s="7" t="n">
        <f aca="false">N('KNOWIFY PHASES'!N37)</f>
        <v>0</v>
      </c>
      <c r="AK37" s="7" t="n">
        <f aca="false">N('KNOWIFY PHASES'!R37)</f>
        <v>0</v>
      </c>
      <c r="AL37" s="7" t="n">
        <f aca="false">N('KNOWIFY PHASES'!Q37)</f>
        <v>0</v>
      </c>
      <c r="AM37" s="7" t="n">
        <f aca="false">N('KNOWIFY PHASES'!F37)</f>
        <v>30000</v>
      </c>
      <c r="AN37" s="7" t="n">
        <f aca="false">N('KNOWIFY PHASES'!E37)</f>
        <v>0</v>
      </c>
      <c r="AO37" s="7" t="n">
        <f aca="false">MAX(AE37,AF37)</f>
        <v>30000</v>
      </c>
      <c r="AP37" s="7" t="n">
        <f aca="false">MAX(AG37,AH37)</f>
        <v>0</v>
      </c>
      <c r="AQ37" s="7" t="n">
        <f aca="false">MAX(AI37,AJ37)</f>
        <v>0</v>
      </c>
      <c r="AR37" s="7" t="n">
        <f aca="false">MAX(AK37,AL37)</f>
        <v>0</v>
      </c>
      <c r="AT37" s="7" t="str">
        <f aca="false">IF('KNOWIFY TIME'!B37="","",'KNOWIFY TIME'!B37)</f>
        <v>Apprentice Lvl 3</v>
      </c>
      <c r="AU37" s="7" t="n">
        <f aca="false">IF(AT37="",0,IF(ISNUMBER('KNOWIFY TIME'!D37),'KNOWIFY TIME'!D37*24,IFERROR(VALUE(LEFT('KNOWIFY TIME'!D37,FIND(":",'KNOWIFY TIME'!D37)-1))+VALUE(MID('KNOWIFY TIME'!D37,FIND(":",'KNOWIFY TIME'!D37)+1,2))/60,0)))</f>
        <v>16.0833333333333</v>
      </c>
      <c r="AV37" s="7" t="n">
        <f aca="false">N('KNOWIFY TIME'!E37)</f>
        <v>799.66</v>
      </c>
      <c r="AW37" s="7" t="str">
        <f aca="false">IF(AT37="","",IFERROR(INDEX($BD$5:$BD$60,MATCH(AT37,$BC$5:$BC$60,0)),"Unmapped"))</f>
        <v>Apprentice Lvl 3-6</v>
      </c>
      <c r="AZ37" s="10"/>
      <c r="BA37" s="10"/>
      <c r="BC37" s="10"/>
      <c r="BD37" s="10"/>
    </row>
    <row r="38" customFormat="false" ht="15" hidden="false" customHeight="false" outlineLevel="0" collapsed="false">
      <c r="B38" s="24" t="str">
        <f aca="false">"H  "&amp;INPUTS!$B$70</f>
        <v>H  04 Finishing (Labour)</v>
      </c>
      <c r="C38" s="13" t="n">
        <f aca="false">COUNTIFS('KNOWIFY REVIEW'!$AB$4:$AB$400,"H",'KNOWIFY REVIEW'!$AC$4:$AC$400,INPUTS!$B$70,'KNOWIFY REVIEW'!$AD$4:$AD$400,1)</f>
        <v>0</v>
      </c>
      <c r="D38" s="28" t="n">
        <f aca="false">SUMIFS('KNOWIFY REVIEW'!$AE$4:$AE$400,'KNOWIFY REVIEW'!$AB$4:$AB$400,"H",'KNOWIFY REVIEW'!$AC$4:$AC$400,INPUTS!$B$70,'KNOWIFY REVIEW'!$AD$4:$AD$400,1)</f>
        <v>0</v>
      </c>
      <c r="E38" s="28" t="n">
        <f aca="false">SUMIFS('KNOWIFY REVIEW'!$AF$4:$AF$400,'KNOWIFY REVIEW'!$AB$4:$AB$400,"H",'KNOWIFY REVIEW'!$AC$4:$AC$400,INPUTS!$B$70,'KNOWIFY REVIEW'!$AD$4:$AD$400,1)</f>
        <v>0</v>
      </c>
      <c r="F38" s="43" t="str">
        <f aca="false">IFERROR(E38/D38,"")</f>
        <v/>
      </c>
      <c r="G38" s="28" t="n">
        <f aca="false">SUMIFS('KNOWIFY REVIEW'!$AG$4:$AG$400,'KNOWIFY REVIEW'!$AB$4:$AB$400,"H",'KNOWIFY REVIEW'!$AC$4:$AC$400,INPUTS!$B$70,'KNOWIFY REVIEW'!$AD$4:$AD$400,1)</f>
        <v>0</v>
      </c>
      <c r="H38" s="28" t="n">
        <f aca="false">SUMIFS('KNOWIFY REVIEW'!$AH$4:$AH$400,'KNOWIFY REVIEW'!$AB$4:$AB$400,"H",'KNOWIFY REVIEW'!$AC$4:$AC$400,INPUTS!$B$70,'KNOWIFY REVIEW'!$AD$4:$AD$400,1)</f>
        <v>0</v>
      </c>
      <c r="I38" s="43" t="str">
        <f aca="false">IFERROR(H38/G38,"")</f>
        <v/>
      </c>
      <c r="J38" s="13" t="n">
        <f aca="false">IFERROR(E38/'KNOWIFY REVIEW'!$E$72,0)</f>
        <v>0</v>
      </c>
      <c r="AA38" s="7" t="str">
        <f aca="false">IF('KNOWIFY PHASES'!A38="","",'KNOWIFY PHASES'!A38)</f>
        <v>P - Mech Room &amp; Equipment Supply</v>
      </c>
      <c r="AB38" s="7" t="str">
        <f aca="false">IF(AA38="","",IF(LEFT(AA38,4)="P - ","P",IF(LEFT(AA38,4)="H - ","H",IF(LEFT(AA38,5)="AC - ","AC",IF(OR(LEFT(AA38,4)="V - ",LEFT(AA38,7)="HVAC - "),"V","Other")))))</f>
        <v>P</v>
      </c>
      <c r="AC38" s="7" t="str">
        <f aca="false">IF(AA38="","",IFERROR(LOOKUP(2,1/(($AZ$5:$AZ$60&lt;&gt;"")*ISNUMBER(SEARCH($AZ$5:$AZ$60,AA38))),$BA$5:$BA$60),IF(AB38="Other","Excluded","Unmapped")))</f>
        <v>06 Fixtures &amp; Equipment Supply</v>
      </c>
      <c r="AD38" s="7" t="n">
        <f aca="false">IF(AA38="","",IF(AND(AB38&lt;&gt;"Other",OR(AND('KNOWIFY PHASES'!B38="Closed",N('KNOWIFY PHASES'!D38)&gt;=0.5),N('KNOWIFY PHASES'!D38)&gt;=1)),1,0))</f>
        <v>0</v>
      </c>
      <c r="AE38" s="7" t="n">
        <f aca="false">N('KNOWIFY PHASES'!L38)</f>
        <v>0</v>
      </c>
      <c r="AF38" s="7" t="n">
        <f aca="false">N('KNOWIFY PHASES'!K38)</f>
        <v>0</v>
      </c>
      <c r="AG38" s="7" t="n">
        <f aca="false">N('KNOWIFY PHASES'!I38)</f>
        <v>760000</v>
      </c>
      <c r="AH38" s="7" t="n">
        <f aca="false">N('KNOWIFY PHASES'!H38)</f>
        <v>309140.5</v>
      </c>
      <c r="AI38" s="7" t="n">
        <f aca="false">N('KNOWIFY PHASES'!O38)</f>
        <v>0</v>
      </c>
      <c r="AJ38" s="7" t="n">
        <f aca="false">N('KNOWIFY PHASES'!N38)</f>
        <v>0</v>
      </c>
      <c r="AK38" s="7" t="n">
        <f aca="false">N('KNOWIFY PHASES'!R38)</f>
        <v>0</v>
      </c>
      <c r="AL38" s="7" t="n">
        <f aca="false">N('KNOWIFY PHASES'!Q38)</f>
        <v>0</v>
      </c>
      <c r="AM38" s="7" t="n">
        <f aca="false">N('KNOWIFY PHASES'!F38)</f>
        <v>760000</v>
      </c>
      <c r="AN38" s="7" t="n">
        <f aca="false">N('KNOWIFY PHASES'!E38)</f>
        <v>309140.5</v>
      </c>
      <c r="AO38" s="7" t="n">
        <f aca="false">MAX(AE38,AF38)</f>
        <v>0</v>
      </c>
      <c r="AP38" s="7" t="n">
        <f aca="false">MAX(AG38,AH38)</f>
        <v>760000</v>
      </c>
      <c r="AQ38" s="7" t="n">
        <f aca="false">MAX(AI38,AJ38)</f>
        <v>0</v>
      </c>
      <c r="AR38" s="7" t="n">
        <f aca="false">MAX(AK38,AL38)</f>
        <v>0</v>
      </c>
      <c r="AT38" s="7" t="str">
        <f aca="false">IF('KNOWIFY TIME'!B38="","",'KNOWIFY TIME'!B38)</f>
        <v>Apprentice Lvl 8</v>
      </c>
      <c r="AU38" s="7" t="n">
        <f aca="false">IF(AT38="",0,IF(ISNUMBER('KNOWIFY TIME'!D38),'KNOWIFY TIME'!D38*24,IFERROR(VALUE(LEFT('KNOWIFY TIME'!D38,FIND(":",'KNOWIFY TIME'!D38)-1))+VALUE(MID('KNOWIFY TIME'!D38,FIND(":",'KNOWIFY TIME'!D38)+1,2))/60,0)))</f>
        <v>1233.83333333333</v>
      </c>
      <c r="AV38" s="7" t="n">
        <f aca="false">N('KNOWIFY TIME'!E38)</f>
        <v>64611.83</v>
      </c>
      <c r="AW38" s="7" t="str">
        <f aca="false">IF(AT38="","",IFERROR(INDEX($BD$5:$BD$60,MATCH(AT38,$BC$5:$BC$60,0)),"Unmapped"))</f>
        <v>Apprentice Lvl 7-8</v>
      </c>
      <c r="AZ38" s="10"/>
      <c r="BA38" s="10"/>
      <c r="BC38" s="10"/>
      <c r="BD38" s="10"/>
    </row>
    <row r="39" customFormat="false" ht="15" hidden="false" customHeight="false" outlineLevel="0" collapsed="false">
      <c r="B39" s="24" t="str">
        <f aca="false">"H  "&amp;INPUTS!$B$71</f>
        <v>H  05 Material Supply</v>
      </c>
      <c r="C39" s="13" t="n">
        <f aca="false">COUNTIFS('KNOWIFY REVIEW'!$AB$4:$AB$400,"H",'KNOWIFY REVIEW'!$AC$4:$AC$400,INPUTS!$B$71,'KNOWIFY REVIEW'!$AD$4:$AD$400,1)</f>
        <v>0</v>
      </c>
      <c r="D39" s="28" t="n">
        <f aca="false">SUMIFS('KNOWIFY REVIEW'!$AE$4:$AE$400,'KNOWIFY REVIEW'!$AB$4:$AB$400,"H",'KNOWIFY REVIEW'!$AC$4:$AC$400,INPUTS!$B$71,'KNOWIFY REVIEW'!$AD$4:$AD$400,1)</f>
        <v>0</v>
      </c>
      <c r="E39" s="28" t="n">
        <f aca="false">SUMIFS('KNOWIFY REVIEW'!$AF$4:$AF$400,'KNOWIFY REVIEW'!$AB$4:$AB$400,"H",'KNOWIFY REVIEW'!$AC$4:$AC$400,INPUTS!$B$71,'KNOWIFY REVIEW'!$AD$4:$AD$400,1)</f>
        <v>0</v>
      </c>
      <c r="F39" s="43" t="str">
        <f aca="false">IFERROR(E39/D39,"")</f>
        <v/>
      </c>
      <c r="G39" s="28" t="n">
        <f aca="false">SUMIFS('KNOWIFY REVIEW'!$AG$4:$AG$400,'KNOWIFY REVIEW'!$AB$4:$AB$400,"H",'KNOWIFY REVIEW'!$AC$4:$AC$400,INPUTS!$B$71,'KNOWIFY REVIEW'!$AD$4:$AD$400,1)</f>
        <v>0</v>
      </c>
      <c r="H39" s="28" t="n">
        <f aca="false">SUMIFS('KNOWIFY REVIEW'!$AH$4:$AH$400,'KNOWIFY REVIEW'!$AB$4:$AB$400,"H",'KNOWIFY REVIEW'!$AC$4:$AC$400,INPUTS!$B$71,'KNOWIFY REVIEW'!$AD$4:$AD$400,1)</f>
        <v>0</v>
      </c>
      <c r="I39" s="43" t="str">
        <f aca="false">IFERROR(H39/G39,"")</f>
        <v/>
      </c>
      <c r="J39" s="13" t="n">
        <f aca="false">IFERROR(E39/'KNOWIFY REVIEW'!$E$72,0)</f>
        <v>0</v>
      </c>
      <c r="AA39" s="7" t="str">
        <f aca="false">IF('KNOWIFY PHASES'!A39="","",'KNOWIFY PHASES'!A39)</f>
        <v>P - Insulation and Heat Trace</v>
      </c>
      <c r="AB39" s="7" t="str">
        <f aca="false">IF(AA39="","",IF(LEFT(AA39,4)="P - ","P",IF(LEFT(AA39,4)="H - ","H",IF(LEFT(AA39,5)="AC - ","AC",IF(OR(LEFT(AA39,4)="V - ",LEFT(AA39,7)="HVAC - "),"V","Other")))))</f>
        <v>P</v>
      </c>
      <c r="AC39" s="7" t="str">
        <f aca="false">IF(AA39="","",IFERROR(LOOKUP(2,1/(($AZ$5:$AZ$60&lt;&gt;"")*ISNUMBER(SEARCH($AZ$5:$AZ$60,AA39))),$BA$5:$BA$60),IF(AB39="Other","Excluded","Unmapped")))</f>
        <v>03 Rough-in (Labour)</v>
      </c>
      <c r="AD39" s="7" t="n">
        <f aca="false">IF(AA39="","",IF(AND(AB39&lt;&gt;"Other",OR(AND('KNOWIFY PHASES'!B39="Closed",N('KNOWIFY PHASES'!D39)&gt;=0.5),N('KNOWIFY PHASES'!D39)&gt;=1)),1,0))</f>
        <v>0</v>
      </c>
      <c r="AE39" s="7" t="n">
        <f aca="false">N('KNOWIFY PHASES'!L39)</f>
        <v>0</v>
      </c>
      <c r="AF39" s="7" t="n">
        <f aca="false">N('KNOWIFY PHASES'!K39)</f>
        <v>0</v>
      </c>
      <c r="AG39" s="7" t="n">
        <f aca="false">N('KNOWIFY PHASES'!I39)</f>
        <v>0</v>
      </c>
      <c r="AH39" s="7" t="n">
        <f aca="false">N('KNOWIFY PHASES'!H39)</f>
        <v>0</v>
      </c>
      <c r="AI39" s="7" t="n">
        <f aca="false">N('KNOWIFY PHASES'!O39)</f>
        <v>490000</v>
      </c>
      <c r="AJ39" s="7" t="n">
        <f aca="false">N('KNOWIFY PHASES'!N39)</f>
        <v>248585.15</v>
      </c>
      <c r="AK39" s="7" t="n">
        <f aca="false">N('KNOWIFY PHASES'!R39)</f>
        <v>0</v>
      </c>
      <c r="AL39" s="7" t="n">
        <f aca="false">N('KNOWIFY PHASES'!Q39)</f>
        <v>0</v>
      </c>
      <c r="AM39" s="7" t="n">
        <f aca="false">N('KNOWIFY PHASES'!F39)</f>
        <v>490000</v>
      </c>
      <c r="AN39" s="7" t="n">
        <f aca="false">N('KNOWIFY PHASES'!E39)</f>
        <v>248585.15</v>
      </c>
      <c r="AO39" s="7" t="n">
        <f aca="false">MAX(AE39,AF39)</f>
        <v>0</v>
      </c>
      <c r="AP39" s="7" t="n">
        <f aca="false">MAX(AG39,AH39)</f>
        <v>0</v>
      </c>
      <c r="AQ39" s="7" t="n">
        <f aca="false">MAX(AI39,AJ39)</f>
        <v>490000</v>
      </c>
      <c r="AR39" s="7" t="n">
        <f aca="false">MAX(AK39,AL39)</f>
        <v>0</v>
      </c>
      <c r="AT39" s="7" t="str">
        <f aca="false">IF('KNOWIFY TIME'!B39="","",'KNOWIFY TIME'!B39)</f>
        <v>Apprentice Lvl 1</v>
      </c>
      <c r="AU39" s="7" t="n">
        <f aca="false">IF(AT39="",0,IF(ISNUMBER('KNOWIFY TIME'!D39),'KNOWIFY TIME'!D39*24,IFERROR(VALUE(LEFT('KNOWIFY TIME'!D39,FIND(":",'KNOWIFY TIME'!D39)-1))+VALUE(MID('KNOWIFY TIME'!D39,FIND(":",'KNOWIFY TIME'!D39)+1,2))/60,0)))</f>
        <v>742</v>
      </c>
      <c r="AV39" s="7" t="n">
        <f aca="false">N('KNOWIFY TIME'!E39)</f>
        <v>23704.44</v>
      </c>
      <c r="AW39" s="7" t="str">
        <f aca="false">IF(AT39="","",IFERROR(INDEX($BD$5:$BD$60,MATCH(AT39,$BC$5:$BC$60,0)),"Unmapped"))</f>
        <v>Apprentice Lvl 1-2</v>
      </c>
      <c r="AZ39" s="10"/>
      <c r="BA39" s="10"/>
      <c r="BC39" s="10"/>
      <c r="BD39" s="10"/>
    </row>
    <row r="40" customFormat="false" ht="15" hidden="false" customHeight="false" outlineLevel="0" collapsed="false">
      <c r="B40" s="24" t="str">
        <f aca="false">"H  "&amp;INPUTS!$B$72</f>
        <v>H  06 Fixtures &amp; Equipment Supply</v>
      </c>
      <c r="C40" s="13" t="n">
        <f aca="false">COUNTIFS('KNOWIFY REVIEW'!$AB$4:$AB$400,"H",'KNOWIFY REVIEW'!$AC$4:$AC$400,INPUTS!$B$72,'KNOWIFY REVIEW'!$AD$4:$AD$400,1)</f>
        <v>0</v>
      </c>
      <c r="D40" s="28" t="n">
        <f aca="false">SUMIFS('KNOWIFY REVIEW'!$AE$4:$AE$400,'KNOWIFY REVIEW'!$AB$4:$AB$400,"H",'KNOWIFY REVIEW'!$AC$4:$AC$400,INPUTS!$B$72,'KNOWIFY REVIEW'!$AD$4:$AD$400,1)</f>
        <v>0</v>
      </c>
      <c r="E40" s="28" t="n">
        <f aca="false">SUMIFS('KNOWIFY REVIEW'!$AF$4:$AF$400,'KNOWIFY REVIEW'!$AB$4:$AB$400,"H",'KNOWIFY REVIEW'!$AC$4:$AC$400,INPUTS!$B$72,'KNOWIFY REVIEW'!$AD$4:$AD$400,1)</f>
        <v>0</v>
      </c>
      <c r="F40" s="43" t="str">
        <f aca="false">IFERROR(E40/D40,"")</f>
        <v/>
      </c>
      <c r="G40" s="28" t="n">
        <f aca="false">SUMIFS('KNOWIFY REVIEW'!$AG$4:$AG$400,'KNOWIFY REVIEW'!$AB$4:$AB$400,"H",'KNOWIFY REVIEW'!$AC$4:$AC$400,INPUTS!$B$72,'KNOWIFY REVIEW'!$AD$4:$AD$400,1)</f>
        <v>0</v>
      </c>
      <c r="H40" s="28" t="n">
        <f aca="false">SUMIFS('KNOWIFY REVIEW'!$AH$4:$AH$400,'KNOWIFY REVIEW'!$AB$4:$AB$400,"H",'KNOWIFY REVIEW'!$AC$4:$AC$400,INPUTS!$B$72,'KNOWIFY REVIEW'!$AD$4:$AD$400,1)</f>
        <v>0</v>
      </c>
      <c r="I40" s="43" t="str">
        <f aca="false">IFERROR(H40/G40,"")</f>
        <v/>
      </c>
      <c r="J40" s="13" t="n">
        <f aca="false">IFERROR(E40/'KNOWIFY REVIEW'!$E$72,0)</f>
        <v>0</v>
      </c>
      <c r="AA40" s="7" t="str">
        <f aca="false">IF('KNOWIFY PHASES'!A40="","",'KNOWIFY PHASES'!A40)</f>
        <v>P - Permits</v>
      </c>
      <c r="AB40" s="7" t="str">
        <f aca="false">IF(AA40="","",IF(LEFT(AA40,4)="P - ","P",IF(LEFT(AA40,4)="H - ","H",IF(LEFT(AA40,5)="AC - ","AC",IF(OR(LEFT(AA40,4)="V - ",LEFT(AA40,7)="HVAC - "),"V","Other")))))</f>
        <v>P</v>
      </c>
      <c r="AC40" s="7" t="str">
        <f aca="false">IF(AA40="","",IFERROR(LOOKUP(2,1/(($AZ$5:$AZ$60&lt;&gt;"")*ISNUMBER(SEARCH($AZ$5:$AZ$60,AA40))),$BA$5:$BA$60),IF(AB40="Other","Excluded","Unmapped")))</f>
        <v>01 Shop Drawings, Permits &amp; Mobilization</v>
      </c>
      <c r="AD40" s="7" t="n">
        <f aca="false">IF(AA40="","",IF(AND(AB40&lt;&gt;"Other",OR(AND('KNOWIFY PHASES'!B40="Closed",N('KNOWIFY PHASES'!D40)&gt;=0.5),N('KNOWIFY PHASES'!D40)&gt;=1)),1,0))</f>
        <v>0</v>
      </c>
      <c r="AE40" s="7" t="n">
        <f aca="false">N('KNOWIFY PHASES'!L40)</f>
        <v>0</v>
      </c>
      <c r="AF40" s="7" t="n">
        <f aca="false">N('KNOWIFY PHASES'!K40)</f>
        <v>0</v>
      </c>
      <c r="AG40" s="7" t="n">
        <f aca="false">N('KNOWIFY PHASES'!I40)</f>
        <v>45000</v>
      </c>
      <c r="AH40" s="7" t="n">
        <f aca="false">N('KNOWIFY PHASES'!H40)</f>
        <v>44966.8</v>
      </c>
      <c r="AI40" s="7" t="n">
        <f aca="false">N('KNOWIFY PHASES'!O40)</f>
        <v>0</v>
      </c>
      <c r="AJ40" s="7" t="n">
        <f aca="false">N('KNOWIFY PHASES'!N40)</f>
        <v>0</v>
      </c>
      <c r="AK40" s="7" t="n">
        <f aca="false">N('KNOWIFY PHASES'!R40)</f>
        <v>0</v>
      </c>
      <c r="AL40" s="7" t="n">
        <f aca="false">N('KNOWIFY PHASES'!Q40)</f>
        <v>0</v>
      </c>
      <c r="AM40" s="7" t="n">
        <f aca="false">N('KNOWIFY PHASES'!F40)</f>
        <v>45000</v>
      </c>
      <c r="AN40" s="7" t="n">
        <f aca="false">N('KNOWIFY PHASES'!E40)</f>
        <v>44966.8</v>
      </c>
      <c r="AO40" s="7" t="n">
        <f aca="false">MAX(AE40,AF40)</f>
        <v>0</v>
      </c>
      <c r="AP40" s="7" t="n">
        <f aca="false">MAX(AG40,AH40)</f>
        <v>45000</v>
      </c>
      <c r="AQ40" s="7" t="n">
        <f aca="false">MAX(AI40,AJ40)</f>
        <v>0</v>
      </c>
      <c r="AR40" s="7" t="n">
        <f aca="false">MAX(AK40,AL40)</f>
        <v>0</v>
      </c>
      <c r="AT40" s="7" t="str">
        <f aca="false">IF('KNOWIFY TIME'!B40="","",'KNOWIFY TIME'!B40)</f>
        <v>Apprentice Lvl 3</v>
      </c>
      <c r="AU40" s="7" t="n">
        <f aca="false">IF(AT40="",0,IF(ISNUMBER('KNOWIFY TIME'!D40),'KNOWIFY TIME'!D40*24,IFERROR(VALUE(LEFT('KNOWIFY TIME'!D40,FIND(":",'KNOWIFY TIME'!D40)-1))+VALUE(MID('KNOWIFY TIME'!D40,FIND(":",'KNOWIFY TIME'!D40)+1,2))/60,0)))</f>
        <v>179.5</v>
      </c>
      <c r="AV40" s="7" t="n">
        <f aca="false">N('KNOWIFY TIME'!E40)</f>
        <v>10109.44</v>
      </c>
      <c r="AW40" s="7" t="str">
        <f aca="false">IF(AT40="","",IFERROR(INDEX($BD$5:$BD$60,MATCH(AT40,$BC$5:$BC$60,0)),"Unmapped"))</f>
        <v>Apprentice Lvl 3-6</v>
      </c>
      <c r="AZ40" s="10"/>
      <c r="BA40" s="10"/>
      <c r="BC40" s="10"/>
      <c r="BD40" s="10"/>
    </row>
    <row r="41" customFormat="false" ht="15" hidden="false" customHeight="false" outlineLevel="0" collapsed="false">
      <c r="B41" s="24" t="str">
        <f aca="false">"H  "&amp;INPUTS!$B$73</f>
        <v>H  07 Testing, TAB &amp; Commissioning</v>
      </c>
      <c r="C41" s="13" t="n">
        <f aca="false">COUNTIFS('KNOWIFY REVIEW'!$AB$4:$AB$400,"H",'KNOWIFY REVIEW'!$AC$4:$AC$400,INPUTS!$B$73,'KNOWIFY REVIEW'!$AD$4:$AD$400,1)</f>
        <v>0</v>
      </c>
      <c r="D41" s="28" t="n">
        <f aca="false">SUMIFS('KNOWIFY REVIEW'!$AE$4:$AE$400,'KNOWIFY REVIEW'!$AB$4:$AB$400,"H",'KNOWIFY REVIEW'!$AC$4:$AC$400,INPUTS!$B$73,'KNOWIFY REVIEW'!$AD$4:$AD$400,1)</f>
        <v>0</v>
      </c>
      <c r="E41" s="28" t="n">
        <f aca="false">SUMIFS('KNOWIFY REVIEW'!$AF$4:$AF$400,'KNOWIFY REVIEW'!$AB$4:$AB$400,"H",'KNOWIFY REVIEW'!$AC$4:$AC$400,INPUTS!$B$73,'KNOWIFY REVIEW'!$AD$4:$AD$400,1)</f>
        <v>0</v>
      </c>
      <c r="F41" s="43" t="str">
        <f aca="false">IFERROR(E41/D41,"")</f>
        <v/>
      </c>
      <c r="G41" s="28" t="n">
        <f aca="false">SUMIFS('KNOWIFY REVIEW'!$AG$4:$AG$400,'KNOWIFY REVIEW'!$AB$4:$AB$400,"H",'KNOWIFY REVIEW'!$AC$4:$AC$400,INPUTS!$B$73,'KNOWIFY REVIEW'!$AD$4:$AD$400,1)</f>
        <v>0</v>
      </c>
      <c r="H41" s="28" t="n">
        <f aca="false">SUMIFS('KNOWIFY REVIEW'!$AH$4:$AH$400,'KNOWIFY REVIEW'!$AB$4:$AB$400,"H",'KNOWIFY REVIEW'!$AC$4:$AC$400,INPUTS!$B$73,'KNOWIFY REVIEW'!$AD$4:$AD$400,1)</f>
        <v>0</v>
      </c>
      <c r="I41" s="43" t="str">
        <f aca="false">IFERROR(H41/G41,"")</f>
        <v/>
      </c>
      <c r="J41" s="13" t="n">
        <f aca="false">IFERROR(E41/'KNOWIFY REVIEW'!$E$72,0)</f>
        <v>0</v>
      </c>
      <c r="AA41" s="7" t="str">
        <f aca="false">IF('KNOWIFY PHASES'!A41="","",'KNOWIFY PHASES'!A41)</f>
        <v>P - Shop Drawings, and Mobilization</v>
      </c>
      <c r="AB41" s="7" t="str">
        <f aca="false">IF(AA41="","",IF(LEFT(AA41,4)="P - ","P",IF(LEFT(AA41,4)="H - ","H",IF(LEFT(AA41,5)="AC - ","AC",IF(OR(LEFT(AA41,4)="V - ",LEFT(AA41,7)="HVAC - "),"V","Other")))))</f>
        <v>P</v>
      </c>
      <c r="AC41" s="7" t="str">
        <f aca="false">IF(AA41="","",IFERROR(LOOKUP(2,1/(($AZ$5:$AZ$60&lt;&gt;"")*ISNUMBER(SEARCH($AZ$5:$AZ$60,AA41))),$BA$5:$BA$60),IF(AB41="Other","Excluded","Unmapped")))</f>
        <v>01 Shop Drawings, Permits &amp; Mobilization</v>
      </c>
      <c r="AD41" s="7" t="n">
        <f aca="false">IF(AA41="","",IF(AND(AB41&lt;&gt;"Other",OR(AND('KNOWIFY PHASES'!B41="Closed",N('KNOWIFY PHASES'!D41)&gt;=0.5),N('KNOWIFY PHASES'!D41)&gt;=1)),1,0))</f>
        <v>0</v>
      </c>
      <c r="AE41" s="7" t="n">
        <f aca="false">N('KNOWIFY PHASES'!L41)</f>
        <v>8000</v>
      </c>
      <c r="AF41" s="7" t="n">
        <f aca="false">N('KNOWIFY PHASES'!K41)</f>
        <v>0</v>
      </c>
      <c r="AG41" s="7" t="n">
        <f aca="false">N('KNOWIFY PHASES'!I41)</f>
        <v>49000</v>
      </c>
      <c r="AH41" s="7" t="n">
        <f aca="false">N('KNOWIFY PHASES'!H41)</f>
        <v>37366.65</v>
      </c>
      <c r="AI41" s="7" t="n">
        <f aca="false">N('KNOWIFY PHASES'!O41)</f>
        <v>3000</v>
      </c>
      <c r="AJ41" s="7" t="n">
        <f aca="false">N('KNOWIFY PHASES'!N41)</f>
        <v>0</v>
      </c>
      <c r="AK41" s="7" t="n">
        <f aca="false">N('KNOWIFY PHASES'!R41)</f>
        <v>0</v>
      </c>
      <c r="AL41" s="7" t="n">
        <f aca="false">N('KNOWIFY PHASES'!Q41)</f>
        <v>444.69</v>
      </c>
      <c r="AM41" s="7" t="n">
        <f aca="false">N('KNOWIFY PHASES'!F41)</f>
        <v>60000</v>
      </c>
      <c r="AN41" s="7" t="n">
        <f aca="false">N('KNOWIFY PHASES'!E41)</f>
        <v>37811.34</v>
      </c>
      <c r="AO41" s="7" t="n">
        <f aca="false">MAX(AE41,AF41)</f>
        <v>8000</v>
      </c>
      <c r="AP41" s="7" t="n">
        <f aca="false">MAX(AG41,AH41)</f>
        <v>49000</v>
      </c>
      <c r="AQ41" s="7" t="n">
        <f aca="false">MAX(AI41,AJ41)</f>
        <v>3000</v>
      </c>
      <c r="AR41" s="7" t="n">
        <f aca="false">MAX(AK41,AL41)</f>
        <v>444.69</v>
      </c>
      <c r="AT41" s="7" t="str">
        <f aca="false">IF('KNOWIFY TIME'!B41="","",'KNOWIFY TIME'!B41)</f>
        <v>Apprentice Lvl 1</v>
      </c>
      <c r="AU41" s="7" t="n">
        <f aca="false">IF(AT41="",0,IF(ISNUMBER('KNOWIFY TIME'!D41),'KNOWIFY TIME'!D41*24,IFERROR(VALUE(LEFT('KNOWIFY TIME'!D41,FIND(":",'KNOWIFY TIME'!D41)-1))+VALUE(MID('KNOWIFY TIME'!D41,FIND(":",'KNOWIFY TIME'!D41)+1,2))/60,0)))</f>
        <v>238.166666666667</v>
      </c>
      <c r="AV41" s="7" t="n">
        <f aca="false">N('KNOWIFY TIME'!E41)</f>
        <v>8756.04</v>
      </c>
      <c r="AW41" s="7" t="str">
        <f aca="false">IF(AT41="","",IFERROR(INDEX($BD$5:$BD$60,MATCH(AT41,$BC$5:$BC$60,0)),"Unmapped"))</f>
        <v>Apprentice Lvl 1-2</v>
      </c>
      <c r="AZ41" s="10"/>
      <c r="BA41" s="10"/>
      <c r="BC41" s="10"/>
      <c r="BD41" s="10"/>
    </row>
    <row r="42" customFormat="false" ht="15" hidden="false" customHeight="false" outlineLevel="0" collapsed="false">
      <c r="B42" s="24" t="str">
        <f aca="false">"H  "&amp;INPUTS!$B$74</f>
        <v>H  08 Completion &amp; Final Documents</v>
      </c>
      <c r="C42" s="13" t="n">
        <f aca="false">COUNTIFS('KNOWIFY REVIEW'!$AB$4:$AB$400,"H",'KNOWIFY REVIEW'!$AC$4:$AC$400,INPUTS!$B$74,'KNOWIFY REVIEW'!$AD$4:$AD$400,1)</f>
        <v>0</v>
      </c>
      <c r="D42" s="28" t="n">
        <f aca="false">SUMIFS('KNOWIFY REVIEW'!$AE$4:$AE$400,'KNOWIFY REVIEW'!$AB$4:$AB$400,"H",'KNOWIFY REVIEW'!$AC$4:$AC$400,INPUTS!$B$74,'KNOWIFY REVIEW'!$AD$4:$AD$400,1)</f>
        <v>0</v>
      </c>
      <c r="E42" s="28" t="n">
        <f aca="false">SUMIFS('KNOWIFY REVIEW'!$AF$4:$AF$400,'KNOWIFY REVIEW'!$AB$4:$AB$400,"H",'KNOWIFY REVIEW'!$AC$4:$AC$400,INPUTS!$B$74,'KNOWIFY REVIEW'!$AD$4:$AD$400,1)</f>
        <v>0</v>
      </c>
      <c r="F42" s="43" t="str">
        <f aca="false">IFERROR(E42/D42,"")</f>
        <v/>
      </c>
      <c r="G42" s="28" t="n">
        <f aca="false">SUMIFS('KNOWIFY REVIEW'!$AG$4:$AG$400,'KNOWIFY REVIEW'!$AB$4:$AB$400,"H",'KNOWIFY REVIEW'!$AC$4:$AC$400,INPUTS!$B$74,'KNOWIFY REVIEW'!$AD$4:$AD$400,1)</f>
        <v>0</v>
      </c>
      <c r="H42" s="28" t="n">
        <f aca="false">SUMIFS('KNOWIFY REVIEW'!$AH$4:$AH$400,'KNOWIFY REVIEW'!$AB$4:$AB$400,"H",'KNOWIFY REVIEW'!$AC$4:$AC$400,INPUTS!$B$74,'KNOWIFY REVIEW'!$AD$4:$AD$400,1)</f>
        <v>0</v>
      </c>
      <c r="I42" s="43" t="str">
        <f aca="false">IFERROR(H42/G42,"")</f>
        <v/>
      </c>
      <c r="J42" s="13" t="n">
        <f aca="false">IFERROR(E42/'KNOWIFY REVIEW'!$E$72,0)</f>
        <v>0</v>
      </c>
      <c r="AA42" s="7" t="str">
        <f aca="false">IF('KNOWIFY PHASES'!A42="","",'KNOWIFY PHASES'!A42)</f>
        <v>P - Completion &amp; Final Documents</v>
      </c>
      <c r="AB42" s="7" t="str">
        <f aca="false">IF(AA42="","",IF(LEFT(AA42,4)="P - ","P",IF(LEFT(AA42,4)="H - ","H",IF(LEFT(AA42,5)="AC - ","AC",IF(OR(LEFT(AA42,4)="V - ",LEFT(AA42,7)="HVAC - "),"V","Other")))))</f>
        <v>P</v>
      </c>
      <c r="AC42" s="7" t="str">
        <f aca="false">IF(AA42="","",IFERROR(LOOKUP(2,1/(($AZ$5:$AZ$60&lt;&gt;"")*ISNUMBER(SEARCH($AZ$5:$AZ$60,AA42))),$BA$5:$BA$60),IF(AB42="Other","Excluded","Unmapped")))</f>
        <v>08 Completion &amp; Final Documents</v>
      </c>
      <c r="AD42" s="7" t="n">
        <f aca="false">IF(AA42="","",IF(AND(AB42&lt;&gt;"Other",OR(AND('KNOWIFY PHASES'!B42="Closed",N('KNOWIFY PHASES'!D42)&gt;=0.5),N('KNOWIFY PHASES'!D42)&gt;=1)),1,0))</f>
        <v>0</v>
      </c>
      <c r="AE42" s="7" t="n">
        <f aca="false">N('KNOWIFY PHASES'!L42)</f>
        <v>18000</v>
      </c>
      <c r="AF42" s="7" t="n">
        <f aca="false">N('KNOWIFY PHASES'!K42)</f>
        <v>0</v>
      </c>
      <c r="AG42" s="7" t="n">
        <f aca="false">N('KNOWIFY PHASES'!I42)</f>
        <v>29000</v>
      </c>
      <c r="AH42" s="7" t="n">
        <f aca="false">N('KNOWIFY PHASES'!H42)</f>
        <v>363.16</v>
      </c>
      <c r="AI42" s="7" t="n">
        <f aca="false">N('KNOWIFY PHASES'!O42)</f>
        <v>48000</v>
      </c>
      <c r="AJ42" s="7" t="n">
        <f aca="false">N('KNOWIFY PHASES'!N42)</f>
        <v>0</v>
      </c>
      <c r="AK42" s="7" t="n">
        <f aca="false">N('KNOWIFY PHASES'!R42)</f>
        <v>0</v>
      </c>
      <c r="AL42" s="7" t="n">
        <f aca="false">N('KNOWIFY PHASES'!Q42)</f>
        <v>0</v>
      </c>
      <c r="AM42" s="7" t="n">
        <f aca="false">N('KNOWIFY PHASES'!F42)</f>
        <v>95000</v>
      </c>
      <c r="AN42" s="7" t="n">
        <f aca="false">N('KNOWIFY PHASES'!E42)</f>
        <v>363.16</v>
      </c>
      <c r="AO42" s="7" t="n">
        <f aca="false">MAX(AE42,AF42)</f>
        <v>18000</v>
      </c>
      <c r="AP42" s="7" t="n">
        <f aca="false">MAX(AG42,AH42)</f>
        <v>29000</v>
      </c>
      <c r="AQ42" s="7" t="n">
        <f aca="false">MAX(AI42,AJ42)</f>
        <v>48000</v>
      </c>
      <c r="AR42" s="7" t="n">
        <f aca="false">MAX(AK42,AL42)</f>
        <v>0</v>
      </c>
      <c r="AT42" s="7" t="str">
        <f aca="false">IF('KNOWIFY TIME'!B42="","",'KNOWIFY TIME'!B42)</f>
        <v>Apprentice Level 6</v>
      </c>
      <c r="AU42" s="7" t="n">
        <f aca="false">IF(AT42="",0,IF(ISNUMBER('KNOWIFY TIME'!D42),'KNOWIFY TIME'!D42*24,IFERROR(VALUE(LEFT('KNOWIFY TIME'!D42,FIND(":",'KNOWIFY TIME'!D42)-1))+VALUE(MID('KNOWIFY TIME'!D42,FIND(":",'KNOWIFY TIME'!D42)+1,2))/60,0)))</f>
        <v>900.166666666667</v>
      </c>
      <c r="AV42" s="7" t="n">
        <f aca="false">N('KNOWIFY TIME'!E42)</f>
        <v>44746.28</v>
      </c>
      <c r="AW42" s="7" t="str">
        <f aca="false">IF(AT42="","",IFERROR(INDEX($BD$5:$BD$60,MATCH(AT42,$BC$5:$BC$60,0)),"Unmapped"))</f>
        <v>Apprentice Lvl 3-6</v>
      </c>
      <c r="AZ42" s="10"/>
      <c r="BA42" s="10"/>
      <c r="BC42" s="10"/>
      <c r="BD42" s="10"/>
    </row>
    <row r="43" customFormat="false" ht="15" hidden="false" customHeight="false" outlineLevel="0" collapsed="false">
      <c r="B43" s="24" t="str">
        <f aca="false">"H  "&amp;INPUTS!$B$75</f>
        <v>H  09 Office, Supervision &amp; General</v>
      </c>
      <c r="C43" s="13" t="n">
        <f aca="false">COUNTIFS('KNOWIFY REVIEW'!$AB$4:$AB$400,"H",'KNOWIFY REVIEW'!$AC$4:$AC$400,INPUTS!$B$75,'KNOWIFY REVIEW'!$AD$4:$AD$400,1)</f>
        <v>0</v>
      </c>
      <c r="D43" s="28" t="n">
        <f aca="false">SUMIFS('KNOWIFY REVIEW'!$AE$4:$AE$400,'KNOWIFY REVIEW'!$AB$4:$AB$400,"H",'KNOWIFY REVIEW'!$AC$4:$AC$400,INPUTS!$B$75,'KNOWIFY REVIEW'!$AD$4:$AD$400,1)</f>
        <v>0</v>
      </c>
      <c r="E43" s="28" t="n">
        <f aca="false">SUMIFS('KNOWIFY REVIEW'!$AF$4:$AF$400,'KNOWIFY REVIEW'!$AB$4:$AB$400,"H",'KNOWIFY REVIEW'!$AC$4:$AC$400,INPUTS!$B$75,'KNOWIFY REVIEW'!$AD$4:$AD$400,1)</f>
        <v>0</v>
      </c>
      <c r="F43" s="43" t="str">
        <f aca="false">IFERROR(E43/D43,"")</f>
        <v/>
      </c>
      <c r="G43" s="28" t="n">
        <f aca="false">SUMIFS('KNOWIFY REVIEW'!$AG$4:$AG$400,'KNOWIFY REVIEW'!$AB$4:$AB$400,"H",'KNOWIFY REVIEW'!$AC$4:$AC$400,INPUTS!$B$75,'KNOWIFY REVIEW'!$AD$4:$AD$400,1)</f>
        <v>0</v>
      </c>
      <c r="H43" s="28" t="n">
        <f aca="false">SUMIFS('KNOWIFY REVIEW'!$AH$4:$AH$400,'KNOWIFY REVIEW'!$AB$4:$AB$400,"H",'KNOWIFY REVIEW'!$AC$4:$AC$400,INPUTS!$B$75,'KNOWIFY REVIEW'!$AD$4:$AD$400,1)</f>
        <v>0</v>
      </c>
      <c r="I43" s="43" t="str">
        <f aca="false">IFERROR(H43/G43,"")</f>
        <v/>
      </c>
      <c r="J43" s="13" t="n">
        <f aca="false">IFERROR(E43/'KNOWIFY REVIEW'!$E$72,0)</f>
        <v>0</v>
      </c>
      <c r="AA43" s="7" t="str">
        <f aca="false">IF('KNOWIFY PHASES'!A43="","",'KNOWIFY PHASES'!A43)</f>
        <v>HVAC - Parkade HVAC (Labour &amp; Material)</v>
      </c>
      <c r="AB43" s="7" t="str">
        <f aca="false">IF(AA43="","",IF(LEFT(AA43,4)="P - ","P",IF(LEFT(AA43,4)="H - ","H",IF(LEFT(AA43,5)="AC - ","AC",IF(OR(LEFT(AA43,4)="V - ",LEFT(AA43,7)="HVAC - "),"V","Other")))))</f>
        <v>V</v>
      </c>
      <c r="AC43" s="7" t="str">
        <f aca="false">IF(AA43="","",IFERROR(LOOKUP(2,1/(($AZ$5:$AZ$60&lt;&gt;"")*ISNUMBER(SEARCH($AZ$5:$AZ$60,AA43))),$BA$5:$BA$60),IF(AB43="Other","Excluded","Unmapped")))</f>
        <v>03 Rough-in (Labour)</v>
      </c>
      <c r="AD43" s="7" t="n">
        <f aca="false">IF(AA43="","",IF(AND(AB43&lt;&gt;"Other",OR(AND('KNOWIFY PHASES'!B43="Closed",N('KNOWIFY PHASES'!D43)&gt;=0.5),N('KNOWIFY PHASES'!D43)&gt;=1)),1,0))</f>
        <v>0</v>
      </c>
      <c r="AE43" s="7" t="n">
        <f aca="false">N('KNOWIFY PHASES'!L43)</f>
        <v>81000</v>
      </c>
      <c r="AF43" s="7" t="n">
        <f aca="false">N('KNOWIFY PHASES'!K43)</f>
        <v>9668.29</v>
      </c>
      <c r="AG43" s="7" t="n">
        <f aca="false">N('KNOWIFY PHASES'!I43)</f>
        <v>48000</v>
      </c>
      <c r="AH43" s="7" t="n">
        <f aca="false">N('KNOWIFY PHASES'!H43)</f>
        <v>53851.47</v>
      </c>
      <c r="AI43" s="7" t="n">
        <f aca="false">N('KNOWIFY PHASES'!O43)</f>
        <v>11000</v>
      </c>
      <c r="AJ43" s="7" t="n">
        <f aca="false">N('KNOWIFY PHASES'!N43)</f>
        <v>0</v>
      </c>
      <c r="AK43" s="7" t="n">
        <f aca="false">N('KNOWIFY PHASES'!R43)</f>
        <v>0</v>
      </c>
      <c r="AL43" s="7" t="n">
        <f aca="false">N('KNOWIFY PHASES'!Q43)</f>
        <v>123.79</v>
      </c>
      <c r="AM43" s="7" t="n">
        <f aca="false">N('KNOWIFY PHASES'!F43)</f>
        <v>140000</v>
      </c>
      <c r="AN43" s="7" t="n">
        <f aca="false">N('KNOWIFY PHASES'!E43)</f>
        <v>63643.55</v>
      </c>
      <c r="AO43" s="7" t="n">
        <f aca="false">MAX(AE43,AF43)</f>
        <v>81000</v>
      </c>
      <c r="AP43" s="7" t="n">
        <f aca="false">MAX(AG43,AH43)</f>
        <v>53851.47</v>
      </c>
      <c r="AQ43" s="7" t="n">
        <f aca="false">MAX(AI43,AJ43)</f>
        <v>11000</v>
      </c>
      <c r="AR43" s="7" t="n">
        <f aca="false">MAX(AK43,AL43)</f>
        <v>123.79</v>
      </c>
      <c r="AT43" s="7" t="str">
        <f aca="false">IF('KNOWIFY TIME'!B43="","",'KNOWIFY TIME'!B43)</f>
        <v>Apprentice Lvl 1</v>
      </c>
      <c r="AU43" s="7" t="n">
        <f aca="false">IF(AT43="",0,IF(ISNUMBER('KNOWIFY TIME'!D43),'KNOWIFY TIME'!D43*24,IFERROR(VALUE(LEFT('KNOWIFY TIME'!D43,FIND(":",'KNOWIFY TIME'!D43)-1))+VALUE(MID('KNOWIFY TIME'!D43,FIND(":",'KNOWIFY TIME'!D43)+1,2))/60,0)))</f>
        <v>20.5</v>
      </c>
      <c r="AV43" s="7" t="n">
        <f aca="false">N('KNOWIFY TIME'!E43)</f>
        <v>748.05</v>
      </c>
      <c r="AW43" s="7" t="str">
        <f aca="false">IF(AT43="","",IFERROR(INDEX($BD$5:$BD$60,MATCH(AT43,$BC$5:$BC$60,0)),"Unmapped"))</f>
        <v>Apprentice Lvl 1-2</v>
      </c>
      <c r="AZ43" s="10"/>
      <c r="BA43" s="10"/>
      <c r="BC43" s="10"/>
      <c r="BD43" s="10"/>
    </row>
    <row r="44" customFormat="false" ht="15" hidden="false" customHeight="false" outlineLevel="0" collapsed="false">
      <c r="B44" s="24" t="str">
        <f aca="false">"V  "&amp;INPUTS!$B$67</f>
        <v>V  01 Shop Drawings, Permits &amp; Mobilization</v>
      </c>
      <c r="C44" s="13" t="n">
        <f aca="false">COUNTIFS('KNOWIFY REVIEW'!$AB$4:$AB$400,"V",'KNOWIFY REVIEW'!$AC$4:$AC$400,INPUTS!$B$67,'KNOWIFY REVIEW'!$AD$4:$AD$400,1)</f>
        <v>0</v>
      </c>
      <c r="D44" s="28" t="n">
        <f aca="false">SUMIFS('KNOWIFY REVIEW'!$AE$4:$AE$400,'KNOWIFY REVIEW'!$AB$4:$AB$400,"V",'KNOWIFY REVIEW'!$AC$4:$AC$400,INPUTS!$B$67,'KNOWIFY REVIEW'!$AD$4:$AD$400,1)</f>
        <v>0</v>
      </c>
      <c r="E44" s="28" t="n">
        <f aca="false">SUMIFS('KNOWIFY REVIEW'!$AF$4:$AF$400,'KNOWIFY REVIEW'!$AB$4:$AB$400,"V",'KNOWIFY REVIEW'!$AC$4:$AC$400,INPUTS!$B$67,'KNOWIFY REVIEW'!$AD$4:$AD$400,1)</f>
        <v>0</v>
      </c>
      <c r="F44" s="43" t="str">
        <f aca="false">IFERROR(E44/D44,"")</f>
        <v/>
      </c>
      <c r="G44" s="28" t="n">
        <f aca="false">SUMIFS('KNOWIFY REVIEW'!$AG$4:$AG$400,'KNOWIFY REVIEW'!$AB$4:$AB$400,"V",'KNOWIFY REVIEW'!$AC$4:$AC$400,INPUTS!$B$67,'KNOWIFY REVIEW'!$AD$4:$AD$400,1)</f>
        <v>0</v>
      </c>
      <c r="H44" s="28" t="n">
        <f aca="false">SUMIFS('KNOWIFY REVIEW'!$AH$4:$AH$400,'KNOWIFY REVIEW'!$AB$4:$AB$400,"V",'KNOWIFY REVIEW'!$AC$4:$AC$400,INPUTS!$B$67,'KNOWIFY REVIEW'!$AD$4:$AD$400,1)</f>
        <v>0</v>
      </c>
      <c r="I44" s="43" t="str">
        <f aca="false">IFERROR(H44/G44,"")</f>
        <v/>
      </c>
      <c r="J44" s="13" t="n">
        <f aca="false">IFERROR(E44/'KNOWIFY REVIEW'!$E$72,0)</f>
        <v>0</v>
      </c>
      <c r="AA44" s="7" t="str">
        <f aca="false">IF('KNOWIFY PHASES'!A44="","",'KNOWIFY PHASES'!A44)</f>
        <v>V - BLDG A - L1 HVAC Rough-in (Labour)</v>
      </c>
      <c r="AB44" s="7" t="str">
        <f aca="false">IF(AA44="","",IF(LEFT(AA44,4)="P - ","P",IF(LEFT(AA44,4)="H - ","H",IF(LEFT(AA44,5)="AC - ","AC",IF(OR(LEFT(AA44,4)="V - ",LEFT(AA44,7)="HVAC - "),"V","Other")))))</f>
        <v>V</v>
      </c>
      <c r="AC44" s="7" t="str">
        <f aca="false">IF(AA44="","",IFERROR(LOOKUP(2,1/(($AZ$5:$AZ$60&lt;&gt;"")*ISNUMBER(SEARCH($AZ$5:$AZ$60,AA44))),$BA$5:$BA$60),IF(AB44="Other","Excluded","Unmapped")))</f>
        <v>03 Rough-in (Labour)</v>
      </c>
      <c r="AD44" s="7" t="n">
        <f aca="false">IF(AA44="","",IF(AND(AB44&lt;&gt;"Other",OR(AND('KNOWIFY PHASES'!B44="Closed",N('KNOWIFY PHASES'!D44)&gt;=0.5),N('KNOWIFY PHASES'!D44)&gt;=1)),1,0))</f>
        <v>1</v>
      </c>
      <c r="AE44" s="7" t="n">
        <f aca="false">N('KNOWIFY PHASES'!L44)</f>
        <v>25000</v>
      </c>
      <c r="AF44" s="7" t="n">
        <f aca="false">N('KNOWIFY PHASES'!K44)</f>
        <v>42644.91</v>
      </c>
      <c r="AG44" s="7" t="n">
        <f aca="false">N('KNOWIFY PHASES'!I44)</f>
        <v>0</v>
      </c>
      <c r="AH44" s="7" t="n">
        <f aca="false">N('KNOWIFY PHASES'!H44)</f>
        <v>0</v>
      </c>
      <c r="AI44" s="7" t="n">
        <f aca="false">N('KNOWIFY PHASES'!O44)</f>
        <v>0</v>
      </c>
      <c r="AJ44" s="7" t="n">
        <f aca="false">N('KNOWIFY PHASES'!N44)</f>
        <v>10552.5</v>
      </c>
      <c r="AK44" s="7" t="n">
        <f aca="false">N('KNOWIFY PHASES'!R44)</f>
        <v>0</v>
      </c>
      <c r="AL44" s="7" t="n">
        <f aca="false">N('KNOWIFY PHASES'!Q44)</f>
        <v>191.5</v>
      </c>
      <c r="AM44" s="7" t="n">
        <f aca="false">N('KNOWIFY PHASES'!F44)</f>
        <v>25000</v>
      </c>
      <c r="AN44" s="7" t="n">
        <f aca="false">N('KNOWIFY PHASES'!E44)</f>
        <v>53388.91</v>
      </c>
      <c r="AO44" s="7" t="n">
        <f aca="false">MAX(AE44,AF44)</f>
        <v>42644.91</v>
      </c>
      <c r="AP44" s="7" t="n">
        <f aca="false">MAX(AG44,AH44)</f>
        <v>0</v>
      </c>
      <c r="AQ44" s="7" t="n">
        <f aca="false">MAX(AI44,AJ44)</f>
        <v>10552.5</v>
      </c>
      <c r="AR44" s="7" t="n">
        <f aca="false">MAX(AK44,AL44)</f>
        <v>191.5</v>
      </c>
      <c r="AT44" s="7" t="str">
        <f aca="false">IF('KNOWIFY TIME'!B44="","",'KNOWIFY TIME'!B44)</f>
        <v>Divisional Manager</v>
      </c>
      <c r="AU44" s="7" t="n">
        <f aca="false">IF(AT44="",0,IF(ISNUMBER('KNOWIFY TIME'!D44),'KNOWIFY TIME'!D44*24,IFERROR(VALUE(LEFT('KNOWIFY TIME'!D44,FIND(":",'KNOWIFY TIME'!D44)-1))+VALUE(MID('KNOWIFY TIME'!D44,FIND(":",'KNOWIFY TIME'!D44)+1,2))/60,0)))</f>
        <v>9</v>
      </c>
      <c r="AV44" s="7" t="n">
        <f aca="false">N('KNOWIFY TIME'!E44)</f>
        <v>866.07</v>
      </c>
      <c r="AW44" s="7" t="str">
        <f aca="false">IF(AT44="","",IFERROR(INDEX($BD$5:$BD$60,MATCH(AT44,$BC$5:$BC$60,0)),"Unmapped"))</f>
        <v>Foreman &amp; PM</v>
      </c>
      <c r="AZ44" s="10"/>
      <c r="BA44" s="10"/>
      <c r="BC44" s="10"/>
      <c r="BD44" s="10"/>
    </row>
    <row r="45" customFormat="false" ht="15" hidden="false" customHeight="false" outlineLevel="0" collapsed="false">
      <c r="B45" s="24" t="str">
        <f aca="false">"V  "&amp;INPUTS!$B$68</f>
        <v>V  02 Foundation &amp; Underground</v>
      </c>
      <c r="C45" s="13" t="n">
        <f aca="false">COUNTIFS('KNOWIFY REVIEW'!$AB$4:$AB$400,"V",'KNOWIFY REVIEW'!$AC$4:$AC$400,INPUTS!$B$68,'KNOWIFY REVIEW'!$AD$4:$AD$400,1)</f>
        <v>0</v>
      </c>
      <c r="D45" s="28" t="n">
        <f aca="false">SUMIFS('KNOWIFY REVIEW'!$AE$4:$AE$400,'KNOWIFY REVIEW'!$AB$4:$AB$400,"V",'KNOWIFY REVIEW'!$AC$4:$AC$400,INPUTS!$B$68,'KNOWIFY REVIEW'!$AD$4:$AD$400,1)</f>
        <v>0</v>
      </c>
      <c r="E45" s="28" t="n">
        <f aca="false">SUMIFS('KNOWIFY REVIEW'!$AF$4:$AF$400,'KNOWIFY REVIEW'!$AB$4:$AB$400,"V",'KNOWIFY REVIEW'!$AC$4:$AC$400,INPUTS!$B$68,'KNOWIFY REVIEW'!$AD$4:$AD$400,1)</f>
        <v>0</v>
      </c>
      <c r="F45" s="43" t="str">
        <f aca="false">IFERROR(E45/D45,"")</f>
        <v/>
      </c>
      <c r="G45" s="28" t="n">
        <f aca="false">SUMIFS('KNOWIFY REVIEW'!$AG$4:$AG$400,'KNOWIFY REVIEW'!$AB$4:$AB$400,"V",'KNOWIFY REVIEW'!$AC$4:$AC$400,INPUTS!$B$68,'KNOWIFY REVIEW'!$AD$4:$AD$400,1)</f>
        <v>0</v>
      </c>
      <c r="H45" s="28" t="n">
        <f aca="false">SUMIFS('KNOWIFY REVIEW'!$AH$4:$AH$400,'KNOWIFY REVIEW'!$AB$4:$AB$400,"V",'KNOWIFY REVIEW'!$AC$4:$AC$400,INPUTS!$B$68,'KNOWIFY REVIEW'!$AD$4:$AD$400,1)</f>
        <v>0</v>
      </c>
      <c r="I45" s="43" t="str">
        <f aca="false">IFERROR(H45/G45,"")</f>
        <v/>
      </c>
      <c r="J45" s="13" t="n">
        <f aca="false">IFERROR(E45/'KNOWIFY REVIEW'!$E$72,0)</f>
        <v>0</v>
      </c>
      <c r="AA45" s="7" t="str">
        <f aca="false">IF('KNOWIFY PHASES'!A45="","",'KNOWIFY PHASES'!A45)</f>
        <v>V - BLDG A - L2 HVAC Rough-in (Labour)</v>
      </c>
      <c r="AB45" s="7" t="str">
        <f aca="false">IF(AA45="","",IF(LEFT(AA45,4)="P - ","P",IF(LEFT(AA45,4)="H - ","H",IF(LEFT(AA45,5)="AC - ","AC",IF(OR(LEFT(AA45,4)="V - ",LEFT(AA45,7)="HVAC - "),"V","Other")))))</f>
        <v>V</v>
      </c>
      <c r="AC45" s="7" t="str">
        <f aca="false">IF(AA45="","",IFERROR(LOOKUP(2,1/(($AZ$5:$AZ$60&lt;&gt;"")*ISNUMBER(SEARCH($AZ$5:$AZ$60,AA45))),$BA$5:$BA$60),IF(AB45="Other","Excluded","Unmapped")))</f>
        <v>03 Rough-in (Labour)</v>
      </c>
      <c r="AD45" s="7" t="n">
        <f aca="false">IF(AA45="","",IF(AND(AB45&lt;&gt;"Other",OR(AND('KNOWIFY PHASES'!B45="Closed",N('KNOWIFY PHASES'!D45)&gt;=0.5),N('KNOWIFY PHASES'!D45)&gt;=1)),1,0))</f>
        <v>1</v>
      </c>
      <c r="AE45" s="7" t="n">
        <f aca="false">N('KNOWIFY PHASES'!L45)</f>
        <v>25000</v>
      </c>
      <c r="AF45" s="7" t="n">
        <f aca="false">N('KNOWIFY PHASES'!K45)</f>
        <v>38643.68</v>
      </c>
      <c r="AG45" s="7" t="n">
        <f aca="false">N('KNOWIFY PHASES'!I45)</f>
        <v>0</v>
      </c>
      <c r="AH45" s="7" t="n">
        <f aca="false">N('KNOWIFY PHASES'!H45)</f>
        <v>0</v>
      </c>
      <c r="AI45" s="7" t="n">
        <f aca="false">N('KNOWIFY PHASES'!O45)</f>
        <v>0</v>
      </c>
      <c r="AJ45" s="7" t="n">
        <f aca="false">N('KNOWIFY PHASES'!N45)</f>
        <v>0</v>
      </c>
      <c r="AK45" s="7" t="n">
        <f aca="false">N('KNOWIFY PHASES'!R45)</f>
        <v>0</v>
      </c>
      <c r="AL45" s="7" t="n">
        <f aca="false">N('KNOWIFY PHASES'!Q45)</f>
        <v>0</v>
      </c>
      <c r="AM45" s="7" t="n">
        <f aca="false">N('KNOWIFY PHASES'!F45)</f>
        <v>25000</v>
      </c>
      <c r="AN45" s="7" t="n">
        <f aca="false">N('KNOWIFY PHASES'!E45)</f>
        <v>38643.68</v>
      </c>
      <c r="AO45" s="7" t="n">
        <f aca="false">MAX(AE45,AF45)</f>
        <v>38643.68</v>
      </c>
      <c r="AP45" s="7" t="n">
        <f aca="false">MAX(AG45,AH45)</f>
        <v>0</v>
      </c>
      <c r="AQ45" s="7" t="n">
        <f aca="false">MAX(AI45,AJ45)</f>
        <v>0</v>
      </c>
      <c r="AR45" s="7" t="n">
        <f aca="false">MAX(AK45,AL45)</f>
        <v>0</v>
      </c>
      <c r="AT45" s="7" t="str">
        <f aca="false">IF('KNOWIFY TIME'!B45="","",'KNOWIFY TIME'!B45)</f>
        <v>Apprentice Lvl 2</v>
      </c>
      <c r="AU45" s="7" t="n">
        <f aca="false">IF(AT45="",0,IF(ISNUMBER('KNOWIFY TIME'!D45),'KNOWIFY TIME'!D45*24,IFERROR(VALUE(LEFT('KNOWIFY TIME'!D45,FIND(":",'KNOWIFY TIME'!D45)-1))+VALUE(MID('KNOWIFY TIME'!D45,FIND(":",'KNOWIFY TIME'!D45)+1,2))/60,0)))</f>
        <v>46.6666666666667</v>
      </c>
      <c r="AV45" s="7" t="n">
        <f aca="false">N('KNOWIFY TIME'!E45)</f>
        <v>2636.69</v>
      </c>
      <c r="AW45" s="7" t="str">
        <f aca="false">IF(AT45="","",IFERROR(INDEX($BD$5:$BD$60,MATCH(AT45,$BC$5:$BC$60,0)),"Unmapped"))</f>
        <v>Apprentice Lvl 1-2</v>
      </c>
      <c r="AZ45" s="10"/>
      <c r="BA45" s="10"/>
      <c r="BC45" s="10"/>
      <c r="BD45" s="10"/>
    </row>
    <row r="46" customFormat="false" ht="15" hidden="false" customHeight="false" outlineLevel="0" collapsed="false">
      <c r="B46" s="24" t="str">
        <f aca="false">"V  "&amp;INPUTS!$B$69</f>
        <v>V  03 Rough-in (Labour)</v>
      </c>
      <c r="C46" s="13" t="n">
        <f aca="false">COUNTIFS('KNOWIFY REVIEW'!$AB$4:$AB$400,"V",'KNOWIFY REVIEW'!$AC$4:$AC$400,INPUTS!$B$69,'KNOWIFY REVIEW'!$AD$4:$AD$400,1)</f>
        <v>12</v>
      </c>
      <c r="D46" s="28" t="n">
        <f aca="false">SUMIFS('KNOWIFY REVIEW'!$AE$4:$AE$400,'KNOWIFY REVIEW'!$AB$4:$AB$400,"V",'KNOWIFY REVIEW'!$AC$4:$AC$400,INPUTS!$B$69,'KNOWIFY REVIEW'!$AD$4:$AD$400,1)</f>
        <v>300000</v>
      </c>
      <c r="E46" s="28" t="n">
        <f aca="false">SUMIFS('KNOWIFY REVIEW'!$AF$4:$AF$400,'KNOWIFY REVIEW'!$AB$4:$AB$400,"V",'KNOWIFY REVIEW'!$AC$4:$AC$400,INPUTS!$B$69,'KNOWIFY REVIEW'!$AD$4:$AD$400,1)</f>
        <v>518488.26</v>
      </c>
      <c r="F46" s="43" t="n">
        <f aca="false">IFERROR(E46/D46,"")</f>
        <v>1.7282942</v>
      </c>
      <c r="G46" s="28" t="n">
        <f aca="false">SUMIFS('KNOWIFY REVIEW'!$AG$4:$AG$400,'KNOWIFY REVIEW'!$AB$4:$AB$400,"V",'KNOWIFY REVIEW'!$AC$4:$AC$400,INPUTS!$B$69,'KNOWIFY REVIEW'!$AD$4:$AD$400,1)</f>
        <v>0</v>
      </c>
      <c r="H46" s="28" t="n">
        <f aca="false">SUMIFS('KNOWIFY REVIEW'!$AH$4:$AH$400,'KNOWIFY REVIEW'!$AB$4:$AB$400,"V",'KNOWIFY REVIEW'!$AC$4:$AC$400,INPUTS!$B$69,'KNOWIFY REVIEW'!$AD$4:$AD$400,1)</f>
        <v>20243.83</v>
      </c>
      <c r="I46" s="43" t="str">
        <f aca="false">IFERROR(H46/G46,"")</f>
        <v/>
      </c>
      <c r="J46" s="13" t="n">
        <f aca="false">IFERROR(E46/'KNOWIFY REVIEW'!$E$72,0)</f>
        <v>10266.543845808</v>
      </c>
      <c r="AA46" s="7" t="str">
        <f aca="false">IF('KNOWIFY PHASES'!A46="","",'KNOWIFY PHASES'!A46)</f>
        <v>V - BLDG A - L3 HVAC Rough-in (Labour)</v>
      </c>
      <c r="AB46" s="7" t="str">
        <f aca="false">IF(AA46="","",IF(LEFT(AA46,4)="P - ","P",IF(LEFT(AA46,4)="H - ","H",IF(LEFT(AA46,5)="AC - ","AC",IF(OR(LEFT(AA46,4)="V - ",LEFT(AA46,7)="HVAC - "),"V","Other")))))</f>
        <v>V</v>
      </c>
      <c r="AC46" s="7" t="str">
        <f aca="false">IF(AA46="","",IFERROR(LOOKUP(2,1/(($AZ$5:$AZ$60&lt;&gt;"")*ISNUMBER(SEARCH($AZ$5:$AZ$60,AA46))),$BA$5:$BA$60),IF(AB46="Other","Excluded","Unmapped")))</f>
        <v>03 Rough-in (Labour)</v>
      </c>
      <c r="AD46" s="7" t="n">
        <f aca="false">IF(AA46="","",IF(AND(AB46&lt;&gt;"Other",OR(AND('KNOWIFY PHASES'!B46="Closed",N('KNOWIFY PHASES'!D46)&gt;=0.5),N('KNOWIFY PHASES'!D46)&gt;=1)),1,0))</f>
        <v>1</v>
      </c>
      <c r="AE46" s="7" t="n">
        <f aca="false">N('KNOWIFY PHASES'!L46)</f>
        <v>25000</v>
      </c>
      <c r="AF46" s="7" t="n">
        <f aca="false">N('KNOWIFY PHASES'!K46)</f>
        <v>45778.31</v>
      </c>
      <c r="AG46" s="7" t="n">
        <f aca="false">N('KNOWIFY PHASES'!I46)</f>
        <v>0</v>
      </c>
      <c r="AH46" s="7" t="n">
        <f aca="false">N('KNOWIFY PHASES'!H46)</f>
        <v>0</v>
      </c>
      <c r="AI46" s="7" t="n">
        <f aca="false">N('KNOWIFY PHASES'!O46)</f>
        <v>0</v>
      </c>
      <c r="AJ46" s="7" t="n">
        <f aca="false">N('KNOWIFY PHASES'!N46)</f>
        <v>0</v>
      </c>
      <c r="AK46" s="7" t="n">
        <f aca="false">N('KNOWIFY PHASES'!R46)</f>
        <v>0</v>
      </c>
      <c r="AL46" s="7" t="n">
        <f aca="false">N('KNOWIFY PHASES'!Q46)</f>
        <v>0</v>
      </c>
      <c r="AM46" s="7" t="n">
        <f aca="false">N('KNOWIFY PHASES'!F46)</f>
        <v>25000</v>
      </c>
      <c r="AN46" s="7" t="n">
        <f aca="false">N('KNOWIFY PHASES'!E46)</f>
        <v>45778.31</v>
      </c>
      <c r="AO46" s="7" t="n">
        <f aca="false">MAX(AE46,AF46)</f>
        <v>45778.31</v>
      </c>
      <c r="AP46" s="7" t="n">
        <f aca="false">MAX(AG46,AH46)</f>
        <v>0</v>
      </c>
      <c r="AQ46" s="7" t="n">
        <f aca="false">MAX(AI46,AJ46)</f>
        <v>0</v>
      </c>
      <c r="AR46" s="7" t="n">
        <f aca="false">MAX(AK46,AL46)</f>
        <v>0</v>
      </c>
      <c r="AT46" s="7" t="str">
        <f aca="false">IF('KNOWIFY TIME'!B46="","",'KNOWIFY TIME'!B46)</f>
        <v>Apprentice Lvl 5</v>
      </c>
      <c r="AU46" s="7" t="n">
        <f aca="false">IF(AT46="",0,IF(ISNUMBER('KNOWIFY TIME'!D46),'KNOWIFY TIME'!D46*24,IFERROR(VALUE(LEFT('KNOWIFY TIME'!D46,FIND(":",'KNOWIFY TIME'!D46)-1))+VALUE(MID('KNOWIFY TIME'!D46,FIND(":",'KNOWIFY TIME'!D46)+1,2))/60,0)))</f>
        <v>885.333333333333</v>
      </c>
      <c r="AV46" s="7" t="n">
        <f aca="false">N('KNOWIFY TIME'!E46)</f>
        <v>35045.34</v>
      </c>
      <c r="AW46" s="7" t="str">
        <f aca="false">IF(AT46="","",IFERROR(INDEX($BD$5:$BD$60,MATCH(AT46,$BC$5:$BC$60,0)),"Unmapped"))</f>
        <v>Apprentice Lvl 3-6</v>
      </c>
      <c r="AZ46" s="10"/>
      <c r="BA46" s="10"/>
      <c r="BC46" s="10"/>
      <c r="BD46" s="10"/>
    </row>
    <row r="47" customFormat="false" ht="15" hidden="false" customHeight="false" outlineLevel="0" collapsed="false">
      <c r="B47" s="24" t="str">
        <f aca="false">"V  "&amp;INPUTS!$B$70</f>
        <v>V  04 Finishing (Labour)</v>
      </c>
      <c r="C47" s="13" t="n">
        <f aca="false">COUNTIFS('KNOWIFY REVIEW'!$AB$4:$AB$400,"V",'KNOWIFY REVIEW'!$AC$4:$AC$400,INPUTS!$B$70,'KNOWIFY REVIEW'!$AD$4:$AD$400,1)</f>
        <v>1</v>
      </c>
      <c r="D47" s="28" t="n">
        <f aca="false">SUMIFS('KNOWIFY REVIEW'!$AE$4:$AE$400,'KNOWIFY REVIEW'!$AB$4:$AB$400,"V",'KNOWIFY REVIEW'!$AC$4:$AC$400,INPUTS!$B$70,'KNOWIFY REVIEW'!$AD$4:$AD$400,1)</f>
        <v>5500</v>
      </c>
      <c r="E47" s="28" t="n">
        <f aca="false">SUMIFS('KNOWIFY REVIEW'!$AF$4:$AF$400,'KNOWIFY REVIEW'!$AB$4:$AB$400,"V",'KNOWIFY REVIEW'!$AC$4:$AC$400,INPUTS!$B$70,'KNOWIFY REVIEW'!$AD$4:$AD$400,1)</f>
        <v>0</v>
      </c>
      <c r="F47" s="43" t="n">
        <f aca="false">IFERROR(E47/D47,"")</f>
        <v>0</v>
      </c>
      <c r="G47" s="28" t="n">
        <f aca="false">SUMIFS('KNOWIFY REVIEW'!$AG$4:$AG$400,'KNOWIFY REVIEW'!$AB$4:$AB$400,"V",'KNOWIFY REVIEW'!$AC$4:$AC$400,INPUTS!$B$70,'KNOWIFY REVIEW'!$AD$4:$AD$400,1)</f>
        <v>0</v>
      </c>
      <c r="H47" s="28" t="n">
        <f aca="false">SUMIFS('KNOWIFY REVIEW'!$AH$4:$AH$400,'KNOWIFY REVIEW'!$AB$4:$AB$400,"V",'KNOWIFY REVIEW'!$AC$4:$AC$400,INPUTS!$B$70,'KNOWIFY REVIEW'!$AD$4:$AD$400,1)</f>
        <v>9879.96</v>
      </c>
      <c r="I47" s="43" t="str">
        <f aca="false">IFERROR(H47/G47,"")</f>
        <v/>
      </c>
      <c r="J47" s="13" t="n">
        <f aca="false">IFERROR(E47/'KNOWIFY REVIEW'!$E$72,0)</f>
        <v>0</v>
      </c>
      <c r="AA47" s="7" t="str">
        <f aca="false">IF('KNOWIFY PHASES'!A47="","",'KNOWIFY PHASES'!A47)</f>
        <v>V - BLDG A - L4 HVAC Rough-in (Labour)</v>
      </c>
      <c r="AB47" s="7" t="str">
        <f aca="false">IF(AA47="","",IF(LEFT(AA47,4)="P - ","P",IF(LEFT(AA47,4)="H - ","H",IF(LEFT(AA47,5)="AC - ","AC",IF(OR(LEFT(AA47,4)="V - ",LEFT(AA47,7)="HVAC - "),"V","Other")))))</f>
        <v>V</v>
      </c>
      <c r="AC47" s="7" t="str">
        <f aca="false">IF(AA47="","",IFERROR(LOOKUP(2,1/(($AZ$5:$AZ$60&lt;&gt;"")*ISNUMBER(SEARCH($AZ$5:$AZ$60,AA47))),$BA$5:$BA$60),IF(AB47="Other","Excluded","Unmapped")))</f>
        <v>03 Rough-in (Labour)</v>
      </c>
      <c r="AD47" s="7" t="n">
        <f aca="false">IF(AA47="","",IF(AND(AB47&lt;&gt;"Other",OR(AND('KNOWIFY PHASES'!B47="Closed",N('KNOWIFY PHASES'!D47)&gt;=0.5),N('KNOWIFY PHASES'!D47)&gt;=1)),1,0))</f>
        <v>1</v>
      </c>
      <c r="AE47" s="7" t="n">
        <f aca="false">N('KNOWIFY PHASES'!L47)</f>
        <v>25000</v>
      </c>
      <c r="AF47" s="7" t="n">
        <f aca="false">N('KNOWIFY PHASES'!K47)</f>
        <v>37075.2</v>
      </c>
      <c r="AG47" s="7" t="n">
        <f aca="false">N('KNOWIFY PHASES'!I47)</f>
        <v>0</v>
      </c>
      <c r="AH47" s="7" t="n">
        <f aca="false">N('KNOWIFY PHASES'!H47)</f>
        <v>0</v>
      </c>
      <c r="AI47" s="7" t="n">
        <f aca="false">N('KNOWIFY PHASES'!O47)</f>
        <v>0</v>
      </c>
      <c r="AJ47" s="7" t="n">
        <f aca="false">N('KNOWIFY PHASES'!N47)</f>
        <v>0</v>
      </c>
      <c r="AK47" s="7" t="n">
        <f aca="false">N('KNOWIFY PHASES'!R47)</f>
        <v>0</v>
      </c>
      <c r="AL47" s="7" t="n">
        <f aca="false">N('KNOWIFY PHASES'!Q47)</f>
        <v>0</v>
      </c>
      <c r="AM47" s="7" t="n">
        <f aca="false">N('KNOWIFY PHASES'!F47)</f>
        <v>25000</v>
      </c>
      <c r="AN47" s="7" t="n">
        <f aca="false">N('KNOWIFY PHASES'!E47)</f>
        <v>37075.2</v>
      </c>
      <c r="AO47" s="7" t="n">
        <f aca="false">MAX(AE47,AF47)</f>
        <v>37075.2</v>
      </c>
      <c r="AP47" s="7" t="n">
        <f aca="false">MAX(AG47,AH47)</f>
        <v>0</v>
      </c>
      <c r="AQ47" s="7" t="n">
        <f aca="false">MAX(AI47,AJ47)</f>
        <v>0</v>
      </c>
      <c r="AR47" s="7" t="n">
        <f aca="false">MAX(AK47,AL47)</f>
        <v>0</v>
      </c>
      <c r="AT47" s="7" t="str">
        <f aca="false">IF('KNOWIFY TIME'!B47="","",'KNOWIFY TIME'!B47)</f>
        <v>Journeyman Lvl 2</v>
      </c>
      <c r="AU47" s="7" t="n">
        <f aca="false">IF(AT47="",0,IF(ISNUMBER('KNOWIFY TIME'!D47),'KNOWIFY TIME'!D47*24,IFERROR(VALUE(LEFT('KNOWIFY TIME'!D47,FIND(":",'KNOWIFY TIME'!D47)-1))+VALUE(MID('KNOWIFY TIME'!D47,FIND(":",'KNOWIFY TIME'!D47)+1,2))/60,0)))</f>
        <v>16.5</v>
      </c>
      <c r="AV47" s="7" t="n">
        <f aca="false">N('KNOWIFY TIME'!E47)</f>
        <v>1193.44</v>
      </c>
      <c r="AW47" s="7" t="str">
        <f aca="false">IF(AT47="","",IFERROR(INDEX($BD$5:$BD$60,MATCH(AT47,$BC$5:$BC$60,0)),"Unmapped"))</f>
        <v>Journeyman Lvl 1-2</v>
      </c>
      <c r="AZ47" s="10"/>
      <c r="BA47" s="10"/>
      <c r="BC47" s="10"/>
      <c r="BD47" s="10"/>
    </row>
    <row r="48" customFormat="false" ht="15" hidden="false" customHeight="false" outlineLevel="0" collapsed="false">
      <c r="B48" s="24" t="str">
        <f aca="false">"V  "&amp;INPUTS!$B$71</f>
        <v>V  05 Material Supply</v>
      </c>
      <c r="C48" s="13" t="n">
        <f aca="false">COUNTIFS('KNOWIFY REVIEW'!$AB$4:$AB$400,"V",'KNOWIFY REVIEW'!$AC$4:$AC$400,INPUTS!$B$71,'KNOWIFY REVIEW'!$AD$4:$AD$400,1)</f>
        <v>2</v>
      </c>
      <c r="D48" s="28" t="n">
        <f aca="false">SUMIFS('KNOWIFY REVIEW'!$AE$4:$AE$400,'KNOWIFY REVIEW'!$AB$4:$AB$400,"V",'KNOWIFY REVIEW'!$AC$4:$AC$400,INPUTS!$B$71,'KNOWIFY REVIEW'!$AD$4:$AD$400,1)</f>
        <v>0</v>
      </c>
      <c r="E48" s="28" t="n">
        <f aca="false">SUMIFS('KNOWIFY REVIEW'!$AF$4:$AF$400,'KNOWIFY REVIEW'!$AB$4:$AB$400,"V",'KNOWIFY REVIEW'!$AC$4:$AC$400,INPUTS!$B$71,'KNOWIFY REVIEW'!$AD$4:$AD$400,1)</f>
        <v>0</v>
      </c>
      <c r="F48" s="43" t="str">
        <f aca="false">IFERROR(E48/D48,"")</f>
        <v/>
      </c>
      <c r="G48" s="28" t="n">
        <f aca="false">SUMIFS('KNOWIFY REVIEW'!$AG$4:$AG$400,'KNOWIFY REVIEW'!$AB$4:$AB$400,"V",'KNOWIFY REVIEW'!$AC$4:$AC$400,INPUTS!$B$71,'KNOWIFY REVIEW'!$AD$4:$AD$400,1)</f>
        <v>150000</v>
      </c>
      <c r="H48" s="28" t="n">
        <f aca="false">SUMIFS('KNOWIFY REVIEW'!$AH$4:$AH$400,'KNOWIFY REVIEW'!$AB$4:$AB$400,"V",'KNOWIFY REVIEW'!$AC$4:$AC$400,INPUTS!$B$71,'KNOWIFY REVIEW'!$AD$4:$AD$400,1)</f>
        <v>283784.62</v>
      </c>
      <c r="I48" s="43" t="n">
        <f aca="false">IFERROR(H48/G48,"")</f>
        <v>1.89189746666667</v>
      </c>
      <c r="J48" s="13" t="n">
        <f aca="false">IFERROR(E48/'KNOWIFY REVIEW'!$E$72,0)</f>
        <v>0</v>
      </c>
      <c r="AA48" s="7" t="str">
        <f aca="false">IF('KNOWIFY PHASES'!A48="","",'KNOWIFY PHASES'!A48)</f>
        <v>V - BLDG A - L5 HVAC Rough-in (Labour)</v>
      </c>
      <c r="AB48" s="7" t="str">
        <f aca="false">IF(AA48="","",IF(LEFT(AA48,4)="P - ","P",IF(LEFT(AA48,4)="H - ","H",IF(LEFT(AA48,5)="AC - ","AC",IF(OR(LEFT(AA48,4)="V - ",LEFT(AA48,7)="HVAC - "),"V","Other")))))</f>
        <v>V</v>
      </c>
      <c r="AC48" s="7" t="str">
        <f aca="false">IF(AA48="","",IFERROR(LOOKUP(2,1/(($AZ$5:$AZ$60&lt;&gt;"")*ISNUMBER(SEARCH($AZ$5:$AZ$60,AA48))),$BA$5:$BA$60),IF(AB48="Other","Excluded","Unmapped")))</f>
        <v>03 Rough-in (Labour)</v>
      </c>
      <c r="AD48" s="7" t="n">
        <f aca="false">IF(AA48="","",IF(AND(AB48&lt;&gt;"Other",OR(AND('KNOWIFY PHASES'!B48="Closed",N('KNOWIFY PHASES'!D48)&gt;=0.5),N('KNOWIFY PHASES'!D48)&gt;=1)),1,0))</f>
        <v>1</v>
      </c>
      <c r="AE48" s="7" t="n">
        <f aca="false">N('KNOWIFY PHASES'!L48)</f>
        <v>25000</v>
      </c>
      <c r="AF48" s="7" t="n">
        <f aca="false">N('KNOWIFY PHASES'!K48)</f>
        <v>50793.2</v>
      </c>
      <c r="AG48" s="7" t="n">
        <f aca="false">N('KNOWIFY PHASES'!I48)</f>
        <v>0</v>
      </c>
      <c r="AH48" s="7" t="n">
        <f aca="false">N('KNOWIFY PHASES'!H48)</f>
        <v>4215.13</v>
      </c>
      <c r="AI48" s="7" t="n">
        <f aca="false">N('KNOWIFY PHASES'!O48)</f>
        <v>0</v>
      </c>
      <c r="AJ48" s="7" t="n">
        <f aca="false">N('KNOWIFY PHASES'!N48)</f>
        <v>0</v>
      </c>
      <c r="AK48" s="7" t="n">
        <f aca="false">N('KNOWIFY PHASES'!R48)</f>
        <v>0</v>
      </c>
      <c r="AL48" s="7" t="n">
        <f aca="false">N('KNOWIFY PHASES'!Q48)</f>
        <v>0</v>
      </c>
      <c r="AM48" s="7" t="n">
        <f aca="false">N('KNOWIFY PHASES'!F48)</f>
        <v>25000</v>
      </c>
      <c r="AN48" s="7" t="n">
        <f aca="false">N('KNOWIFY PHASES'!E48)</f>
        <v>55008.33</v>
      </c>
      <c r="AO48" s="7" t="n">
        <f aca="false">MAX(AE48,AF48)</f>
        <v>50793.2</v>
      </c>
      <c r="AP48" s="7" t="n">
        <f aca="false">MAX(AG48,AH48)</f>
        <v>4215.13</v>
      </c>
      <c r="AQ48" s="7" t="n">
        <f aca="false">MAX(AI48,AJ48)</f>
        <v>0</v>
      </c>
      <c r="AR48" s="7" t="n">
        <f aca="false">MAX(AK48,AL48)</f>
        <v>0</v>
      </c>
      <c r="AT48" s="7" t="str">
        <f aca="false">IF('KNOWIFY TIME'!B48="","",'KNOWIFY TIME'!B48)</f>
        <v>Journeyman</v>
      </c>
      <c r="AU48" s="7" t="n">
        <f aca="false">IF(AT48="",0,IF(ISNUMBER('KNOWIFY TIME'!D48),'KNOWIFY TIME'!D48*24,IFERROR(VALUE(LEFT('KNOWIFY TIME'!D48,FIND(":",'KNOWIFY TIME'!D48)-1))+VALUE(MID('KNOWIFY TIME'!D48,FIND(":",'KNOWIFY TIME'!D48)+1,2))/60,0)))</f>
        <v>120.75</v>
      </c>
      <c r="AV48" s="7" t="n">
        <f aca="false">N('KNOWIFY TIME'!E48)</f>
        <v>8318.48</v>
      </c>
      <c r="AW48" s="7" t="str">
        <f aca="false">IF(AT48="","",IFERROR(INDEX($BD$5:$BD$60,MATCH(AT48,$BC$5:$BC$60,0)),"Unmapped"))</f>
        <v>Journeyman Lvl 1-2</v>
      </c>
      <c r="AZ48" s="10"/>
      <c r="BA48" s="10"/>
      <c r="BC48" s="10"/>
      <c r="BD48" s="10"/>
    </row>
    <row r="49" customFormat="false" ht="15" hidden="false" customHeight="false" outlineLevel="0" collapsed="false">
      <c r="B49" s="24" t="str">
        <f aca="false">"V  "&amp;INPUTS!$B$72</f>
        <v>V  06 Fixtures &amp; Equipment Supply</v>
      </c>
      <c r="C49" s="13" t="n">
        <f aca="false">COUNTIFS('KNOWIFY REVIEW'!$AB$4:$AB$400,"V",'KNOWIFY REVIEW'!$AC$4:$AC$400,INPUTS!$B$72,'KNOWIFY REVIEW'!$AD$4:$AD$400,1)</f>
        <v>0</v>
      </c>
      <c r="D49" s="28" t="n">
        <f aca="false">SUMIFS('KNOWIFY REVIEW'!$AE$4:$AE$400,'KNOWIFY REVIEW'!$AB$4:$AB$400,"V",'KNOWIFY REVIEW'!$AC$4:$AC$400,INPUTS!$B$72,'KNOWIFY REVIEW'!$AD$4:$AD$400,1)</f>
        <v>0</v>
      </c>
      <c r="E49" s="28" t="n">
        <f aca="false">SUMIFS('KNOWIFY REVIEW'!$AF$4:$AF$400,'KNOWIFY REVIEW'!$AB$4:$AB$400,"V",'KNOWIFY REVIEW'!$AC$4:$AC$400,INPUTS!$B$72,'KNOWIFY REVIEW'!$AD$4:$AD$400,1)</f>
        <v>0</v>
      </c>
      <c r="F49" s="43" t="str">
        <f aca="false">IFERROR(E49/D49,"")</f>
        <v/>
      </c>
      <c r="G49" s="28" t="n">
        <f aca="false">SUMIFS('KNOWIFY REVIEW'!$AG$4:$AG$400,'KNOWIFY REVIEW'!$AB$4:$AB$400,"V",'KNOWIFY REVIEW'!$AC$4:$AC$400,INPUTS!$B$72,'KNOWIFY REVIEW'!$AD$4:$AD$400,1)</f>
        <v>0</v>
      </c>
      <c r="H49" s="28" t="n">
        <f aca="false">SUMIFS('KNOWIFY REVIEW'!$AH$4:$AH$400,'KNOWIFY REVIEW'!$AB$4:$AB$400,"V",'KNOWIFY REVIEW'!$AC$4:$AC$400,INPUTS!$B$72,'KNOWIFY REVIEW'!$AD$4:$AD$400,1)</f>
        <v>0</v>
      </c>
      <c r="I49" s="43" t="str">
        <f aca="false">IFERROR(H49/G49,"")</f>
        <v/>
      </c>
      <c r="J49" s="13" t="n">
        <f aca="false">IFERROR(E49/'KNOWIFY REVIEW'!$E$72,0)</f>
        <v>0</v>
      </c>
      <c r="AA49" s="7" t="str">
        <f aca="false">IF('KNOWIFY PHASES'!A49="","",'KNOWIFY PHASES'!A49)</f>
        <v>V - BLDG A - L6 HVAC Rough-in (Labour)</v>
      </c>
      <c r="AB49" s="7" t="str">
        <f aca="false">IF(AA49="","",IF(LEFT(AA49,4)="P - ","P",IF(LEFT(AA49,4)="H - ","H",IF(LEFT(AA49,5)="AC - ","AC",IF(OR(LEFT(AA49,4)="V - ",LEFT(AA49,7)="HVAC - "),"V","Other")))))</f>
        <v>V</v>
      </c>
      <c r="AC49" s="7" t="str">
        <f aca="false">IF(AA49="","",IFERROR(LOOKUP(2,1/(($AZ$5:$AZ$60&lt;&gt;"")*ISNUMBER(SEARCH($AZ$5:$AZ$60,AA49))),$BA$5:$BA$60),IF(AB49="Other","Excluded","Unmapped")))</f>
        <v>03 Rough-in (Labour)</v>
      </c>
      <c r="AD49" s="7" t="n">
        <f aca="false">IF(AA49="","",IF(AND(AB49&lt;&gt;"Other",OR(AND('KNOWIFY PHASES'!B49="Closed",N('KNOWIFY PHASES'!D49)&gt;=0.5),N('KNOWIFY PHASES'!D49)&gt;=1)),1,0))</f>
        <v>1</v>
      </c>
      <c r="AE49" s="7" t="n">
        <f aca="false">N('KNOWIFY PHASES'!L49)</f>
        <v>25000</v>
      </c>
      <c r="AF49" s="7" t="n">
        <f aca="false">N('KNOWIFY PHASES'!K49)</f>
        <v>45388.62</v>
      </c>
      <c r="AG49" s="7" t="n">
        <f aca="false">N('KNOWIFY PHASES'!I49)</f>
        <v>0</v>
      </c>
      <c r="AH49" s="7" t="n">
        <f aca="false">N('KNOWIFY PHASES'!H49)</f>
        <v>10358.7</v>
      </c>
      <c r="AI49" s="7" t="n">
        <f aca="false">N('KNOWIFY PHASES'!O49)</f>
        <v>0</v>
      </c>
      <c r="AJ49" s="7" t="n">
        <f aca="false">N('KNOWIFY PHASES'!N49)</f>
        <v>0</v>
      </c>
      <c r="AK49" s="7" t="n">
        <f aca="false">N('KNOWIFY PHASES'!R49)</f>
        <v>0</v>
      </c>
      <c r="AL49" s="7" t="n">
        <f aca="false">N('KNOWIFY PHASES'!Q49)</f>
        <v>0</v>
      </c>
      <c r="AM49" s="7" t="n">
        <f aca="false">N('KNOWIFY PHASES'!F49)</f>
        <v>25000</v>
      </c>
      <c r="AN49" s="7" t="n">
        <f aca="false">N('KNOWIFY PHASES'!E49)</f>
        <v>55747.32</v>
      </c>
      <c r="AO49" s="7" t="n">
        <f aca="false">MAX(AE49,AF49)</f>
        <v>45388.62</v>
      </c>
      <c r="AP49" s="7" t="n">
        <f aca="false">MAX(AG49,AH49)</f>
        <v>10358.7</v>
      </c>
      <c r="AQ49" s="7" t="n">
        <f aca="false">MAX(AI49,AJ49)</f>
        <v>0</v>
      </c>
      <c r="AR49" s="7" t="n">
        <f aca="false">MAX(AK49,AL49)</f>
        <v>0</v>
      </c>
      <c r="AT49" s="7" t="str">
        <f aca="false">IF('KNOWIFY TIME'!B49="","",'KNOWIFY TIME'!B49)</f>
        <v>Apprentice Lvl 8</v>
      </c>
      <c r="AU49" s="7" t="n">
        <f aca="false">IF(AT49="",0,IF(ISNUMBER('KNOWIFY TIME'!D49),'KNOWIFY TIME'!D49*24,IFERROR(VALUE(LEFT('KNOWIFY TIME'!D49,FIND(":",'KNOWIFY TIME'!D49)-1))+VALUE(MID('KNOWIFY TIME'!D49,FIND(":",'KNOWIFY TIME'!D49)+1,2))/60,0)))</f>
        <v>133.916666666667</v>
      </c>
      <c r="AV49" s="7" t="n">
        <f aca="false">N('KNOWIFY TIME'!E49)</f>
        <v>6745.85</v>
      </c>
      <c r="AW49" s="7" t="str">
        <f aca="false">IF(AT49="","",IFERROR(INDEX($BD$5:$BD$60,MATCH(AT49,$BC$5:$BC$60,0)),"Unmapped"))</f>
        <v>Apprentice Lvl 7-8</v>
      </c>
      <c r="AZ49" s="10"/>
      <c r="BA49" s="10"/>
      <c r="BC49" s="10"/>
      <c r="BD49" s="10"/>
    </row>
    <row r="50" customFormat="false" ht="15" hidden="false" customHeight="false" outlineLevel="0" collapsed="false">
      <c r="B50" s="24" t="str">
        <f aca="false">"V  "&amp;INPUTS!$B$73</f>
        <v>V  07 Testing, TAB &amp; Commissioning</v>
      </c>
      <c r="C50" s="13" t="n">
        <f aca="false">COUNTIFS('KNOWIFY REVIEW'!$AB$4:$AB$400,"V",'KNOWIFY REVIEW'!$AC$4:$AC$400,INPUTS!$B$73,'KNOWIFY REVIEW'!$AD$4:$AD$400,1)</f>
        <v>0</v>
      </c>
      <c r="D50" s="28" t="n">
        <f aca="false">SUMIFS('KNOWIFY REVIEW'!$AE$4:$AE$400,'KNOWIFY REVIEW'!$AB$4:$AB$400,"V",'KNOWIFY REVIEW'!$AC$4:$AC$400,INPUTS!$B$73,'KNOWIFY REVIEW'!$AD$4:$AD$400,1)</f>
        <v>0</v>
      </c>
      <c r="E50" s="28" t="n">
        <f aca="false">SUMIFS('KNOWIFY REVIEW'!$AF$4:$AF$400,'KNOWIFY REVIEW'!$AB$4:$AB$400,"V",'KNOWIFY REVIEW'!$AC$4:$AC$400,INPUTS!$B$73,'KNOWIFY REVIEW'!$AD$4:$AD$400,1)</f>
        <v>0</v>
      </c>
      <c r="F50" s="43" t="str">
        <f aca="false">IFERROR(E50/D50,"")</f>
        <v/>
      </c>
      <c r="G50" s="28" t="n">
        <f aca="false">SUMIFS('KNOWIFY REVIEW'!$AG$4:$AG$400,'KNOWIFY REVIEW'!$AB$4:$AB$400,"V",'KNOWIFY REVIEW'!$AC$4:$AC$400,INPUTS!$B$73,'KNOWIFY REVIEW'!$AD$4:$AD$400,1)</f>
        <v>0</v>
      </c>
      <c r="H50" s="28" t="n">
        <f aca="false">SUMIFS('KNOWIFY REVIEW'!$AH$4:$AH$400,'KNOWIFY REVIEW'!$AB$4:$AB$400,"V",'KNOWIFY REVIEW'!$AC$4:$AC$400,INPUTS!$B$73,'KNOWIFY REVIEW'!$AD$4:$AD$400,1)</f>
        <v>0</v>
      </c>
      <c r="I50" s="43" t="str">
        <f aca="false">IFERROR(H50/G50,"")</f>
        <v/>
      </c>
      <c r="J50" s="13" t="n">
        <f aca="false">IFERROR(E50/'KNOWIFY REVIEW'!$E$72,0)</f>
        <v>0</v>
      </c>
      <c r="AA50" s="7" t="str">
        <f aca="false">IF('KNOWIFY PHASES'!A50="","",'KNOWIFY PHASES'!A50)</f>
        <v>V - BLDG A - Material Supply</v>
      </c>
      <c r="AB50" s="7" t="str">
        <f aca="false">IF(AA50="","",IF(LEFT(AA50,4)="P - ","P",IF(LEFT(AA50,4)="H - ","H",IF(LEFT(AA50,5)="AC - ","AC",IF(OR(LEFT(AA50,4)="V - ",LEFT(AA50,7)="HVAC - "),"V","Other")))))</f>
        <v>V</v>
      </c>
      <c r="AC50" s="7" t="str">
        <f aca="false">IF(AA50="","",IFERROR(LOOKUP(2,1/(($AZ$5:$AZ$60&lt;&gt;"")*ISNUMBER(SEARCH($AZ$5:$AZ$60,AA50))),$BA$5:$BA$60),IF(AB50="Other","Excluded","Unmapped")))</f>
        <v>05 Material Supply</v>
      </c>
      <c r="AD50" s="7" t="n">
        <f aca="false">IF(AA50="","",IF(AND(AB50&lt;&gt;"Other",OR(AND('KNOWIFY PHASES'!B50="Closed",N('KNOWIFY PHASES'!D50)&gt;=0.5),N('KNOWIFY PHASES'!D50)&gt;=1)),1,0))</f>
        <v>1</v>
      </c>
      <c r="AE50" s="7" t="n">
        <f aca="false">N('KNOWIFY PHASES'!L50)</f>
        <v>0</v>
      </c>
      <c r="AF50" s="7" t="n">
        <f aca="false">N('KNOWIFY PHASES'!K50)</f>
        <v>0</v>
      </c>
      <c r="AG50" s="7" t="n">
        <f aca="false">N('KNOWIFY PHASES'!I50)</f>
        <v>75000</v>
      </c>
      <c r="AH50" s="7" t="n">
        <f aca="false">N('KNOWIFY PHASES'!H50)</f>
        <v>158960.4</v>
      </c>
      <c r="AI50" s="7" t="n">
        <f aca="false">N('KNOWIFY PHASES'!O50)</f>
        <v>0</v>
      </c>
      <c r="AJ50" s="7" t="n">
        <f aca="false">N('KNOWIFY PHASES'!N50)</f>
        <v>0</v>
      </c>
      <c r="AK50" s="7" t="n">
        <f aca="false">N('KNOWIFY PHASES'!R50)</f>
        <v>0</v>
      </c>
      <c r="AL50" s="7" t="n">
        <f aca="false">N('KNOWIFY PHASES'!Q50)</f>
        <v>0</v>
      </c>
      <c r="AM50" s="7" t="n">
        <f aca="false">N('KNOWIFY PHASES'!F50)</f>
        <v>75000</v>
      </c>
      <c r="AN50" s="7" t="n">
        <f aca="false">N('KNOWIFY PHASES'!E50)</f>
        <v>158960.4</v>
      </c>
      <c r="AO50" s="7" t="n">
        <f aca="false">MAX(AE50,AF50)</f>
        <v>0</v>
      </c>
      <c r="AP50" s="7" t="n">
        <f aca="false">MAX(AG50,AH50)</f>
        <v>158960.4</v>
      </c>
      <c r="AQ50" s="7" t="n">
        <f aca="false">MAX(AI50,AJ50)</f>
        <v>0</v>
      </c>
      <c r="AR50" s="7" t="n">
        <f aca="false">MAX(AK50,AL50)</f>
        <v>0</v>
      </c>
      <c r="AT50" s="7" t="str">
        <f aca="false">IF('KNOWIFY TIME'!B50="","",'KNOWIFY TIME'!B50)</f>
        <v>Admin</v>
      </c>
      <c r="AU50" s="7" t="n">
        <f aca="false">IF(AT50="",0,IF(ISNUMBER('KNOWIFY TIME'!D50),'KNOWIFY TIME'!D50*24,IFERROR(VALUE(LEFT('KNOWIFY TIME'!D50,FIND(":",'KNOWIFY TIME'!D50)-1))+VALUE(MID('KNOWIFY TIME'!D50,FIND(":",'KNOWIFY TIME'!D50)+1,2))/60,0)))</f>
        <v>2.75</v>
      </c>
      <c r="AV50" s="7" t="n">
        <f aca="false">N('KNOWIFY TIME'!E50)</f>
        <v>192.75</v>
      </c>
      <c r="AW50" s="7" t="str">
        <f aca="false">IF(AT50="","",IFERROR(INDEX($BD$5:$BD$60,MATCH(AT50,$BC$5:$BC$60,0)),"Unmapped"))</f>
        <v>Foreman &amp; PM</v>
      </c>
      <c r="AZ50" s="10"/>
      <c r="BA50" s="10"/>
      <c r="BC50" s="10"/>
      <c r="BD50" s="10"/>
    </row>
    <row r="51" customFormat="false" ht="15" hidden="false" customHeight="false" outlineLevel="0" collapsed="false">
      <c r="B51" s="24" t="str">
        <f aca="false">"V  "&amp;INPUTS!$B$74</f>
        <v>V  08 Completion &amp; Final Documents</v>
      </c>
      <c r="C51" s="13" t="n">
        <f aca="false">COUNTIFS('KNOWIFY REVIEW'!$AB$4:$AB$400,"V",'KNOWIFY REVIEW'!$AC$4:$AC$400,INPUTS!$B$74,'KNOWIFY REVIEW'!$AD$4:$AD$400,1)</f>
        <v>0</v>
      </c>
      <c r="D51" s="28" t="n">
        <f aca="false">SUMIFS('KNOWIFY REVIEW'!$AE$4:$AE$400,'KNOWIFY REVIEW'!$AB$4:$AB$400,"V",'KNOWIFY REVIEW'!$AC$4:$AC$400,INPUTS!$B$74,'KNOWIFY REVIEW'!$AD$4:$AD$400,1)</f>
        <v>0</v>
      </c>
      <c r="E51" s="28" t="n">
        <f aca="false">SUMIFS('KNOWIFY REVIEW'!$AF$4:$AF$400,'KNOWIFY REVIEW'!$AB$4:$AB$400,"V",'KNOWIFY REVIEW'!$AC$4:$AC$400,INPUTS!$B$74,'KNOWIFY REVIEW'!$AD$4:$AD$400,1)</f>
        <v>0</v>
      </c>
      <c r="F51" s="43" t="str">
        <f aca="false">IFERROR(E51/D51,"")</f>
        <v/>
      </c>
      <c r="G51" s="28" t="n">
        <f aca="false">SUMIFS('KNOWIFY REVIEW'!$AG$4:$AG$400,'KNOWIFY REVIEW'!$AB$4:$AB$400,"V",'KNOWIFY REVIEW'!$AC$4:$AC$400,INPUTS!$B$74,'KNOWIFY REVIEW'!$AD$4:$AD$400,1)</f>
        <v>0</v>
      </c>
      <c r="H51" s="28" t="n">
        <f aca="false">SUMIFS('KNOWIFY REVIEW'!$AH$4:$AH$400,'KNOWIFY REVIEW'!$AB$4:$AB$400,"V",'KNOWIFY REVIEW'!$AC$4:$AC$400,INPUTS!$B$74,'KNOWIFY REVIEW'!$AD$4:$AD$400,1)</f>
        <v>0</v>
      </c>
      <c r="I51" s="43" t="str">
        <f aca="false">IFERROR(H51/G51,"")</f>
        <v/>
      </c>
      <c r="J51" s="13" t="n">
        <f aca="false">IFERROR(E51/'KNOWIFY REVIEW'!$E$72,0)</f>
        <v>0</v>
      </c>
      <c r="AA51" s="7" t="str">
        <f aca="false">IF('KNOWIFY PHASES'!A51="","",'KNOWIFY PHASES'!A51)</f>
        <v>V - BLDG A - L1 HVAC Finishing (Labour)</v>
      </c>
      <c r="AB51" s="7" t="str">
        <f aca="false">IF(AA51="","",IF(LEFT(AA51,4)="P - ","P",IF(LEFT(AA51,4)="H - ","H",IF(LEFT(AA51,5)="AC - ","AC",IF(OR(LEFT(AA51,4)="V - ",LEFT(AA51,7)="HVAC - "),"V","Other")))))</f>
        <v>V</v>
      </c>
      <c r="AC51" s="7" t="str">
        <f aca="false">IF(AA51="","",IFERROR(LOOKUP(2,1/(($AZ$5:$AZ$60&lt;&gt;"")*ISNUMBER(SEARCH($AZ$5:$AZ$60,AA51))),$BA$5:$BA$60),IF(AB51="Other","Excluded","Unmapped")))</f>
        <v>04 Finishing (Labour)</v>
      </c>
      <c r="AD51" s="7" t="n">
        <f aca="false">IF(AA51="","",IF(AND(AB51&lt;&gt;"Other",OR(AND('KNOWIFY PHASES'!B51="Closed",N('KNOWIFY PHASES'!D51)&gt;=0.5),N('KNOWIFY PHASES'!D51)&gt;=1)),1,0))</f>
        <v>0</v>
      </c>
      <c r="AE51" s="7" t="n">
        <f aca="false">N('KNOWIFY PHASES'!L51)</f>
        <v>5500</v>
      </c>
      <c r="AF51" s="7" t="n">
        <f aca="false">N('KNOWIFY PHASES'!K51)</f>
        <v>126.45</v>
      </c>
      <c r="AG51" s="7" t="n">
        <f aca="false">N('KNOWIFY PHASES'!I51)</f>
        <v>0</v>
      </c>
      <c r="AH51" s="7" t="n">
        <f aca="false">N('KNOWIFY PHASES'!H51)</f>
        <v>0</v>
      </c>
      <c r="AI51" s="7" t="n">
        <f aca="false">N('KNOWIFY PHASES'!O51)</f>
        <v>0</v>
      </c>
      <c r="AJ51" s="7" t="n">
        <f aca="false">N('KNOWIFY PHASES'!N51)</f>
        <v>0</v>
      </c>
      <c r="AK51" s="7" t="n">
        <f aca="false">N('KNOWIFY PHASES'!R51)</f>
        <v>0</v>
      </c>
      <c r="AL51" s="7" t="n">
        <f aca="false">N('KNOWIFY PHASES'!Q51)</f>
        <v>0</v>
      </c>
      <c r="AM51" s="7" t="n">
        <f aca="false">N('KNOWIFY PHASES'!F51)</f>
        <v>5500</v>
      </c>
      <c r="AN51" s="7" t="n">
        <f aca="false">N('KNOWIFY PHASES'!E51)</f>
        <v>126.45</v>
      </c>
      <c r="AO51" s="7" t="n">
        <f aca="false">MAX(AE51,AF51)</f>
        <v>5500</v>
      </c>
      <c r="AP51" s="7" t="n">
        <f aca="false">MAX(AG51,AH51)</f>
        <v>0</v>
      </c>
      <c r="AQ51" s="7" t="n">
        <f aca="false">MAX(AI51,AJ51)</f>
        <v>0</v>
      </c>
      <c r="AR51" s="7" t="n">
        <f aca="false">MAX(AK51,AL51)</f>
        <v>0</v>
      </c>
      <c r="AT51" s="7" t="str">
        <f aca="false">IF('KNOWIFY TIME'!B51="","",'KNOWIFY TIME'!B51)</f>
        <v>Foreman Lvl 1</v>
      </c>
      <c r="AU51" s="7" t="n">
        <f aca="false">IF(AT51="",0,IF(ISNUMBER('KNOWIFY TIME'!D51),'KNOWIFY TIME'!D51*24,IFERROR(VALUE(LEFT('KNOWIFY TIME'!D51,FIND(":",'KNOWIFY TIME'!D51)-1))+VALUE(MID('KNOWIFY TIME'!D51,FIND(":",'KNOWIFY TIME'!D51)+1,2))/60,0)))</f>
        <v>252</v>
      </c>
      <c r="AV51" s="7" t="n">
        <f aca="false">N('KNOWIFY TIME'!E51)</f>
        <v>15157.05</v>
      </c>
      <c r="AW51" s="7" t="str">
        <f aca="false">IF(AT51="","",IFERROR(INDEX($BD$5:$BD$60,MATCH(AT51,$BC$5:$BC$60,0)),"Unmapped"))</f>
        <v>Foreman &amp; PM</v>
      </c>
      <c r="AZ51" s="10"/>
      <c r="BA51" s="10"/>
      <c r="BC51" s="10"/>
      <c r="BD51" s="10"/>
    </row>
    <row r="52" customFormat="false" ht="15" hidden="false" customHeight="false" outlineLevel="0" collapsed="false">
      <c r="B52" s="24" t="str">
        <f aca="false">"V  "&amp;INPUTS!$B$75</f>
        <v>V  09 Office, Supervision &amp; General</v>
      </c>
      <c r="C52" s="13" t="n">
        <f aca="false">COUNTIFS('KNOWIFY REVIEW'!$AB$4:$AB$400,"V",'KNOWIFY REVIEW'!$AC$4:$AC$400,INPUTS!$B$75,'KNOWIFY REVIEW'!$AD$4:$AD$400,1)</f>
        <v>0</v>
      </c>
      <c r="D52" s="28" t="n">
        <f aca="false">SUMIFS('KNOWIFY REVIEW'!$AE$4:$AE$400,'KNOWIFY REVIEW'!$AB$4:$AB$400,"V",'KNOWIFY REVIEW'!$AC$4:$AC$400,INPUTS!$B$75,'KNOWIFY REVIEW'!$AD$4:$AD$400,1)</f>
        <v>0</v>
      </c>
      <c r="E52" s="28" t="n">
        <f aca="false">SUMIFS('KNOWIFY REVIEW'!$AF$4:$AF$400,'KNOWIFY REVIEW'!$AB$4:$AB$400,"V",'KNOWIFY REVIEW'!$AC$4:$AC$400,INPUTS!$B$75,'KNOWIFY REVIEW'!$AD$4:$AD$400,1)</f>
        <v>0</v>
      </c>
      <c r="F52" s="43" t="str">
        <f aca="false">IFERROR(E52/D52,"")</f>
        <v/>
      </c>
      <c r="G52" s="28" t="n">
        <f aca="false">SUMIFS('KNOWIFY REVIEW'!$AG$4:$AG$400,'KNOWIFY REVIEW'!$AB$4:$AB$400,"V",'KNOWIFY REVIEW'!$AC$4:$AC$400,INPUTS!$B$75,'KNOWIFY REVIEW'!$AD$4:$AD$400,1)</f>
        <v>0</v>
      </c>
      <c r="H52" s="28" t="n">
        <f aca="false">SUMIFS('KNOWIFY REVIEW'!$AH$4:$AH$400,'KNOWIFY REVIEW'!$AB$4:$AB$400,"V",'KNOWIFY REVIEW'!$AC$4:$AC$400,INPUTS!$B$75,'KNOWIFY REVIEW'!$AD$4:$AD$400,1)</f>
        <v>0</v>
      </c>
      <c r="I52" s="43" t="str">
        <f aca="false">IFERROR(H52/G52,"")</f>
        <v/>
      </c>
      <c r="J52" s="13" t="n">
        <f aca="false">IFERROR(E52/'KNOWIFY REVIEW'!$E$72,0)</f>
        <v>0</v>
      </c>
      <c r="AA52" s="7" t="str">
        <f aca="false">IF('KNOWIFY PHASES'!A52="","",'KNOWIFY PHASES'!A52)</f>
        <v>V - BLDG A - L2 HVAC Finishing (Labour)</v>
      </c>
      <c r="AB52" s="7" t="str">
        <f aca="false">IF(AA52="","",IF(LEFT(AA52,4)="P - ","P",IF(LEFT(AA52,4)="H - ","H",IF(LEFT(AA52,5)="AC - ","AC",IF(OR(LEFT(AA52,4)="V - ",LEFT(AA52,7)="HVAC - "),"V","Other")))))</f>
        <v>V</v>
      </c>
      <c r="AC52" s="7" t="str">
        <f aca="false">IF(AA52="","",IFERROR(LOOKUP(2,1/(($AZ$5:$AZ$60&lt;&gt;"")*ISNUMBER(SEARCH($AZ$5:$AZ$60,AA52))),$BA$5:$BA$60),IF(AB52="Other","Excluded","Unmapped")))</f>
        <v>04 Finishing (Labour)</v>
      </c>
      <c r="AD52" s="7" t="n">
        <f aca="false">IF(AA52="","",IF(AND(AB52&lt;&gt;"Other",OR(AND('KNOWIFY PHASES'!B52="Closed",N('KNOWIFY PHASES'!D52)&gt;=0.5),N('KNOWIFY PHASES'!D52)&gt;=1)),1,0))</f>
        <v>0</v>
      </c>
      <c r="AE52" s="7" t="n">
        <f aca="false">N('KNOWIFY PHASES'!L52)</f>
        <v>5500</v>
      </c>
      <c r="AF52" s="7" t="n">
        <f aca="false">N('KNOWIFY PHASES'!K52)</f>
        <v>497.31</v>
      </c>
      <c r="AG52" s="7" t="n">
        <f aca="false">N('KNOWIFY PHASES'!I52)</f>
        <v>0</v>
      </c>
      <c r="AH52" s="7" t="n">
        <f aca="false">N('KNOWIFY PHASES'!H52)</f>
        <v>0</v>
      </c>
      <c r="AI52" s="7" t="n">
        <f aca="false">N('KNOWIFY PHASES'!O52)</f>
        <v>0</v>
      </c>
      <c r="AJ52" s="7" t="n">
        <f aca="false">N('KNOWIFY PHASES'!N52)</f>
        <v>0</v>
      </c>
      <c r="AK52" s="7" t="n">
        <f aca="false">N('KNOWIFY PHASES'!R52)</f>
        <v>0</v>
      </c>
      <c r="AL52" s="7" t="n">
        <f aca="false">N('KNOWIFY PHASES'!Q52)</f>
        <v>0</v>
      </c>
      <c r="AM52" s="7" t="n">
        <f aca="false">N('KNOWIFY PHASES'!F52)</f>
        <v>5500</v>
      </c>
      <c r="AN52" s="7" t="n">
        <f aca="false">N('KNOWIFY PHASES'!E52)</f>
        <v>497.31</v>
      </c>
      <c r="AO52" s="7" t="n">
        <f aca="false">MAX(AE52,AF52)</f>
        <v>5500</v>
      </c>
      <c r="AP52" s="7" t="n">
        <f aca="false">MAX(AG52,AH52)</f>
        <v>0</v>
      </c>
      <c r="AQ52" s="7" t="n">
        <f aca="false">MAX(AI52,AJ52)</f>
        <v>0</v>
      </c>
      <c r="AR52" s="7" t="n">
        <f aca="false">MAX(AK52,AL52)</f>
        <v>0</v>
      </c>
      <c r="AT52" s="7" t="str">
        <f aca="false">IF('KNOWIFY TIME'!B52="","",'KNOWIFY TIME'!B52)</f>
        <v>Apprentice Lvl 3</v>
      </c>
      <c r="AU52" s="7" t="n">
        <f aca="false">IF(AT52="",0,IF(ISNUMBER('KNOWIFY TIME'!D52),'KNOWIFY TIME'!D52*24,IFERROR(VALUE(LEFT('KNOWIFY TIME'!D52,FIND(":",'KNOWIFY TIME'!D52)-1))+VALUE(MID('KNOWIFY TIME'!D52,FIND(":",'KNOWIFY TIME'!D52)+1,2))/60,0)))</f>
        <v>932.333333333333</v>
      </c>
      <c r="AV52" s="7" t="n">
        <f aca="false">N('KNOWIFY TIME'!E52)</f>
        <v>39632.42</v>
      </c>
      <c r="AW52" s="7" t="str">
        <f aca="false">IF(AT52="","",IFERROR(INDEX($BD$5:$BD$60,MATCH(AT52,$BC$5:$BC$60,0)),"Unmapped"))</f>
        <v>Apprentice Lvl 3-6</v>
      </c>
      <c r="AZ52" s="10"/>
      <c r="BA52" s="10"/>
      <c r="BC52" s="10"/>
      <c r="BD52" s="10"/>
    </row>
    <row r="53" customFormat="false" ht="15" hidden="false" customHeight="false" outlineLevel="0" collapsed="false">
      <c r="B53" s="24" t="str">
        <f aca="false">"AC  "&amp;INPUTS!$B$67</f>
        <v>AC  01 Shop Drawings, Permits &amp; Mobilization</v>
      </c>
      <c r="C53" s="13" t="n">
        <f aca="false">COUNTIFS('KNOWIFY REVIEW'!$AB$4:$AB$400,"AC",'KNOWIFY REVIEW'!$AC$4:$AC$400,INPUTS!$B$67,'KNOWIFY REVIEW'!$AD$4:$AD$400,1)</f>
        <v>0</v>
      </c>
      <c r="D53" s="28" t="n">
        <f aca="false">SUMIFS('KNOWIFY REVIEW'!$AE$4:$AE$400,'KNOWIFY REVIEW'!$AB$4:$AB$400,"AC",'KNOWIFY REVIEW'!$AC$4:$AC$400,INPUTS!$B$67,'KNOWIFY REVIEW'!$AD$4:$AD$400,1)</f>
        <v>0</v>
      </c>
      <c r="E53" s="28" t="n">
        <f aca="false">SUMIFS('KNOWIFY REVIEW'!$AF$4:$AF$400,'KNOWIFY REVIEW'!$AB$4:$AB$400,"AC",'KNOWIFY REVIEW'!$AC$4:$AC$400,INPUTS!$B$67,'KNOWIFY REVIEW'!$AD$4:$AD$400,1)</f>
        <v>0</v>
      </c>
      <c r="F53" s="43" t="str">
        <f aca="false">IFERROR(E53/D53,"")</f>
        <v/>
      </c>
      <c r="G53" s="28" t="n">
        <f aca="false">SUMIFS('KNOWIFY REVIEW'!$AG$4:$AG$400,'KNOWIFY REVIEW'!$AB$4:$AB$400,"AC",'KNOWIFY REVIEW'!$AC$4:$AC$400,INPUTS!$B$67,'KNOWIFY REVIEW'!$AD$4:$AD$400,1)</f>
        <v>0</v>
      </c>
      <c r="H53" s="28" t="n">
        <f aca="false">SUMIFS('KNOWIFY REVIEW'!$AH$4:$AH$400,'KNOWIFY REVIEW'!$AB$4:$AB$400,"AC",'KNOWIFY REVIEW'!$AC$4:$AC$400,INPUTS!$B$67,'KNOWIFY REVIEW'!$AD$4:$AD$400,1)</f>
        <v>0</v>
      </c>
      <c r="I53" s="43" t="str">
        <f aca="false">IFERROR(H53/G53,"")</f>
        <v/>
      </c>
      <c r="J53" s="13" t="n">
        <f aca="false">IFERROR(E53/'KNOWIFY REVIEW'!$E$72,0)</f>
        <v>0</v>
      </c>
      <c r="AA53" s="7" t="str">
        <f aca="false">IF('KNOWIFY PHASES'!A53="","",'KNOWIFY PHASES'!A53)</f>
        <v>V - BLDG A - L3 HVAC Finishing (Labour)</v>
      </c>
      <c r="AB53" s="7" t="str">
        <f aca="false">IF(AA53="","",IF(LEFT(AA53,4)="P - ","P",IF(LEFT(AA53,4)="H - ","H",IF(LEFT(AA53,5)="AC - ","AC",IF(OR(LEFT(AA53,4)="V - ",LEFT(AA53,7)="HVAC - "),"V","Other")))))</f>
        <v>V</v>
      </c>
      <c r="AC53" s="7" t="str">
        <f aca="false">IF(AA53="","",IFERROR(LOOKUP(2,1/(($AZ$5:$AZ$60&lt;&gt;"")*ISNUMBER(SEARCH($AZ$5:$AZ$60,AA53))),$BA$5:$BA$60),IF(AB53="Other","Excluded","Unmapped")))</f>
        <v>04 Finishing (Labour)</v>
      </c>
      <c r="AD53" s="7" t="n">
        <f aca="false">IF(AA53="","",IF(AND(AB53&lt;&gt;"Other",OR(AND('KNOWIFY PHASES'!B53="Closed",N('KNOWIFY PHASES'!D53)&gt;=0.5),N('KNOWIFY PHASES'!D53)&gt;=1)),1,0))</f>
        <v>0</v>
      </c>
      <c r="AE53" s="7" t="n">
        <f aca="false">N('KNOWIFY PHASES'!L53)</f>
        <v>5500</v>
      </c>
      <c r="AF53" s="7" t="n">
        <f aca="false">N('KNOWIFY PHASES'!K53)</f>
        <v>950.79</v>
      </c>
      <c r="AG53" s="7" t="n">
        <f aca="false">N('KNOWIFY PHASES'!I53)</f>
        <v>0</v>
      </c>
      <c r="AH53" s="7" t="n">
        <f aca="false">N('KNOWIFY PHASES'!H53)</f>
        <v>0</v>
      </c>
      <c r="AI53" s="7" t="n">
        <f aca="false">N('KNOWIFY PHASES'!O53)</f>
        <v>0</v>
      </c>
      <c r="AJ53" s="7" t="n">
        <f aca="false">N('KNOWIFY PHASES'!N53)</f>
        <v>0</v>
      </c>
      <c r="AK53" s="7" t="n">
        <f aca="false">N('KNOWIFY PHASES'!R53)</f>
        <v>0</v>
      </c>
      <c r="AL53" s="7" t="n">
        <f aca="false">N('KNOWIFY PHASES'!Q53)</f>
        <v>0</v>
      </c>
      <c r="AM53" s="7" t="n">
        <f aca="false">N('KNOWIFY PHASES'!F53)</f>
        <v>5500</v>
      </c>
      <c r="AN53" s="7" t="n">
        <f aca="false">N('KNOWIFY PHASES'!E53)</f>
        <v>950.79</v>
      </c>
      <c r="AO53" s="7" t="n">
        <f aca="false">MAX(AE53,AF53)</f>
        <v>5500</v>
      </c>
      <c r="AP53" s="7" t="n">
        <f aca="false">MAX(AG53,AH53)</f>
        <v>0</v>
      </c>
      <c r="AQ53" s="7" t="n">
        <f aca="false">MAX(AI53,AJ53)</f>
        <v>0</v>
      </c>
      <c r="AR53" s="7" t="n">
        <f aca="false">MAX(AK53,AL53)</f>
        <v>0</v>
      </c>
      <c r="AT53" s="7" t="str">
        <f aca="false">IF('KNOWIFY TIME'!B53="","",'KNOWIFY TIME'!B53)</f>
        <v>Project Manager</v>
      </c>
      <c r="AU53" s="7" t="n">
        <f aca="false">IF(AT53="",0,IF(ISNUMBER('KNOWIFY TIME'!D53),'KNOWIFY TIME'!D53*24,IFERROR(VALUE(LEFT('KNOWIFY TIME'!D53,FIND(":",'KNOWIFY TIME'!D53)-1))+VALUE(MID('KNOWIFY TIME'!D53,FIND(":",'KNOWIFY TIME'!D53)+1,2))/60,0)))</f>
        <v>707.083333333333</v>
      </c>
      <c r="AV53" s="7" t="n">
        <f aca="false">N('KNOWIFY TIME'!E53)</f>
        <v>54979.27</v>
      </c>
      <c r="AW53" s="7" t="str">
        <f aca="false">IF(AT53="","",IFERROR(INDEX($BD$5:$BD$60,MATCH(AT53,$BC$5:$BC$60,0)),"Unmapped"))</f>
        <v>Foreman &amp; PM</v>
      </c>
      <c r="AZ53" s="10"/>
      <c r="BA53" s="10"/>
      <c r="BC53" s="10"/>
      <c r="BD53" s="10"/>
    </row>
    <row r="54" customFormat="false" ht="15" hidden="false" customHeight="false" outlineLevel="0" collapsed="false">
      <c r="B54" s="24" t="str">
        <f aca="false">"AC  "&amp;INPUTS!$B$68</f>
        <v>AC  02 Foundation &amp; Underground</v>
      </c>
      <c r="C54" s="13" t="n">
        <f aca="false">COUNTIFS('KNOWIFY REVIEW'!$AB$4:$AB$400,"AC",'KNOWIFY REVIEW'!$AC$4:$AC$400,INPUTS!$B$68,'KNOWIFY REVIEW'!$AD$4:$AD$400,1)</f>
        <v>0</v>
      </c>
      <c r="D54" s="28" t="n">
        <f aca="false">SUMIFS('KNOWIFY REVIEW'!$AE$4:$AE$400,'KNOWIFY REVIEW'!$AB$4:$AB$400,"AC",'KNOWIFY REVIEW'!$AC$4:$AC$400,INPUTS!$B$68,'KNOWIFY REVIEW'!$AD$4:$AD$400,1)</f>
        <v>0</v>
      </c>
      <c r="E54" s="28" t="n">
        <f aca="false">SUMIFS('KNOWIFY REVIEW'!$AF$4:$AF$400,'KNOWIFY REVIEW'!$AB$4:$AB$400,"AC",'KNOWIFY REVIEW'!$AC$4:$AC$400,INPUTS!$B$68,'KNOWIFY REVIEW'!$AD$4:$AD$400,1)</f>
        <v>0</v>
      </c>
      <c r="F54" s="43" t="str">
        <f aca="false">IFERROR(E54/D54,"")</f>
        <v/>
      </c>
      <c r="G54" s="28" t="n">
        <f aca="false">SUMIFS('KNOWIFY REVIEW'!$AG$4:$AG$400,'KNOWIFY REVIEW'!$AB$4:$AB$400,"AC",'KNOWIFY REVIEW'!$AC$4:$AC$400,INPUTS!$B$68,'KNOWIFY REVIEW'!$AD$4:$AD$400,1)</f>
        <v>0</v>
      </c>
      <c r="H54" s="28" t="n">
        <f aca="false">SUMIFS('KNOWIFY REVIEW'!$AH$4:$AH$400,'KNOWIFY REVIEW'!$AB$4:$AB$400,"AC",'KNOWIFY REVIEW'!$AC$4:$AC$400,INPUTS!$B$68,'KNOWIFY REVIEW'!$AD$4:$AD$400,1)</f>
        <v>0</v>
      </c>
      <c r="I54" s="43" t="str">
        <f aca="false">IFERROR(H54/G54,"")</f>
        <v/>
      </c>
      <c r="J54" s="13" t="n">
        <f aca="false">IFERROR(E54/'KNOWIFY REVIEW'!$E$72,0)</f>
        <v>0</v>
      </c>
      <c r="AA54" s="7" t="str">
        <f aca="false">IF('KNOWIFY PHASES'!A54="","",'KNOWIFY PHASES'!A54)</f>
        <v>V - BLDG A - L4 HVAC Finishing (Labour)</v>
      </c>
      <c r="AB54" s="7" t="str">
        <f aca="false">IF(AA54="","",IF(LEFT(AA54,4)="P - ","P",IF(LEFT(AA54,4)="H - ","H",IF(LEFT(AA54,5)="AC - ","AC",IF(OR(LEFT(AA54,4)="V - ",LEFT(AA54,7)="HVAC - "),"V","Other")))))</f>
        <v>V</v>
      </c>
      <c r="AC54" s="7" t="str">
        <f aca="false">IF(AA54="","",IFERROR(LOOKUP(2,1/(($AZ$5:$AZ$60&lt;&gt;"")*ISNUMBER(SEARCH($AZ$5:$AZ$60,AA54))),$BA$5:$BA$60),IF(AB54="Other","Excluded","Unmapped")))</f>
        <v>04 Finishing (Labour)</v>
      </c>
      <c r="AD54" s="7" t="n">
        <f aca="false">IF(AA54="","",IF(AND(AB54&lt;&gt;"Other",OR(AND('KNOWIFY PHASES'!B54="Closed",N('KNOWIFY PHASES'!D54)&gt;=0.5),N('KNOWIFY PHASES'!D54)&gt;=1)),1,0))</f>
        <v>0</v>
      </c>
      <c r="AE54" s="7" t="n">
        <f aca="false">N('KNOWIFY PHASES'!L54)</f>
        <v>5500</v>
      </c>
      <c r="AF54" s="7" t="n">
        <f aca="false">N('KNOWIFY PHASES'!K54)</f>
        <v>1288.36</v>
      </c>
      <c r="AG54" s="7" t="n">
        <f aca="false">N('KNOWIFY PHASES'!I54)</f>
        <v>0</v>
      </c>
      <c r="AH54" s="7" t="n">
        <f aca="false">N('KNOWIFY PHASES'!H54)</f>
        <v>0</v>
      </c>
      <c r="AI54" s="7" t="n">
        <f aca="false">N('KNOWIFY PHASES'!O54)</f>
        <v>0</v>
      </c>
      <c r="AJ54" s="7" t="n">
        <f aca="false">N('KNOWIFY PHASES'!N54)</f>
        <v>0</v>
      </c>
      <c r="AK54" s="7" t="n">
        <f aca="false">N('KNOWIFY PHASES'!R54)</f>
        <v>0</v>
      </c>
      <c r="AL54" s="7" t="n">
        <f aca="false">N('KNOWIFY PHASES'!Q54)</f>
        <v>0</v>
      </c>
      <c r="AM54" s="7" t="n">
        <f aca="false">N('KNOWIFY PHASES'!F54)</f>
        <v>5500</v>
      </c>
      <c r="AN54" s="7" t="n">
        <f aca="false">N('KNOWIFY PHASES'!E54)</f>
        <v>1288.36</v>
      </c>
      <c r="AO54" s="7" t="n">
        <f aca="false">MAX(AE54,AF54)</f>
        <v>5500</v>
      </c>
      <c r="AP54" s="7" t="n">
        <f aca="false">MAX(AG54,AH54)</f>
        <v>0</v>
      </c>
      <c r="AQ54" s="7" t="n">
        <f aca="false">MAX(AI54,AJ54)</f>
        <v>0</v>
      </c>
      <c r="AR54" s="7" t="n">
        <f aca="false">MAX(AK54,AL54)</f>
        <v>0</v>
      </c>
      <c r="AT54" s="7" t="str">
        <f aca="false">IF('KNOWIFY TIME'!B54="","",'KNOWIFY TIME'!B54)</f>
        <v>Foreman Lvl 1</v>
      </c>
      <c r="AU54" s="7" t="n">
        <f aca="false">IF(AT54="",0,IF(ISNUMBER('KNOWIFY TIME'!D54),'KNOWIFY TIME'!D54*24,IFERROR(VALUE(LEFT('KNOWIFY TIME'!D54,FIND(":",'KNOWIFY TIME'!D54)-1))+VALUE(MID('KNOWIFY TIME'!D54,FIND(":",'KNOWIFY TIME'!D54)+1,2))/60,0)))</f>
        <v>142.333333333333</v>
      </c>
      <c r="AV54" s="7" t="n">
        <f aca="false">N('KNOWIFY TIME'!E54)</f>
        <v>8954.22</v>
      </c>
      <c r="AW54" s="7" t="str">
        <f aca="false">IF(AT54="","",IFERROR(INDEX($BD$5:$BD$60,MATCH(AT54,$BC$5:$BC$60,0)),"Unmapped"))</f>
        <v>Foreman &amp; PM</v>
      </c>
      <c r="AZ54" s="10"/>
      <c r="BA54" s="10"/>
      <c r="BC54" s="10"/>
      <c r="BD54" s="10"/>
    </row>
    <row r="55" customFormat="false" ht="15" hidden="false" customHeight="false" outlineLevel="0" collapsed="false">
      <c r="B55" s="24" t="str">
        <f aca="false">"AC  "&amp;INPUTS!$B$69</f>
        <v>AC  03 Rough-in (Labour)</v>
      </c>
      <c r="C55" s="13" t="n">
        <f aca="false">COUNTIFS('KNOWIFY REVIEW'!$AB$4:$AB$400,"AC",'KNOWIFY REVIEW'!$AC$4:$AC$400,INPUTS!$B$69,'KNOWIFY REVIEW'!$AD$4:$AD$400,1)</f>
        <v>0</v>
      </c>
      <c r="D55" s="28" t="n">
        <f aca="false">SUMIFS('KNOWIFY REVIEW'!$AE$4:$AE$400,'KNOWIFY REVIEW'!$AB$4:$AB$400,"AC",'KNOWIFY REVIEW'!$AC$4:$AC$400,INPUTS!$B$69,'KNOWIFY REVIEW'!$AD$4:$AD$400,1)</f>
        <v>0</v>
      </c>
      <c r="E55" s="28" t="n">
        <f aca="false">SUMIFS('KNOWIFY REVIEW'!$AF$4:$AF$400,'KNOWIFY REVIEW'!$AB$4:$AB$400,"AC",'KNOWIFY REVIEW'!$AC$4:$AC$400,INPUTS!$B$69,'KNOWIFY REVIEW'!$AD$4:$AD$400,1)</f>
        <v>0</v>
      </c>
      <c r="F55" s="43" t="str">
        <f aca="false">IFERROR(E55/D55,"")</f>
        <v/>
      </c>
      <c r="G55" s="28" t="n">
        <f aca="false">SUMIFS('KNOWIFY REVIEW'!$AG$4:$AG$400,'KNOWIFY REVIEW'!$AB$4:$AB$400,"AC",'KNOWIFY REVIEW'!$AC$4:$AC$400,INPUTS!$B$69,'KNOWIFY REVIEW'!$AD$4:$AD$400,1)</f>
        <v>0</v>
      </c>
      <c r="H55" s="28" t="n">
        <f aca="false">SUMIFS('KNOWIFY REVIEW'!$AH$4:$AH$400,'KNOWIFY REVIEW'!$AB$4:$AB$400,"AC",'KNOWIFY REVIEW'!$AC$4:$AC$400,INPUTS!$B$69,'KNOWIFY REVIEW'!$AD$4:$AD$400,1)</f>
        <v>0</v>
      </c>
      <c r="I55" s="43" t="str">
        <f aca="false">IFERROR(H55/G55,"")</f>
        <v/>
      </c>
      <c r="J55" s="13" t="n">
        <f aca="false">IFERROR(E55/'KNOWIFY REVIEW'!$E$72,0)</f>
        <v>0</v>
      </c>
      <c r="AA55" s="7" t="str">
        <f aca="false">IF('KNOWIFY PHASES'!A55="","",'KNOWIFY PHASES'!A55)</f>
        <v>V - BLDG A - L5 HVAC Finishing (Labour)</v>
      </c>
      <c r="AB55" s="7" t="str">
        <f aca="false">IF(AA55="","",IF(LEFT(AA55,4)="P - ","P",IF(LEFT(AA55,4)="H - ","H",IF(LEFT(AA55,5)="AC - ","AC",IF(OR(LEFT(AA55,4)="V - ",LEFT(AA55,7)="HVAC - "),"V","Other")))))</f>
        <v>V</v>
      </c>
      <c r="AC55" s="7" t="str">
        <f aca="false">IF(AA55="","",IFERROR(LOOKUP(2,1/(($AZ$5:$AZ$60&lt;&gt;"")*ISNUMBER(SEARCH($AZ$5:$AZ$60,AA55))),$BA$5:$BA$60),IF(AB55="Other","Excluded","Unmapped")))</f>
        <v>04 Finishing (Labour)</v>
      </c>
      <c r="AD55" s="7" t="n">
        <f aca="false">IF(AA55="","",IF(AND(AB55&lt;&gt;"Other",OR(AND('KNOWIFY PHASES'!B55="Closed",N('KNOWIFY PHASES'!D55)&gt;=0.5),N('KNOWIFY PHASES'!D55)&gt;=1)),1,0))</f>
        <v>0</v>
      </c>
      <c r="AE55" s="7" t="n">
        <f aca="false">N('KNOWIFY PHASES'!L55)</f>
        <v>5500</v>
      </c>
      <c r="AF55" s="7" t="n">
        <f aca="false">N('KNOWIFY PHASES'!K55)</f>
        <v>3313</v>
      </c>
      <c r="AG55" s="7" t="n">
        <f aca="false">N('KNOWIFY PHASES'!I55)</f>
        <v>0</v>
      </c>
      <c r="AH55" s="7" t="n">
        <f aca="false">N('KNOWIFY PHASES'!H55)</f>
        <v>0</v>
      </c>
      <c r="AI55" s="7" t="n">
        <f aca="false">N('KNOWIFY PHASES'!O55)</f>
        <v>0</v>
      </c>
      <c r="AJ55" s="7" t="n">
        <f aca="false">N('KNOWIFY PHASES'!N55)</f>
        <v>0</v>
      </c>
      <c r="AK55" s="7" t="n">
        <f aca="false">N('KNOWIFY PHASES'!R55)</f>
        <v>0</v>
      </c>
      <c r="AL55" s="7" t="n">
        <f aca="false">N('KNOWIFY PHASES'!Q55)</f>
        <v>0</v>
      </c>
      <c r="AM55" s="7" t="n">
        <f aca="false">N('KNOWIFY PHASES'!F55)</f>
        <v>5500</v>
      </c>
      <c r="AN55" s="7" t="n">
        <f aca="false">N('KNOWIFY PHASES'!E55)</f>
        <v>3313</v>
      </c>
      <c r="AO55" s="7" t="n">
        <f aca="false">MAX(AE55,AF55)</f>
        <v>5500</v>
      </c>
      <c r="AP55" s="7" t="n">
        <f aca="false">MAX(AG55,AH55)</f>
        <v>0</v>
      </c>
      <c r="AQ55" s="7" t="n">
        <f aca="false">MAX(AI55,AJ55)</f>
        <v>0</v>
      </c>
      <c r="AR55" s="7" t="n">
        <f aca="false">MAX(AK55,AL55)</f>
        <v>0</v>
      </c>
      <c r="AT55" s="7" t="str">
        <f aca="false">IF('KNOWIFY TIME'!B55="","",'KNOWIFY TIME'!B55)</f>
        <v>Apprentice Lvl 1</v>
      </c>
      <c r="AU55" s="7" t="n">
        <f aca="false">IF(AT55="",0,IF(ISNUMBER('KNOWIFY TIME'!D55),'KNOWIFY TIME'!D55*24,IFERROR(VALUE(LEFT('KNOWIFY TIME'!D55,FIND(":",'KNOWIFY TIME'!D55)-1))+VALUE(MID('KNOWIFY TIME'!D55,FIND(":",'KNOWIFY TIME'!D55)+1,2))/60,0)))</f>
        <v>828.833333333333</v>
      </c>
      <c r="AV55" s="7" t="n">
        <f aca="false">N('KNOWIFY TIME'!E55)</f>
        <v>22463.59</v>
      </c>
      <c r="AW55" s="7" t="str">
        <f aca="false">IF(AT55="","",IFERROR(INDEX($BD$5:$BD$60,MATCH(AT55,$BC$5:$BC$60,0)),"Unmapped"))</f>
        <v>Apprentice Lvl 1-2</v>
      </c>
      <c r="AZ55" s="10"/>
      <c r="BA55" s="10"/>
      <c r="BC55" s="10"/>
      <c r="BD55" s="10"/>
    </row>
    <row r="56" customFormat="false" ht="15" hidden="false" customHeight="false" outlineLevel="0" collapsed="false">
      <c r="B56" s="24" t="str">
        <f aca="false">"AC  "&amp;INPUTS!$B$70</f>
        <v>AC  04 Finishing (Labour)</v>
      </c>
      <c r="C56" s="13" t="n">
        <f aca="false">COUNTIFS('KNOWIFY REVIEW'!$AB$4:$AB$400,"AC",'KNOWIFY REVIEW'!$AC$4:$AC$400,INPUTS!$B$70,'KNOWIFY REVIEW'!$AD$4:$AD$400,1)</f>
        <v>0</v>
      </c>
      <c r="D56" s="28" t="n">
        <f aca="false">SUMIFS('KNOWIFY REVIEW'!$AE$4:$AE$400,'KNOWIFY REVIEW'!$AB$4:$AB$400,"AC",'KNOWIFY REVIEW'!$AC$4:$AC$400,INPUTS!$B$70,'KNOWIFY REVIEW'!$AD$4:$AD$400,1)</f>
        <v>0</v>
      </c>
      <c r="E56" s="28" t="n">
        <f aca="false">SUMIFS('KNOWIFY REVIEW'!$AF$4:$AF$400,'KNOWIFY REVIEW'!$AB$4:$AB$400,"AC",'KNOWIFY REVIEW'!$AC$4:$AC$400,INPUTS!$B$70,'KNOWIFY REVIEW'!$AD$4:$AD$400,1)</f>
        <v>0</v>
      </c>
      <c r="F56" s="43" t="str">
        <f aca="false">IFERROR(E56/D56,"")</f>
        <v/>
      </c>
      <c r="G56" s="28" t="n">
        <f aca="false">SUMIFS('KNOWIFY REVIEW'!$AG$4:$AG$400,'KNOWIFY REVIEW'!$AB$4:$AB$400,"AC",'KNOWIFY REVIEW'!$AC$4:$AC$400,INPUTS!$B$70,'KNOWIFY REVIEW'!$AD$4:$AD$400,1)</f>
        <v>0</v>
      </c>
      <c r="H56" s="28" t="n">
        <f aca="false">SUMIFS('KNOWIFY REVIEW'!$AH$4:$AH$400,'KNOWIFY REVIEW'!$AB$4:$AB$400,"AC",'KNOWIFY REVIEW'!$AC$4:$AC$400,INPUTS!$B$70,'KNOWIFY REVIEW'!$AD$4:$AD$400,1)</f>
        <v>0</v>
      </c>
      <c r="I56" s="43" t="str">
        <f aca="false">IFERROR(H56/G56,"")</f>
        <v/>
      </c>
      <c r="J56" s="13" t="n">
        <f aca="false">IFERROR(E56/'KNOWIFY REVIEW'!$E$72,0)</f>
        <v>0</v>
      </c>
      <c r="AA56" s="7" t="str">
        <f aca="false">IF('KNOWIFY PHASES'!A56="","",'KNOWIFY PHASES'!A56)</f>
        <v>V - BLDG A - L6 HVAC Finishing (Labour)</v>
      </c>
      <c r="AB56" s="7" t="str">
        <f aca="false">IF(AA56="","",IF(LEFT(AA56,4)="P - ","P",IF(LEFT(AA56,4)="H - ","H",IF(LEFT(AA56,5)="AC - ","AC",IF(OR(LEFT(AA56,4)="V - ",LEFT(AA56,7)="HVAC - "),"V","Other")))))</f>
        <v>V</v>
      </c>
      <c r="AC56" s="7" t="str">
        <f aca="false">IF(AA56="","",IFERROR(LOOKUP(2,1/(($AZ$5:$AZ$60&lt;&gt;"")*ISNUMBER(SEARCH($AZ$5:$AZ$60,AA56))),$BA$5:$BA$60),IF(AB56="Other","Excluded","Unmapped")))</f>
        <v>04 Finishing (Labour)</v>
      </c>
      <c r="AD56" s="7" t="n">
        <f aca="false">IF(AA56="","",IF(AND(AB56&lt;&gt;"Other",OR(AND('KNOWIFY PHASES'!B56="Closed",N('KNOWIFY PHASES'!D56)&gt;=0.5),N('KNOWIFY PHASES'!D56)&gt;=1)),1,0))</f>
        <v>0</v>
      </c>
      <c r="AE56" s="7" t="n">
        <f aca="false">N('KNOWIFY PHASES'!L56)</f>
        <v>5500</v>
      </c>
      <c r="AF56" s="7" t="n">
        <f aca="false">N('KNOWIFY PHASES'!K56)</f>
        <v>2389.33</v>
      </c>
      <c r="AG56" s="7" t="n">
        <f aca="false">N('KNOWIFY PHASES'!I56)</f>
        <v>0</v>
      </c>
      <c r="AH56" s="7" t="n">
        <f aca="false">N('KNOWIFY PHASES'!H56)</f>
        <v>0</v>
      </c>
      <c r="AI56" s="7" t="n">
        <f aca="false">N('KNOWIFY PHASES'!O56)</f>
        <v>0</v>
      </c>
      <c r="AJ56" s="7" t="n">
        <f aca="false">N('KNOWIFY PHASES'!N56)</f>
        <v>0</v>
      </c>
      <c r="AK56" s="7" t="n">
        <f aca="false">N('KNOWIFY PHASES'!R56)</f>
        <v>0</v>
      </c>
      <c r="AL56" s="7" t="n">
        <f aca="false">N('KNOWIFY PHASES'!Q56)</f>
        <v>0</v>
      </c>
      <c r="AM56" s="7" t="n">
        <f aca="false">N('KNOWIFY PHASES'!F56)</f>
        <v>5500</v>
      </c>
      <c r="AN56" s="7" t="n">
        <f aca="false">N('KNOWIFY PHASES'!E56)</f>
        <v>2389.33</v>
      </c>
      <c r="AO56" s="7" t="n">
        <f aca="false">MAX(AE56,AF56)</f>
        <v>5500</v>
      </c>
      <c r="AP56" s="7" t="n">
        <f aca="false">MAX(AG56,AH56)</f>
        <v>0</v>
      </c>
      <c r="AQ56" s="7" t="n">
        <f aca="false">MAX(AI56,AJ56)</f>
        <v>0</v>
      </c>
      <c r="AR56" s="7" t="n">
        <f aca="false">MAX(AK56,AL56)</f>
        <v>0</v>
      </c>
      <c r="AT56" s="7" t="str">
        <f aca="false">IF('KNOWIFY TIME'!B56="","",'KNOWIFY TIME'!B56)</f>
        <v>Apprentice Lvl 4</v>
      </c>
      <c r="AU56" s="7" t="n">
        <f aca="false">IF(AT56="",0,IF(ISNUMBER('KNOWIFY TIME'!D56),'KNOWIFY TIME'!D56*24,IFERROR(VALUE(LEFT('KNOWIFY TIME'!D56,FIND(":",'KNOWIFY TIME'!D56)-1))+VALUE(MID('KNOWIFY TIME'!D56,FIND(":",'KNOWIFY TIME'!D56)+1,2))/60,0)))</f>
        <v>598.583333333333</v>
      </c>
      <c r="AV56" s="7" t="n">
        <f aca="false">N('KNOWIFY TIME'!E56)</f>
        <v>33027.75</v>
      </c>
      <c r="AW56" s="7" t="str">
        <f aca="false">IF(AT56="","",IFERROR(INDEX($BD$5:$BD$60,MATCH(AT56,$BC$5:$BC$60,0)),"Unmapped"))</f>
        <v>Apprentice Lvl 3-6</v>
      </c>
      <c r="AZ56" s="10"/>
      <c r="BA56" s="10"/>
      <c r="BC56" s="10"/>
      <c r="BD56" s="10"/>
    </row>
    <row r="57" customFormat="false" ht="15" hidden="false" customHeight="false" outlineLevel="0" collapsed="false">
      <c r="B57" s="24" t="str">
        <f aca="false">"AC  "&amp;INPUTS!$B$71</f>
        <v>AC  05 Material Supply</v>
      </c>
      <c r="C57" s="13" t="n">
        <f aca="false">COUNTIFS('KNOWIFY REVIEW'!$AB$4:$AB$400,"AC",'KNOWIFY REVIEW'!$AC$4:$AC$400,INPUTS!$B$71,'KNOWIFY REVIEW'!$AD$4:$AD$400,1)</f>
        <v>0</v>
      </c>
      <c r="D57" s="28" t="n">
        <f aca="false">SUMIFS('KNOWIFY REVIEW'!$AE$4:$AE$400,'KNOWIFY REVIEW'!$AB$4:$AB$400,"AC",'KNOWIFY REVIEW'!$AC$4:$AC$400,INPUTS!$B$71,'KNOWIFY REVIEW'!$AD$4:$AD$400,1)</f>
        <v>0</v>
      </c>
      <c r="E57" s="28" t="n">
        <f aca="false">SUMIFS('KNOWIFY REVIEW'!$AF$4:$AF$400,'KNOWIFY REVIEW'!$AB$4:$AB$400,"AC",'KNOWIFY REVIEW'!$AC$4:$AC$400,INPUTS!$B$71,'KNOWIFY REVIEW'!$AD$4:$AD$400,1)</f>
        <v>0</v>
      </c>
      <c r="F57" s="43" t="str">
        <f aca="false">IFERROR(E57/D57,"")</f>
        <v/>
      </c>
      <c r="G57" s="28" t="n">
        <f aca="false">SUMIFS('KNOWIFY REVIEW'!$AG$4:$AG$400,'KNOWIFY REVIEW'!$AB$4:$AB$400,"AC",'KNOWIFY REVIEW'!$AC$4:$AC$400,INPUTS!$B$71,'KNOWIFY REVIEW'!$AD$4:$AD$400,1)</f>
        <v>0</v>
      </c>
      <c r="H57" s="28" t="n">
        <f aca="false">SUMIFS('KNOWIFY REVIEW'!$AH$4:$AH$400,'KNOWIFY REVIEW'!$AB$4:$AB$400,"AC",'KNOWIFY REVIEW'!$AC$4:$AC$400,INPUTS!$B$71,'KNOWIFY REVIEW'!$AD$4:$AD$400,1)</f>
        <v>0</v>
      </c>
      <c r="I57" s="43" t="str">
        <f aca="false">IFERROR(H57/G57,"")</f>
        <v/>
      </c>
      <c r="J57" s="13" t="n">
        <f aca="false">IFERROR(E57/'KNOWIFY REVIEW'!$E$72,0)</f>
        <v>0</v>
      </c>
      <c r="AA57" s="7" t="str">
        <f aca="false">IF('KNOWIFY PHASES'!A57="","",'KNOWIFY PHASES'!A57)</f>
        <v>V - BLDG B - L1 HVAC Rough-in (Labour)</v>
      </c>
      <c r="AB57" s="7" t="str">
        <f aca="false">IF(AA57="","",IF(LEFT(AA57,4)="P - ","P",IF(LEFT(AA57,4)="H - ","H",IF(LEFT(AA57,5)="AC - ","AC",IF(OR(LEFT(AA57,4)="V - ",LEFT(AA57,7)="HVAC - "),"V","Other")))))</f>
        <v>V</v>
      </c>
      <c r="AC57" s="7" t="str">
        <f aca="false">IF(AA57="","",IFERROR(LOOKUP(2,1/(($AZ$5:$AZ$60&lt;&gt;"")*ISNUMBER(SEARCH($AZ$5:$AZ$60,AA57))),$BA$5:$BA$60),IF(AB57="Other","Excluded","Unmapped")))</f>
        <v>03 Rough-in (Labour)</v>
      </c>
      <c r="AD57" s="7" t="n">
        <f aca="false">IF(AA57="","",IF(AND(AB57&lt;&gt;"Other",OR(AND('KNOWIFY PHASES'!B57="Closed",N('KNOWIFY PHASES'!D57)&gt;=0.5),N('KNOWIFY PHASES'!D57)&gt;=1)),1,0))</f>
        <v>1</v>
      </c>
      <c r="AE57" s="7" t="n">
        <f aca="false">N('KNOWIFY PHASES'!L57)</f>
        <v>25000</v>
      </c>
      <c r="AF57" s="7" t="n">
        <f aca="false">N('KNOWIFY PHASES'!K57)</f>
        <v>53184.92</v>
      </c>
      <c r="AG57" s="7" t="n">
        <f aca="false">N('KNOWIFY PHASES'!I57)</f>
        <v>0</v>
      </c>
      <c r="AH57" s="7" t="n">
        <f aca="false">N('KNOWIFY PHASES'!H57)</f>
        <v>0</v>
      </c>
      <c r="AI57" s="7" t="n">
        <f aca="false">N('KNOWIFY PHASES'!O57)</f>
        <v>0</v>
      </c>
      <c r="AJ57" s="7" t="n">
        <f aca="false">N('KNOWIFY PHASES'!N57)</f>
        <v>0</v>
      </c>
      <c r="AK57" s="7" t="n">
        <f aca="false">N('KNOWIFY PHASES'!R57)</f>
        <v>0</v>
      </c>
      <c r="AL57" s="7" t="n">
        <f aca="false">N('KNOWIFY PHASES'!Q57)</f>
        <v>0</v>
      </c>
      <c r="AM57" s="7" t="n">
        <f aca="false">N('KNOWIFY PHASES'!F57)</f>
        <v>25000</v>
      </c>
      <c r="AN57" s="7" t="n">
        <f aca="false">N('KNOWIFY PHASES'!E57)</f>
        <v>53184.92</v>
      </c>
      <c r="AO57" s="7" t="n">
        <f aca="false">MAX(AE57,AF57)</f>
        <v>53184.92</v>
      </c>
      <c r="AP57" s="7" t="n">
        <f aca="false">MAX(AG57,AH57)</f>
        <v>0</v>
      </c>
      <c r="AQ57" s="7" t="n">
        <f aca="false">MAX(AI57,AJ57)</f>
        <v>0</v>
      </c>
      <c r="AR57" s="7" t="n">
        <f aca="false">MAX(AK57,AL57)</f>
        <v>0</v>
      </c>
      <c r="AT57" s="7" t="str">
        <f aca="false">IF('KNOWIFY TIME'!B57="","",'KNOWIFY TIME'!B57)</f>
        <v>Apprentice Lvl 1</v>
      </c>
      <c r="AU57" s="7" t="n">
        <f aca="false">IF(AT57="",0,IF(ISNUMBER('KNOWIFY TIME'!D57),'KNOWIFY TIME'!D57*24,IFERROR(VALUE(LEFT('KNOWIFY TIME'!D57,FIND(":",'KNOWIFY TIME'!D57)-1))+VALUE(MID('KNOWIFY TIME'!D57,FIND(":",'KNOWIFY TIME'!D57)+1,2))/60,0)))</f>
        <v>82.5</v>
      </c>
      <c r="AV57" s="7" t="n">
        <f aca="false">N('KNOWIFY TIME'!E57)</f>
        <v>4043.3</v>
      </c>
      <c r="AW57" s="7" t="str">
        <f aca="false">IF(AT57="","",IFERROR(INDEX($BD$5:$BD$60,MATCH(AT57,$BC$5:$BC$60,0)),"Unmapped"))</f>
        <v>Apprentice Lvl 1-2</v>
      </c>
      <c r="AZ57" s="10"/>
      <c r="BA57" s="10"/>
      <c r="BC57" s="10"/>
      <c r="BD57" s="10"/>
    </row>
    <row r="58" customFormat="false" ht="15" hidden="false" customHeight="false" outlineLevel="0" collapsed="false">
      <c r="B58" s="24" t="str">
        <f aca="false">"AC  "&amp;INPUTS!$B$72</f>
        <v>AC  06 Fixtures &amp; Equipment Supply</v>
      </c>
      <c r="C58" s="13" t="n">
        <f aca="false">COUNTIFS('KNOWIFY REVIEW'!$AB$4:$AB$400,"AC",'KNOWIFY REVIEW'!$AC$4:$AC$400,INPUTS!$B$72,'KNOWIFY REVIEW'!$AD$4:$AD$400,1)</f>
        <v>0</v>
      </c>
      <c r="D58" s="28" t="n">
        <f aca="false">SUMIFS('KNOWIFY REVIEW'!$AE$4:$AE$400,'KNOWIFY REVIEW'!$AB$4:$AB$400,"AC",'KNOWIFY REVIEW'!$AC$4:$AC$400,INPUTS!$B$72,'KNOWIFY REVIEW'!$AD$4:$AD$400,1)</f>
        <v>0</v>
      </c>
      <c r="E58" s="28" t="n">
        <f aca="false">SUMIFS('KNOWIFY REVIEW'!$AF$4:$AF$400,'KNOWIFY REVIEW'!$AB$4:$AB$400,"AC",'KNOWIFY REVIEW'!$AC$4:$AC$400,INPUTS!$B$72,'KNOWIFY REVIEW'!$AD$4:$AD$400,1)</f>
        <v>0</v>
      </c>
      <c r="F58" s="43" t="str">
        <f aca="false">IFERROR(E58/D58,"")</f>
        <v/>
      </c>
      <c r="G58" s="28" t="n">
        <f aca="false">SUMIFS('KNOWIFY REVIEW'!$AG$4:$AG$400,'KNOWIFY REVIEW'!$AB$4:$AB$400,"AC",'KNOWIFY REVIEW'!$AC$4:$AC$400,INPUTS!$B$72,'KNOWIFY REVIEW'!$AD$4:$AD$400,1)</f>
        <v>0</v>
      </c>
      <c r="H58" s="28" t="n">
        <f aca="false">SUMIFS('KNOWIFY REVIEW'!$AH$4:$AH$400,'KNOWIFY REVIEW'!$AB$4:$AB$400,"AC",'KNOWIFY REVIEW'!$AC$4:$AC$400,INPUTS!$B$72,'KNOWIFY REVIEW'!$AD$4:$AD$400,1)</f>
        <v>0</v>
      </c>
      <c r="I58" s="43" t="str">
        <f aca="false">IFERROR(H58/G58,"")</f>
        <v/>
      </c>
      <c r="J58" s="13" t="n">
        <f aca="false">IFERROR(E58/'KNOWIFY REVIEW'!$E$72,0)</f>
        <v>0</v>
      </c>
      <c r="AA58" s="7" t="str">
        <f aca="false">IF('KNOWIFY PHASES'!A58="","",'KNOWIFY PHASES'!A58)</f>
        <v>V - BLDG B - L2 HVAC Rough-in (Labour)</v>
      </c>
      <c r="AB58" s="7" t="str">
        <f aca="false">IF(AA58="","",IF(LEFT(AA58,4)="P - ","P",IF(LEFT(AA58,4)="H - ","H",IF(LEFT(AA58,5)="AC - ","AC",IF(OR(LEFT(AA58,4)="V - ",LEFT(AA58,7)="HVAC - "),"V","Other")))))</f>
        <v>V</v>
      </c>
      <c r="AC58" s="7" t="str">
        <f aca="false">IF(AA58="","",IFERROR(LOOKUP(2,1/(($AZ$5:$AZ$60&lt;&gt;"")*ISNUMBER(SEARCH($AZ$5:$AZ$60,AA58))),$BA$5:$BA$60),IF(AB58="Other","Excluded","Unmapped")))</f>
        <v>03 Rough-in (Labour)</v>
      </c>
      <c r="AD58" s="7" t="n">
        <f aca="false">IF(AA58="","",IF(AND(AB58&lt;&gt;"Other",OR(AND('KNOWIFY PHASES'!B58="Closed",N('KNOWIFY PHASES'!D58)&gt;=0.5),N('KNOWIFY PHASES'!D58)&gt;=1)),1,0))</f>
        <v>1</v>
      </c>
      <c r="AE58" s="7" t="n">
        <f aca="false">N('KNOWIFY PHASES'!L58)</f>
        <v>25000</v>
      </c>
      <c r="AF58" s="7" t="n">
        <f aca="false">N('KNOWIFY PHASES'!K58)</f>
        <v>34806.17</v>
      </c>
      <c r="AG58" s="7" t="n">
        <f aca="false">N('KNOWIFY PHASES'!I58)</f>
        <v>0</v>
      </c>
      <c r="AH58" s="7" t="n">
        <f aca="false">N('KNOWIFY PHASES'!H58)</f>
        <v>0</v>
      </c>
      <c r="AI58" s="7" t="n">
        <f aca="false">N('KNOWIFY PHASES'!O58)</f>
        <v>0</v>
      </c>
      <c r="AJ58" s="7" t="n">
        <f aca="false">N('KNOWIFY PHASES'!N58)</f>
        <v>7323.75</v>
      </c>
      <c r="AK58" s="7" t="n">
        <f aca="false">N('KNOWIFY PHASES'!R58)</f>
        <v>0</v>
      </c>
      <c r="AL58" s="7" t="n">
        <f aca="false">N('KNOWIFY PHASES'!Q58)</f>
        <v>0</v>
      </c>
      <c r="AM58" s="7" t="n">
        <f aca="false">N('KNOWIFY PHASES'!F58)</f>
        <v>25000</v>
      </c>
      <c r="AN58" s="7" t="n">
        <f aca="false">N('KNOWIFY PHASES'!E58)</f>
        <v>42129.92</v>
      </c>
      <c r="AO58" s="7" t="n">
        <f aca="false">MAX(AE58,AF58)</f>
        <v>34806.17</v>
      </c>
      <c r="AP58" s="7" t="n">
        <f aca="false">MAX(AG58,AH58)</f>
        <v>0</v>
      </c>
      <c r="AQ58" s="7" t="n">
        <f aca="false">MAX(AI58,AJ58)</f>
        <v>7323.75</v>
      </c>
      <c r="AR58" s="7" t="n">
        <f aca="false">MAX(AK58,AL58)</f>
        <v>0</v>
      </c>
      <c r="AT58" s="7" t="str">
        <f aca="false">IF('KNOWIFY TIME'!B58="","",'KNOWIFY TIME'!B58)</f>
        <v>Apprentice Lvl 2</v>
      </c>
      <c r="AU58" s="7" t="n">
        <f aca="false">IF(AT58="",0,IF(ISNUMBER('KNOWIFY TIME'!D58),'KNOWIFY TIME'!D58*24,IFERROR(VALUE(LEFT('KNOWIFY TIME'!D58,FIND(":",'KNOWIFY TIME'!D58)-1))+VALUE(MID('KNOWIFY TIME'!D58,FIND(":",'KNOWIFY TIME'!D58)+1,2))/60,0)))</f>
        <v>32.5</v>
      </c>
      <c r="AV58" s="7" t="n">
        <f aca="false">N('KNOWIFY TIME'!E58)</f>
        <v>1683.82</v>
      </c>
      <c r="AW58" s="7" t="str">
        <f aca="false">IF(AT58="","",IFERROR(INDEX($BD$5:$BD$60,MATCH(AT58,$BC$5:$BC$60,0)),"Unmapped"))</f>
        <v>Apprentice Lvl 1-2</v>
      </c>
      <c r="AZ58" s="10"/>
      <c r="BA58" s="10"/>
      <c r="BC58" s="10"/>
      <c r="BD58" s="10"/>
    </row>
    <row r="59" customFormat="false" ht="15" hidden="false" customHeight="false" outlineLevel="0" collapsed="false">
      <c r="B59" s="24" t="str">
        <f aca="false">"AC  "&amp;INPUTS!$B$73</f>
        <v>AC  07 Testing, TAB &amp; Commissioning</v>
      </c>
      <c r="C59" s="13" t="n">
        <f aca="false">COUNTIFS('KNOWIFY REVIEW'!$AB$4:$AB$400,"AC",'KNOWIFY REVIEW'!$AC$4:$AC$400,INPUTS!$B$73,'KNOWIFY REVIEW'!$AD$4:$AD$400,1)</f>
        <v>0</v>
      </c>
      <c r="D59" s="28" t="n">
        <f aca="false">SUMIFS('KNOWIFY REVIEW'!$AE$4:$AE$400,'KNOWIFY REVIEW'!$AB$4:$AB$400,"AC",'KNOWIFY REVIEW'!$AC$4:$AC$400,INPUTS!$B$73,'KNOWIFY REVIEW'!$AD$4:$AD$400,1)</f>
        <v>0</v>
      </c>
      <c r="E59" s="28" t="n">
        <f aca="false">SUMIFS('KNOWIFY REVIEW'!$AF$4:$AF$400,'KNOWIFY REVIEW'!$AB$4:$AB$400,"AC",'KNOWIFY REVIEW'!$AC$4:$AC$400,INPUTS!$B$73,'KNOWIFY REVIEW'!$AD$4:$AD$400,1)</f>
        <v>0</v>
      </c>
      <c r="F59" s="43" t="str">
        <f aca="false">IFERROR(E59/D59,"")</f>
        <v/>
      </c>
      <c r="G59" s="28" t="n">
        <f aca="false">SUMIFS('KNOWIFY REVIEW'!$AG$4:$AG$400,'KNOWIFY REVIEW'!$AB$4:$AB$400,"AC",'KNOWIFY REVIEW'!$AC$4:$AC$400,INPUTS!$B$73,'KNOWIFY REVIEW'!$AD$4:$AD$400,1)</f>
        <v>0</v>
      </c>
      <c r="H59" s="28" t="n">
        <f aca="false">SUMIFS('KNOWIFY REVIEW'!$AH$4:$AH$400,'KNOWIFY REVIEW'!$AB$4:$AB$400,"AC",'KNOWIFY REVIEW'!$AC$4:$AC$400,INPUTS!$B$73,'KNOWIFY REVIEW'!$AD$4:$AD$400,1)</f>
        <v>0</v>
      </c>
      <c r="I59" s="43" t="str">
        <f aca="false">IFERROR(H59/G59,"")</f>
        <v/>
      </c>
      <c r="J59" s="13" t="n">
        <f aca="false">IFERROR(E59/'KNOWIFY REVIEW'!$E$72,0)</f>
        <v>0</v>
      </c>
      <c r="AA59" s="7" t="str">
        <f aca="false">IF('KNOWIFY PHASES'!A59="","",'KNOWIFY PHASES'!A59)</f>
        <v>HVAC - BLDG 2 - L3 HVAC Rough-in (Labour)</v>
      </c>
      <c r="AB59" s="7" t="str">
        <f aca="false">IF(AA59="","",IF(LEFT(AA59,4)="P - ","P",IF(LEFT(AA59,4)="H - ","H",IF(LEFT(AA59,5)="AC - ","AC",IF(OR(LEFT(AA59,4)="V - ",LEFT(AA59,7)="HVAC - "),"V","Other")))))</f>
        <v>V</v>
      </c>
      <c r="AC59" s="7" t="str">
        <f aca="false">IF(AA59="","",IFERROR(LOOKUP(2,1/(($AZ$5:$AZ$60&lt;&gt;"")*ISNUMBER(SEARCH($AZ$5:$AZ$60,AA59))),$BA$5:$BA$60),IF(AB59="Other","Excluded","Unmapped")))</f>
        <v>03 Rough-in (Labour)</v>
      </c>
      <c r="AD59" s="7" t="n">
        <f aca="false">IF(AA59="","",IF(AND(AB59&lt;&gt;"Other",OR(AND('KNOWIFY PHASES'!B59="Closed",N('KNOWIFY PHASES'!D59)&gt;=0.5),N('KNOWIFY PHASES'!D59)&gt;=1)),1,0))</f>
        <v>1</v>
      </c>
      <c r="AE59" s="7" t="n">
        <f aca="false">N('KNOWIFY PHASES'!L59)</f>
        <v>25000</v>
      </c>
      <c r="AF59" s="7" t="n">
        <f aca="false">N('KNOWIFY PHASES'!K59)</f>
        <v>34916.82</v>
      </c>
      <c r="AG59" s="7" t="n">
        <f aca="false">N('KNOWIFY PHASES'!I59)</f>
        <v>0</v>
      </c>
      <c r="AH59" s="7" t="n">
        <f aca="false">N('KNOWIFY PHASES'!H59)</f>
        <v>5670</v>
      </c>
      <c r="AI59" s="7" t="n">
        <f aca="false">N('KNOWIFY PHASES'!O59)</f>
        <v>0</v>
      </c>
      <c r="AJ59" s="7" t="n">
        <f aca="false">N('KNOWIFY PHASES'!N59)</f>
        <v>0</v>
      </c>
      <c r="AK59" s="7" t="n">
        <f aca="false">N('KNOWIFY PHASES'!R59)</f>
        <v>0</v>
      </c>
      <c r="AL59" s="7" t="n">
        <f aca="false">N('KNOWIFY PHASES'!Q59)</f>
        <v>0</v>
      </c>
      <c r="AM59" s="7" t="n">
        <f aca="false">N('KNOWIFY PHASES'!F59)</f>
        <v>25000</v>
      </c>
      <c r="AN59" s="7" t="n">
        <f aca="false">N('KNOWIFY PHASES'!E59)</f>
        <v>40586.82</v>
      </c>
      <c r="AO59" s="7" t="n">
        <f aca="false">MAX(AE59,AF59)</f>
        <v>34916.82</v>
      </c>
      <c r="AP59" s="7" t="n">
        <f aca="false">MAX(AG59,AH59)</f>
        <v>5670</v>
      </c>
      <c r="AQ59" s="7" t="n">
        <f aca="false">MAX(AI59,AJ59)</f>
        <v>0</v>
      </c>
      <c r="AR59" s="7" t="n">
        <f aca="false">MAX(AK59,AL59)</f>
        <v>0</v>
      </c>
      <c r="AT59" s="7" t="str">
        <f aca="false">IF('KNOWIFY TIME'!B59="","",'KNOWIFY TIME'!B59)</f>
        <v>Foreman Lvl 1</v>
      </c>
      <c r="AU59" s="7" t="n">
        <f aca="false">IF(AT59="",0,IF(ISNUMBER('KNOWIFY TIME'!D59),'KNOWIFY TIME'!D59*24,IFERROR(VALUE(LEFT('KNOWIFY TIME'!D59,FIND(":",'KNOWIFY TIME'!D59)-1))+VALUE(MID('KNOWIFY TIME'!D59,FIND(":",'KNOWIFY TIME'!D59)+1,2))/60,0)))</f>
        <v>6.25</v>
      </c>
      <c r="AV59" s="7" t="n">
        <f aca="false">N('KNOWIFY TIME'!E59)</f>
        <v>499.25</v>
      </c>
      <c r="AW59" s="7" t="str">
        <f aca="false">IF(AT59="","",IFERROR(INDEX($BD$5:$BD$60,MATCH(AT59,$BC$5:$BC$60,0)),"Unmapped"))</f>
        <v>Foreman &amp; PM</v>
      </c>
      <c r="AZ59" s="10"/>
      <c r="BA59" s="10"/>
      <c r="BC59" s="10"/>
      <c r="BD59" s="10"/>
    </row>
    <row r="60" customFormat="false" ht="15" hidden="false" customHeight="false" outlineLevel="0" collapsed="false">
      <c r="B60" s="24" t="str">
        <f aca="false">"AC  "&amp;INPUTS!$B$74</f>
        <v>AC  08 Completion &amp; Final Documents</v>
      </c>
      <c r="C60" s="13" t="n">
        <f aca="false">COUNTIFS('KNOWIFY REVIEW'!$AB$4:$AB$400,"AC",'KNOWIFY REVIEW'!$AC$4:$AC$400,INPUTS!$B$74,'KNOWIFY REVIEW'!$AD$4:$AD$400,1)</f>
        <v>0</v>
      </c>
      <c r="D60" s="28" t="n">
        <f aca="false">SUMIFS('KNOWIFY REVIEW'!$AE$4:$AE$400,'KNOWIFY REVIEW'!$AB$4:$AB$400,"AC",'KNOWIFY REVIEW'!$AC$4:$AC$400,INPUTS!$B$74,'KNOWIFY REVIEW'!$AD$4:$AD$400,1)</f>
        <v>0</v>
      </c>
      <c r="E60" s="28" t="n">
        <f aca="false">SUMIFS('KNOWIFY REVIEW'!$AF$4:$AF$400,'KNOWIFY REVIEW'!$AB$4:$AB$400,"AC",'KNOWIFY REVIEW'!$AC$4:$AC$400,INPUTS!$B$74,'KNOWIFY REVIEW'!$AD$4:$AD$400,1)</f>
        <v>0</v>
      </c>
      <c r="F60" s="43" t="str">
        <f aca="false">IFERROR(E60/D60,"")</f>
        <v/>
      </c>
      <c r="G60" s="28" t="n">
        <f aca="false">SUMIFS('KNOWIFY REVIEW'!$AG$4:$AG$400,'KNOWIFY REVIEW'!$AB$4:$AB$400,"AC",'KNOWIFY REVIEW'!$AC$4:$AC$400,INPUTS!$B$74,'KNOWIFY REVIEW'!$AD$4:$AD$400,1)</f>
        <v>0</v>
      </c>
      <c r="H60" s="28" t="n">
        <f aca="false">SUMIFS('KNOWIFY REVIEW'!$AH$4:$AH$400,'KNOWIFY REVIEW'!$AB$4:$AB$400,"AC",'KNOWIFY REVIEW'!$AC$4:$AC$400,INPUTS!$B$74,'KNOWIFY REVIEW'!$AD$4:$AD$400,1)</f>
        <v>0</v>
      </c>
      <c r="I60" s="43" t="str">
        <f aca="false">IFERROR(H60/G60,"")</f>
        <v/>
      </c>
      <c r="J60" s="13" t="n">
        <f aca="false">IFERROR(E60/'KNOWIFY REVIEW'!$E$72,0)</f>
        <v>0</v>
      </c>
      <c r="AA60" s="7" t="str">
        <f aca="false">IF('KNOWIFY PHASES'!A60="","",'KNOWIFY PHASES'!A60)</f>
        <v>V - BLDG B - L4 HVAC Rough-in (Labour)</v>
      </c>
      <c r="AB60" s="7" t="str">
        <f aca="false">IF(AA60="","",IF(LEFT(AA60,4)="P - ","P",IF(LEFT(AA60,4)="H - ","H",IF(LEFT(AA60,5)="AC - ","AC",IF(OR(LEFT(AA60,4)="V - ",LEFT(AA60,7)="HVAC - "),"V","Other")))))</f>
        <v>V</v>
      </c>
      <c r="AC60" s="7" t="str">
        <f aca="false">IF(AA60="","",IFERROR(LOOKUP(2,1/(($AZ$5:$AZ$60&lt;&gt;"")*ISNUMBER(SEARCH($AZ$5:$AZ$60,AA60))),$BA$5:$BA$60),IF(AB60="Other","Excluded","Unmapped")))</f>
        <v>03 Rough-in (Labour)</v>
      </c>
      <c r="AD60" s="7" t="n">
        <f aca="false">IF(AA60="","",IF(AND(AB60&lt;&gt;"Other",OR(AND('KNOWIFY PHASES'!B60="Closed",N('KNOWIFY PHASES'!D60)&gt;=0.5),N('KNOWIFY PHASES'!D60)&gt;=1)),1,0))</f>
        <v>1</v>
      </c>
      <c r="AE60" s="7" t="n">
        <f aca="false">N('KNOWIFY PHASES'!L60)</f>
        <v>25000</v>
      </c>
      <c r="AF60" s="7" t="n">
        <f aca="false">N('KNOWIFY PHASES'!K60)</f>
        <v>43850.78</v>
      </c>
      <c r="AG60" s="7" t="n">
        <f aca="false">N('KNOWIFY PHASES'!I60)</f>
        <v>0</v>
      </c>
      <c r="AH60" s="7" t="n">
        <f aca="false">N('KNOWIFY PHASES'!H60)</f>
        <v>0</v>
      </c>
      <c r="AI60" s="7" t="n">
        <f aca="false">N('KNOWIFY PHASES'!O60)</f>
        <v>0</v>
      </c>
      <c r="AJ60" s="7" t="n">
        <f aca="false">N('KNOWIFY PHASES'!N60)</f>
        <v>0</v>
      </c>
      <c r="AK60" s="7" t="n">
        <f aca="false">N('KNOWIFY PHASES'!R60)</f>
        <v>0</v>
      </c>
      <c r="AL60" s="7" t="n">
        <f aca="false">N('KNOWIFY PHASES'!Q60)</f>
        <v>0</v>
      </c>
      <c r="AM60" s="7" t="n">
        <f aca="false">N('KNOWIFY PHASES'!F60)</f>
        <v>25000</v>
      </c>
      <c r="AN60" s="7" t="n">
        <f aca="false">N('KNOWIFY PHASES'!E60)</f>
        <v>43850.78</v>
      </c>
      <c r="AO60" s="7" t="n">
        <f aca="false">MAX(AE60,AF60)</f>
        <v>43850.78</v>
      </c>
      <c r="AP60" s="7" t="n">
        <f aca="false">MAX(AG60,AH60)</f>
        <v>0</v>
      </c>
      <c r="AQ60" s="7" t="n">
        <f aca="false">MAX(AI60,AJ60)</f>
        <v>0</v>
      </c>
      <c r="AR60" s="7" t="n">
        <f aca="false">MAX(AK60,AL60)</f>
        <v>0</v>
      </c>
      <c r="AT60" s="7" t="str">
        <f aca="false">IF('KNOWIFY TIME'!B60="","",'KNOWIFY TIME'!B60)</f>
        <v>Apprentice Lvl 2</v>
      </c>
      <c r="AU60" s="7" t="n">
        <f aca="false">IF(AT60="",0,IF(ISNUMBER('KNOWIFY TIME'!D60),'KNOWIFY TIME'!D60*24,IFERROR(VALUE(LEFT('KNOWIFY TIME'!D60,FIND(":",'KNOWIFY TIME'!D60)-1))+VALUE(MID('KNOWIFY TIME'!D60,FIND(":",'KNOWIFY TIME'!D60)+1,2))/60,0)))</f>
        <v>170.75</v>
      </c>
      <c r="AV60" s="7" t="n">
        <f aca="false">N('KNOWIFY TIME'!E60)</f>
        <v>7304.96</v>
      </c>
      <c r="AW60" s="7" t="str">
        <f aca="false">IF(AT60="","",IFERROR(INDEX($BD$5:$BD$60,MATCH(AT60,$BC$5:$BC$60,0)),"Unmapped"))</f>
        <v>Apprentice Lvl 1-2</v>
      </c>
      <c r="AZ60" s="10"/>
      <c r="BA60" s="10"/>
      <c r="BC60" s="10"/>
      <c r="BD60" s="10"/>
    </row>
    <row r="61" customFormat="false" ht="15" hidden="false" customHeight="false" outlineLevel="0" collapsed="false">
      <c r="B61" s="24" t="str">
        <f aca="false">"AC  "&amp;INPUTS!$B$75</f>
        <v>AC  09 Office, Supervision &amp; General</v>
      </c>
      <c r="C61" s="13" t="n">
        <f aca="false">COUNTIFS('KNOWIFY REVIEW'!$AB$4:$AB$400,"AC",'KNOWIFY REVIEW'!$AC$4:$AC$400,INPUTS!$B$75,'KNOWIFY REVIEW'!$AD$4:$AD$400,1)</f>
        <v>0</v>
      </c>
      <c r="D61" s="28" t="n">
        <f aca="false">SUMIFS('KNOWIFY REVIEW'!$AE$4:$AE$400,'KNOWIFY REVIEW'!$AB$4:$AB$400,"AC",'KNOWIFY REVIEW'!$AC$4:$AC$400,INPUTS!$B$75,'KNOWIFY REVIEW'!$AD$4:$AD$400,1)</f>
        <v>0</v>
      </c>
      <c r="E61" s="28" t="n">
        <f aca="false">SUMIFS('KNOWIFY REVIEW'!$AF$4:$AF$400,'KNOWIFY REVIEW'!$AB$4:$AB$400,"AC",'KNOWIFY REVIEW'!$AC$4:$AC$400,INPUTS!$B$75,'KNOWIFY REVIEW'!$AD$4:$AD$400,1)</f>
        <v>0</v>
      </c>
      <c r="F61" s="43" t="str">
        <f aca="false">IFERROR(E61/D61,"")</f>
        <v/>
      </c>
      <c r="G61" s="28" t="n">
        <f aca="false">SUMIFS('KNOWIFY REVIEW'!$AG$4:$AG$400,'KNOWIFY REVIEW'!$AB$4:$AB$400,"AC",'KNOWIFY REVIEW'!$AC$4:$AC$400,INPUTS!$B$75,'KNOWIFY REVIEW'!$AD$4:$AD$400,1)</f>
        <v>0</v>
      </c>
      <c r="H61" s="28" t="n">
        <f aca="false">SUMIFS('KNOWIFY REVIEW'!$AH$4:$AH$400,'KNOWIFY REVIEW'!$AB$4:$AB$400,"AC",'KNOWIFY REVIEW'!$AC$4:$AC$400,INPUTS!$B$75,'KNOWIFY REVIEW'!$AD$4:$AD$400,1)</f>
        <v>0</v>
      </c>
      <c r="I61" s="43" t="str">
        <f aca="false">IFERROR(H61/G61,"")</f>
        <v/>
      </c>
      <c r="J61" s="13" t="n">
        <f aca="false">IFERROR(E61/'KNOWIFY REVIEW'!$E$72,0)</f>
        <v>0</v>
      </c>
      <c r="AA61" s="7" t="str">
        <f aca="false">IF('KNOWIFY PHASES'!A61="","",'KNOWIFY PHASES'!A61)</f>
        <v>V - BLDG B - L5 HVAC Rough-in (Labour)</v>
      </c>
      <c r="AB61" s="7" t="str">
        <f aca="false">IF(AA61="","",IF(LEFT(AA61,4)="P - ","P",IF(LEFT(AA61,4)="H - ","H",IF(LEFT(AA61,5)="AC - ","AC",IF(OR(LEFT(AA61,4)="V - ",LEFT(AA61,7)="HVAC - "),"V","Other")))))</f>
        <v>V</v>
      </c>
      <c r="AC61" s="7" t="str">
        <f aca="false">IF(AA61="","",IFERROR(LOOKUP(2,1/(($AZ$5:$AZ$60&lt;&gt;"")*ISNUMBER(SEARCH($AZ$5:$AZ$60,AA61))),$BA$5:$BA$60),IF(AB61="Other","Excluded","Unmapped")))</f>
        <v>03 Rough-in (Labour)</v>
      </c>
      <c r="AD61" s="7" t="n">
        <f aca="false">IF(AA61="","",IF(AND(AB61&lt;&gt;"Other",OR(AND('KNOWIFY PHASES'!B61="Closed",N('KNOWIFY PHASES'!D61)&gt;=0.5),N('KNOWIFY PHASES'!D61)&gt;=1)),1,0))</f>
        <v>1</v>
      </c>
      <c r="AE61" s="7" t="n">
        <f aca="false">N('KNOWIFY PHASES'!L61)</f>
        <v>25000</v>
      </c>
      <c r="AF61" s="7" t="n">
        <f aca="false">N('KNOWIFY PHASES'!K61)</f>
        <v>49872.87</v>
      </c>
      <c r="AG61" s="7" t="n">
        <f aca="false">N('KNOWIFY PHASES'!I61)</f>
        <v>0</v>
      </c>
      <c r="AH61" s="7" t="n">
        <f aca="false">N('KNOWIFY PHASES'!H61)</f>
        <v>0</v>
      </c>
      <c r="AI61" s="7" t="n">
        <f aca="false">N('KNOWIFY PHASES'!O61)</f>
        <v>0</v>
      </c>
      <c r="AJ61" s="7" t="n">
        <f aca="false">N('KNOWIFY PHASES'!N61)</f>
        <v>0</v>
      </c>
      <c r="AK61" s="7" t="n">
        <f aca="false">N('KNOWIFY PHASES'!R61)</f>
        <v>0</v>
      </c>
      <c r="AL61" s="7" t="n">
        <f aca="false">N('KNOWIFY PHASES'!Q61)</f>
        <v>0</v>
      </c>
      <c r="AM61" s="7" t="n">
        <f aca="false">N('KNOWIFY PHASES'!F61)</f>
        <v>25000</v>
      </c>
      <c r="AN61" s="7" t="n">
        <f aca="false">N('KNOWIFY PHASES'!E61)</f>
        <v>49872.87</v>
      </c>
      <c r="AO61" s="7" t="n">
        <f aca="false">MAX(AE61,AF61)</f>
        <v>49872.87</v>
      </c>
      <c r="AP61" s="7" t="n">
        <f aca="false">MAX(AG61,AH61)</f>
        <v>0</v>
      </c>
      <c r="AQ61" s="7" t="n">
        <f aca="false">MAX(AI61,AJ61)</f>
        <v>0</v>
      </c>
      <c r="AR61" s="7" t="n">
        <f aca="false">MAX(AK61,AL61)</f>
        <v>0</v>
      </c>
      <c r="AT61" s="7" t="str">
        <f aca="false">IF('KNOWIFY TIME'!B61="","",'KNOWIFY TIME'!B61)</f>
        <v>Apprentice Lvl 1</v>
      </c>
      <c r="AU61" s="7" t="n">
        <f aca="false">IF(AT61="",0,IF(ISNUMBER('KNOWIFY TIME'!D61),'KNOWIFY TIME'!D61*24,IFERROR(VALUE(LEFT('KNOWIFY TIME'!D61,FIND(":",'KNOWIFY TIME'!D61)-1))+VALUE(MID('KNOWIFY TIME'!D61,FIND(":",'KNOWIFY TIME'!D61)+1,2))/60,0)))</f>
        <v>224.583333333333</v>
      </c>
      <c r="AV61" s="7" t="n">
        <f aca="false">N('KNOWIFY TIME'!E61)</f>
        <v>4409.79</v>
      </c>
      <c r="AW61" s="7" t="str">
        <f aca="false">IF(AT61="","",IFERROR(INDEX($BD$5:$BD$60,MATCH(AT61,$BC$5:$BC$60,0)),"Unmapped"))</f>
        <v>Apprentice Lvl 1-2</v>
      </c>
    </row>
    <row r="62" customFormat="false" ht="15" hidden="false" customHeight="false" outlineLevel="0" collapsed="false">
      <c r="AA62" s="7" t="str">
        <f aca="false">IF('KNOWIFY PHASES'!A62="","",'KNOWIFY PHASES'!A62)</f>
        <v>V - BLDG B - L6 HVAC Rough-in (Labour)</v>
      </c>
      <c r="AB62" s="7" t="str">
        <f aca="false">IF(AA62="","",IF(LEFT(AA62,4)="P - ","P",IF(LEFT(AA62,4)="H - ","H",IF(LEFT(AA62,5)="AC - ","AC",IF(OR(LEFT(AA62,4)="V - ",LEFT(AA62,7)="HVAC - "),"V","Other")))))</f>
        <v>V</v>
      </c>
      <c r="AC62" s="7" t="str">
        <f aca="false">IF(AA62="","",IFERROR(LOOKUP(2,1/(($AZ$5:$AZ$60&lt;&gt;"")*ISNUMBER(SEARCH($AZ$5:$AZ$60,AA62))),$BA$5:$BA$60),IF(AB62="Other","Excluded","Unmapped")))</f>
        <v>03 Rough-in (Labour)</v>
      </c>
      <c r="AD62" s="7" t="n">
        <f aca="false">IF(AA62="","",IF(AND(AB62&lt;&gt;"Other",OR(AND('KNOWIFY PHASES'!B62="Closed",N('KNOWIFY PHASES'!D62)&gt;=0.5),N('KNOWIFY PHASES'!D62)&gt;=1)),1,0))</f>
        <v>1</v>
      </c>
      <c r="AE62" s="7" t="n">
        <f aca="false">N('KNOWIFY PHASES'!L62)</f>
        <v>25000</v>
      </c>
      <c r="AF62" s="7" t="n">
        <f aca="false">N('KNOWIFY PHASES'!K62)</f>
        <v>41532.78</v>
      </c>
      <c r="AG62" s="7" t="n">
        <f aca="false">N('KNOWIFY PHASES'!I62)</f>
        <v>0</v>
      </c>
      <c r="AH62" s="7" t="n">
        <f aca="false">N('KNOWIFY PHASES'!H62)</f>
        <v>0</v>
      </c>
      <c r="AI62" s="7" t="n">
        <f aca="false">N('KNOWIFY PHASES'!O62)</f>
        <v>0</v>
      </c>
      <c r="AJ62" s="7" t="n">
        <f aca="false">N('KNOWIFY PHASES'!N62)</f>
        <v>0</v>
      </c>
      <c r="AK62" s="7" t="n">
        <f aca="false">N('KNOWIFY PHASES'!R62)</f>
        <v>0</v>
      </c>
      <c r="AL62" s="7" t="n">
        <f aca="false">N('KNOWIFY PHASES'!Q62)</f>
        <v>0</v>
      </c>
      <c r="AM62" s="7" t="n">
        <f aca="false">N('KNOWIFY PHASES'!F62)</f>
        <v>25000</v>
      </c>
      <c r="AN62" s="7" t="n">
        <f aca="false">N('KNOWIFY PHASES'!E62)</f>
        <v>41532.78</v>
      </c>
      <c r="AO62" s="7" t="n">
        <f aca="false">MAX(AE62,AF62)</f>
        <v>41532.78</v>
      </c>
      <c r="AP62" s="7" t="n">
        <f aca="false">MAX(AG62,AH62)</f>
        <v>0</v>
      </c>
      <c r="AQ62" s="7" t="n">
        <f aca="false">MAX(AI62,AJ62)</f>
        <v>0</v>
      </c>
      <c r="AR62" s="7" t="n">
        <f aca="false">MAX(AK62,AL62)</f>
        <v>0</v>
      </c>
      <c r="AT62" s="7" t="str">
        <f aca="false">IF('KNOWIFY TIME'!B62="","",'KNOWIFY TIME'!B62)</f>
        <v>Apprentice Lvl 2</v>
      </c>
      <c r="AU62" s="7" t="n">
        <f aca="false">IF(AT62="",0,IF(ISNUMBER('KNOWIFY TIME'!D62),'KNOWIFY TIME'!D62*24,IFERROR(VALUE(LEFT('KNOWIFY TIME'!D62,FIND(":",'KNOWIFY TIME'!D62)-1))+VALUE(MID('KNOWIFY TIME'!D62,FIND(":",'KNOWIFY TIME'!D62)+1,2))/60,0)))</f>
        <v>746.75</v>
      </c>
      <c r="AV62" s="7" t="n">
        <f aca="false">N('KNOWIFY TIME'!E62)</f>
        <v>32916.38</v>
      </c>
      <c r="AW62" s="7" t="str">
        <f aca="false">IF(AT62="","",IFERROR(INDEX($BD$5:$BD$60,MATCH(AT62,$BC$5:$BC$60,0)),"Unmapped"))</f>
        <v>Apprentice Lvl 1-2</v>
      </c>
    </row>
    <row r="63" customFormat="false" ht="15" hidden="false" customHeight="false" outlineLevel="0" collapsed="false">
      <c r="AA63" s="7" t="str">
        <f aca="false">IF('KNOWIFY PHASES'!A63="","",'KNOWIFY PHASES'!A63)</f>
        <v>V - BLDG B - Material Supply</v>
      </c>
      <c r="AB63" s="7" t="str">
        <f aca="false">IF(AA63="","",IF(LEFT(AA63,4)="P - ","P",IF(LEFT(AA63,4)="H - ","H",IF(LEFT(AA63,5)="AC - ","AC",IF(OR(LEFT(AA63,4)="V - ",LEFT(AA63,7)="HVAC - "),"V","Other")))))</f>
        <v>V</v>
      </c>
      <c r="AC63" s="7" t="str">
        <f aca="false">IF(AA63="","",IFERROR(LOOKUP(2,1/(($AZ$5:$AZ$60&lt;&gt;"")*ISNUMBER(SEARCH($AZ$5:$AZ$60,AA63))),$BA$5:$BA$60),IF(AB63="Other","Excluded","Unmapped")))</f>
        <v>05 Material Supply</v>
      </c>
      <c r="AD63" s="7" t="n">
        <f aca="false">IF(AA63="","",IF(AND(AB63&lt;&gt;"Other",OR(AND('KNOWIFY PHASES'!B63="Closed",N('KNOWIFY PHASES'!D63)&gt;=0.5),N('KNOWIFY PHASES'!D63)&gt;=1)),1,0))</f>
        <v>1</v>
      </c>
      <c r="AE63" s="7" t="n">
        <f aca="false">N('KNOWIFY PHASES'!L63)</f>
        <v>0</v>
      </c>
      <c r="AF63" s="7" t="n">
        <f aca="false">N('KNOWIFY PHASES'!K63)</f>
        <v>0</v>
      </c>
      <c r="AG63" s="7" t="n">
        <f aca="false">N('KNOWIFY PHASES'!I63)</f>
        <v>75000</v>
      </c>
      <c r="AH63" s="7" t="n">
        <f aca="false">N('KNOWIFY PHASES'!H63)</f>
        <v>124824.22</v>
      </c>
      <c r="AI63" s="7" t="n">
        <f aca="false">N('KNOWIFY PHASES'!O63)</f>
        <v>0</v>
      </c>
      <c r="AJ63" s="7" t="n">
        <f aca="false">N('KNOWIFY PHASES'!N63)</f>
        <v>2535.75</v>
      </c>
      <c r="AK63" s="7" t="n">
        <f aca="false">N('KNOWIFY PHASES'!R63)</f>
        <v>0</v>
      </c>
      <c r="AL63" s="7" t="n">
        <f aca="false">N('KNOWIFY PHASES'!Q63)</f>
        <v>0</v>
      </c>
      <c r="AM63" s="7" t="n">
        <f aca="false">N('KNOWIFY PHASES'!F63)</f>
        <v>75000</v>
      </c>
      <c r="AN63" s="7" t="n">
        <f aca="false">N('KNOWIFY PHASES'!E63)</f>
        <v>127359.97</v>
      </c>
      <c r="AO63" s="7" t="n">
        <f aca="false">MAX(AE63,AF63)</f>
        <v>0</v>
      </c>
      <c r="AP63" s="7" t="n">
        <f aca="false">MAX(AG63,AH63)</f>
        <v>124824.22</v>
      </c>
      <c r="AQ63" s="7" t="n">
        <f aca="false">MAX(AI63,AJ63)</f>
        <v>2535.75</v>
      </c>
      <c r="AR63" s="7" t="n">
        <f aca="false">MAX(AK63,AL63)</f>
        <v>0</v>
      </c>
      <c r="AT63" s="7" t="str">
        <f aca="false">IF('KNOWIFY TIME'!B63="","",'KNOWIFY TIME'!B63)</f>
        <v>Apprentice Lvl 7</v>
      </c>
      <c r="AU63" s="7" t="n">
        <f aca="false">IF(AT63="",0,IF(ISNUMBER('KNOWIFY TIME'!D63),'KNOWIFY TIME'!D63*24,IFERROR(VALUE(LEFT('KNOWIFY TIME'!D63,FIND(":",'KNOWIFY TIME'!D63)-1))+VALUE(MID('KNOWIFY TIME'!D63,FIND(":",'KNOWIFY TIME'!D63)+1,2))/60,0)))</f>
        <v>518.166666666667</v>
      </c>
      <c r="AV63" s="7" t="n">
        <f aca="false">N('KNOWIFY TIME'!E63)</f>
        <v>21871.27</v>
      </c>
      <c r="AW63" s="7" t="str">
        <f aca="false">IF(AT63="","",IFERROR(INDEX($BD$5:$BD$60,MATCH(AT63,$BC$5:$BC$60,0)),"Unmapped"))</f>
        <v>Apprentice Lvl 7-8</v>
      </c>
    </row>
    <row r="64" customFormat="false" ht="15" hidden="false" customHeight="false" outlineLevel="0" collapsed="false">
      <c r="B64" s="3" t="s">
        <v>922</v>
      </c>
      <c r="AA64" s="7" t="str">
        <f aca="false">IF('KNOWIFY PHASES'!A64="","",'KNOWIFY PHASES'!A64)</f>
        <v>V - BLDG B - L1 HVAC Finishing</v>
      </c>
      <c r="AB64" s="7" t="str">
        <f aca="false">IF(AA64="","",IF(LEFT(AA64,4)="P - ","P",IF(LEFT(AA64,4)="H - ","H",IF(LEFT(AA64,5)="AC - ","AC",IF(OR(LEFT(AA64,4)="V - ",LEFT(AA64,7)="HVAC - "),"V","Other")))))</f>
        <v>V</v>
      </c>
      <c r="AC64" s="7" t="str">
        <f aca="false">IF(AA64="","",IFERROR(LOOKUP(2,1/(($AZ$5:$AZ$60&lt;&gt;"")*ISNUMBER(SEARCH($AZ$5:$AZ$60,AA64))),$BA$5:$BA$60),IF(AB64="Other","Excluded","Unmapped")))</f>
        <v>04 Finishing (Labour)</v>
      </c>
      <c r="AD64" s="7" t="n">
        <f aca="false">IF(AA64="","",IF(AND(AB64&lt;&gt;"Other",OR(AND('KNOWIFY PHASES'!B64="Closed",N('KNOWIFY PHASES'!D64)&gt;=0.5),N('KNOWIFY PHASES'!D64)&gt;=1)),1,0))</f>
        <v>0</v>
      </c>
      <c r="AE64" s="7" t="n">
        <f aca="false">N('KNOWIFY PHASES'!L64)</f>
        <v>5500</v>
      </c>
      <c r="AF64" s="7" t="n">
        <f aca="false">N('KNOWIFY PHASES'!K64)</f>
        <v>0</v>
      </c>
      <c r="AG64" s="7" t="n">
        <f aca="false">N('KNOWIFY PHASES'!I64)</f>
        <v>0</v>
      </c>
      <c r="AH64" s="7" t="n">
        <f aca="false">N('KNOWIFY PHASES'!H64)</f>
        <v>0</v>
      </c>
      <c r="AI64" s="7" t="n">
        <f aca="false">N('KNOWIFY PHASES'!O64)</f>
        <v>0</v>
      </c>
      <c r="AJ64" s="7" t="n">
        <f aca="false">N('KNOWIFY PHASES'!N64)</f>
        <v>0</v>
      </c>
      <c r="AK64" s="7" t="n">
        <f aca="false">N('KNOWIFY PHASES'!R64)</f>
        <v>0</v>
      </c>
      <c r="AL64" s="7" t="n">
        <f aca="false">N('KNOWIFY PHASES'!Q64)</f>
        <v>0</v>
      </c>
      <c r="AM64" s="7" t="n">
        <f aca="false">N('KNOWIFY PHASES'!F64)</f>
        <v>5500</v>
      </c>
      <c r="AN64" s="7" t="n">
        <f aca="false">N('KNOWIFY PHASES'!E64)</f>
        <v>0</v>
      </c>
      <c r="AO64" s="7" t="n">
        <f aca="false">MAX(AE64,AF64)</f>
        <v>5500</v>
      </c>
      <c r="AP64" s="7" t="n">
        <f aca="false">MAX(AG64,AH64)</f>
        <v>0</v>
      </c>
      <c r="AQ64" s="7" t="n">
        <f aca="false">MAX(AI64,AJ64)</f>
        <v>0</v>
      </c>
      <c r="AR64" s="7" t="n">
        <f aca="false">MAX(AK64,AL64)</f>
        <v>0</v>
      </c>
      <c r="AT64" s="7" t="str">
        <f aca="false">IF('KNOWIFY TIME'!B64="","",'KNOWIFY TIME'!B64)</f>
        <v>Health &amp; Safety Coordinator</v>
      </c>
      <c r="AU64" s="7" t="n">
        <f aca="false">IF(AT64="",0,IF(ISNUMBER('KNOWIFY TIME'!D64),'KNOWIFY TIME'!D64*24,IFERROR(VALUE(LEFT('KNOWIFY TIME'!D64,FIND(":",'KNOWIFY TIME'!D64)-1))+VALUE(MID('KNOWIFY TIME'!D64,FIND(":",'KNOWIFY TIME'!D64)+1,2))/60,0)))</f>
        <v>237</v>
      </c>
      <c r="AV64" s="7" t="n">
        <f aca="false">N('KNOWIFY TIME'!E64)</f>
        <v>15506.57</v>
      </c>
      <c r="AW64" s="7" t="str">
        <f aca="false">IF(AT64="","",IFERROR(INDEX($BD$5:$BD$60,MATCH(AT64,$BC$5:$BC$60,0)),"Unmapped"))</f>
        <v>Foreman &amp; PM</v>
      </c>
    </row>
    <row r="65" customFormat="false" ht="30" hidden="false" customHeight="true" outlineLevel="0" collapsed="false">
      <c r="B65" s="17" t="s">
        <v>820</v>
      </c>
      <c r="C65" s="17" t="s">
        <v>178</v>
      </c>
      <c r="D65" s="17" t="s">
        <v>819</v>
      </c>
      <c r="E65" s="17" t="s">
        <v>923</v>
      </c>
      <c r="F65" s="17" t="s">
        <v>924</v>
      </c>
      <c r="G65" s="17" t="s">
        <v>925</v>
      </c>
      <c r="AA65" s="7" t="str">
        <f aca="false">IF('KNOWIFY PHASES'!A65="","",'KNOWIFY PHASES'!A65)</f>
        <v>V - BLDG B - L2 HVAC Finishing</v>
      </c>
      <c r="AB65" s="7" t="str">
        <f aca="false">IF(AA65="","",IF(LEFT(AA65,4)="P - ","P",IF(LEFT(AA65,4)="H - ","H",IF(LEFT(AA65,5)="AC - ","AC",IF(OR(LEFT(AA65,4)="V - ",LEFT(AA65,7)="HVAC - "),"V","Other")))))</f>
        <v>V</v>
      </c>
      <c r="AC65" s="7" t="str">
        <f aca="false">IF(AA65="","",IFERROR(LOOKUP(2,1/(($AZ$5:$AZ$60&lt;&gt;"")*ISNUMBER(SEARCH($AZ$5:$AZ$60,AA65))),$BA$5:$BA$60),IF(AB65="Other","Excluded","Unmapped")))</f>
        <v>04 Finishing (Labour)</v>
      </c>
      <c r="AD65" s="7" t="n">
        <f aca="false">IF(AA65="","",IF(AND(AB65&lt;&gt;"Other",OR(AND('KNOWIFY PHASES'!B65="Closed",N('KNOWIFY PHASES'!D65)&gt;=0.5),N('KNOWIFY PHASES'!D65)&gt;=1)),1,0))</f>
        <v>1</v>
      </c>
      <c r="AE65" s="7" t="n">
        <f aca="false">N('KNOWIFY PHASES'!L65)</f>
        <v>5500</v>
      </c>
      <c r="AF65" s="7" t="n">
        <f aca="false">N('KNOWIFY PHASES'!K65)</f>
        <v>0</v>
      </c>
      <c r="AG65" s="7" t="n">
        <f aca="false">N('KNOWIFY PHASES'!I65)</f>
        <v>0</v>
      </c>
      <c r="AH65" s="7" t="n">
        <f aca="false">N('KNOWIFY PHASES'!H65)</f>
        <v>9879.96</v>
      </c>
      <c r="AI65" s="7" t="n">
        <f aca="false">N('KNOWIFY PHASES'!O65)</f>
        <v>0</v>
      </c>
      <c r="AJ65" s="7" t="n">
        <f aca="false">N('KNOWIFY PHASES'!N65)</f>
        <v>0</v>
      </c>
      <c r="AK65" s="7" t="n">
        <f aca="false">N('KNOWIFY PHASES'!R65)</f>
        <v>0</v>
      </c>
      <c r="AL65" s="7" t="n">
        <f aca="false">N('KNOWIFY PHASES'!Q65)</f>
        <v>0</v>
      </c>
      <c r="AM65" s="7" t="n">
        <f aca="false">N('KNOWIFY PHASES'!F65)</f>
        <v>5500</v>
      </c>
      <c r="AN65" s="7" t="n">
        <f aca="false">N('KNOWIFY PHASES'!E65)</f>
        <v>9879.96</v>
      </c>
      <c r="AO65" s="7" t="n">
        <f aca="false">MAX(AE65,AF65)</f>
        <v>5500</v>
      </c>
      <c r="AP65" s="7" t="n">
        <f aca="false">MAX(AG65,AH65)</f>
        <v>9879.96</v>
      </c>
      <c r="AQ65" s="7" t="n">
        <f aca="false">MAX(AI65,AJ65)</f>
        <v>0</v>
      </c>
      <c r="AR65" s="7" t="n">
        <f aca="false">MAX(AK65,AL65)</f>
        <v>0</v>
      </c>
      <c r="AT65" s="7" t="str">
        <f aca="false">IF('KNOWIFY TIME'!B65="","",'KNOWIFY TIME'!B65)</f>
        <v>Apprentice Lvl 3</v>
      </c>
      <c r="AU65" s="7" t="n">
        <f aca="false">IF(AT65="",0,IF(ISNUMBER('KNOWIFY TIME'!D65),'KNOWIFY TIME'!D65*24,IFERROR(VALUE(LEFT('KNOWIFY TIME'!D65,FIND(":",'KNOWIFY TIME'!D65)-1))+VALUE(MID('KNOWIFY TIME'!D65,FIND(":",'KNOWIFY TIME'!D65)+1,2))/60,0)))</f>
        <v>283.5</v>
      </c>
      <c r="AV65" s="7" t="n">
        <f aca="false">N('KNOWIFY TIME'!E65)</f>
        <v>9134.52</v>
      </c>
      <c r="AW65" s="7" t="str">
        <f aca="false">IF(AT65="","",IFERROR(INDEX($BD$5:$BD$60,MATCH(AT65,$BC$5:$BC$60,0)),"Unmapped"))</f>
        <v>Apprentice Lvl 3-6</v>
      </c>
    </row>
    <row r="66" customFormat="false" ht="15" hidden="false" customHeight="false" outlineLevel="0" collapsed="false">
      <c r="B66" s="24" t="s">
        <v>182</v>
      </c>
      <c r="C66" s="13" t="n">
        <f aca="false">SUMIFS('KNOWIFY REVIEW'!$AU$3:$AU$300,'KNOWIFY REVIEW'!$AW$3:$AW$300,B66)</f>
        <v>11897.6666666667</v>
      </c>
      <c r="D66" s="28" t="n">
        <f aca="false">SUMIFS('KNOWIFY REVIEW'!$AV$3:$AV$300,'KNOWIFY REVIEW'!$AW$3:$AW$300,B66)</f>
        <v>478867.9</v>
      </c>
      <c r="E66" s="27" t="n">
        <f aca="false">IFERROR(D66/C66,0)</f>
        <v>40.248891939596</v>
      </c>
      <c r="F66" s="19" t="n">
        <f aca="false">IFERROR(C66/$C$72,0)</f>
        <v>0.364725086920202</v>
      </c>
      <c r="G66" s="30" t="n">
        <f aca="false">'LABOUR RATES'!D6</f>
        <v>0.4</v>
      </c>
      <c r="AA66" s="7" t="str">
        <f aca="false">IF('KNOWIFY PHASES'!A66="","",'KNOWIFY PHASES'!A66)</f>
        <v>V - BLDG B - L3 HVAC Finishing</v>
      </c>
      <c r="AB66" s="7" t="str">
        <f aca="false">IF(AA66="","",IF(LEFT(AA66,4)="P - ","P",IF(LEFT(AA66,4)="H - ","H",IF(LEFT(AA66,5)="AC - ","AC",IF(OR(LEFT(AA66,4)="V - ",LEFT(AA66,7)="HVAC - "),"V","Other")))))</f>
        <v>V</v>
      </c>
      <c r="AC66" s="7" t="str">
        <f aca="false">IF(AA66="","",IFERROR(LOOKUP(2,1/(($AZ$5:$AZ$60&lt;&gt;"")*ISNUMBER(SEARCH($AZ$5:$AZ$60,AA66))),$BA$5:$BA$60),IF(AB66="Other","Excluded","Unmapped")))</f>
        <v>04 Finishing (Labour)</v>
      </c>
      <c r="AD66" s="7" t="n">
        <f aca="false">IF(AA66="","",IF(AND(AB66&lt;&gt;"Other",OR(AND('KNOWIFY PHASES'!B66="Closed",N('KNOWIFY PHASES'!D66)&gt;=0.5),N('KNOWIFY PHASES'!D66)&gt;=1)),1,0))</f>
        <v>0</v>
      </c>
      <c r="AE66" s="7" t="n">
        <f aca="false">N('KNOWIFY PHASES'!L66)</f>
        <v>5500</v>
      </c>
      <c r="AF66" s="7" t="n">
        <f aca="false">N('KNOWIFY PHASES'!K66)</f>
        <v>0</v>
      </c>
      <c r="AG66" s="7" t="n">
        <f aca="false">N('KNOWIFY PHASES'!I66)</f>
        <v>0</v>
      </c>
      <c r="AH66" s="7" t="n">
        <f aca="false">N('KNOWIFY PHASES'!H66)</f>
        <v>0</v>
      </c>
      <c r="AI66" s="7" t="n">
        <f aca="false">N('KNOWIFY PHASES'!O66)</f>
        <v>0</v>
      </c>
      <c r="AJ66" s="7" t="n">
        <f aca="false">N('KNOWIFY PHASES'!N66)</f>
        <v>0</v>
      </c>
      <c r="AK66" s="7" t="n">
        <f aca="false">N('KNOWIFY PHASES'!R66)</f>
        <v>0</v>
      </c>
      <c r="AL66" s="7" t="n">
        <f aca="false">N('KNOWIFY PHASES'!Q66)</f>
        <v>0</v>
      </c>
      <c r="AM66" s="7" t="n">
        <f aca="false">N('KNOWIFY PHASES'!F66)</f>
        <v>5500</v>
      </c>
      <c r="AN66" s="7" t="n">
        <f aca="false">N('KNOWIFY PHASES'!E66)</f>
        <v>0</v>
      </c>
      <c r="AO66" s="7" t="n">
        <f aca="false">MAX(AE66,AF66)</f>
        <v>5500</v>
      </c>
      <c r="AP66" s="7" t="n">
        <f aca="false">MAX(AG66,AH66)</f>
        <v>0</v>
      </c>
      <c r="AQ66" s="7" t="n">
        <f aca="false">MAX(AI66,AJ66)</f>
        <v>0</v>
      </c>
      <c r="AR66" s="7" t="n">
        <f aca="false">MAX(AK66,AL66)</f>
        <v>0</v>
      </c>
      <c r="AT66" s="7" t="str">
        <f aca="false">IF('KNOWIFY TIME'!B66="","",'KNOWIFY TIME'!B66)</f>
        <v>Apprentice Lvl 1</v>
      </c>
      <c r="AU66" s="7" t="n">
        <f aca="false">IF(AT66="",0,IF(ISNUMBER('KNOWIFY TIME'!D66),'KNOWIFY TIME'!D66*24,IFERROR(VALUE(LEFT('KNOWIFY TIME'!D66,FIND(":",'KNOWIFY TIME'!D66)-1))+VALUE(MID('KNOWIFY TIME'!D66,FIND(":",'KNOWIFY TIME'!D66)+1,2))/60,0)))</f>
        <v>643.666666666667</v>
      </c>
      <c r="AV66" s="7" t="n">
        <f aca="false">N('KNOWIFY TIME'!E66)</f>
        <v>20927.67</v>
      </c>
      <c r="AW66" s="7" t="str">
        <f aca="false">IF(AT66="","",IFERROR(INDEX($BD$5:$BD$60,MATCH(AT66,$BC$5:$BC$60,0)),"Unmapped"))</f>
        <v>Apprentice Lvl 1-2</v>
      </c>
    </row>
    <row r="67" customFormat="false" ht="15" hidden="false" customHeight="false" outlineLevel="0" collapsed="false">
      <c r="B67" s="24" t="s">
        <v>184</v>
      </c>
      <c r="C67" s="13" t="n">
        <f aca="false">SUMIFS('KNOWIFY REVIEW'!$AU$3:$AU$300,'KNOWIFY REVIEW'!$AW$3:$AW$300,B67)</f>
        <v>8149.66666666667</v>
      </c>
      <c r="D67" s="28" t="n">
        <f aca="false">SUMIFS('KNOWIFY REVIEW'!$AV$3:$AV$300,'KNOWIFY REVIEW'!$AW$3:$AW$300,B67)</f>
        <v>383866.72</v>
      </c>
      <c r="E67" s="27" t="n">
        <f aca="false">IFERROR(D67/C67,0)</f>
        <v>47.1021375107366</v>
      </c>
      <c r="F67" s="19" t="n">
        <f aca="false">IFERROR(C67/$C$72,0)</f>
        <v>0.249829480573558</v>
      </c>
      <c r="G67" s="30" t="n">
        <f aca="false">'LABOUR RATES'!D7</f>
        <v>0.3</v>
      </c>
      <c r="AA67" s="7" t="str">
        <f aca="false">IF('KNOWIFY PHASES'!A67="","",'KNOWIFY PHASES'!A67)</f>
        <v>V - BLDG B - L4 HVAC Finishing</v>
      </c>
      <c r="AB67" s="7" t="str">
        <f aca="false">IF(AA67="","",IF(LEFT(AA67,4)="P - ","P",IF(LEFT(AA67,4)="H - ","H",IF(LEFT(AA67,5)="AC - ","AC",IF(OR(LEFT(AA67,4)="V - ",LEFT(AA67,7)="HVAC - "),"V","Other")))))</f>
        <v>V</v>
      </c>
      <c r="AC67" s="7" t="str">
        <f aca="false">IF(AA67="","",IFERROR(LOOKUP(2,1/(($AZ$5:$AZ$60&lt;&gt;"")*ISNUMBER(SEARCH($AZ$5:$AZ$60,AA67))),$BA$5:$BA$60),IF(AB67="Other","Excluded","Unmapped")))</f>
        <v>04 Finishing (Labour)</v>
      </c>
      <c r="AD67" s="7" t="n">
        <f aca="false">IF(AA67="","",IF(AND(AB67&lt;&gt;"Other",OR(AND('KNOWIFY PHASES'!B67="Closed",N('KNOWIFY PHASES'!D67)&gt;=0.5),N('KNOWIFY PHASES'!D67)&gt;=1)),1,0))</f>
        <v>0</v>
      </c>
      <c r="AE67" s="7" t="n">
        <f aca="false">N('KNOWIFY PHASES'!L67)</f>
        <v>5500</v>
      </c>
      <c r="AF67" s="7" t="n">
        <f aca="false">N('KNOWIFY PHASES'!K67)</f>
        <v>0</v>
      </c>
      <c r="AG67" s="7" t="n">
        <f aca="false">N('KNOWIFY PHASES'!I67)</f>
        <v>0</v>
      </c>
      <c r="AH67" s="7" t="n">
        <f aca="false">N('KNOWIFY PHASES'!H67)</f>
        <v>0</v>
      </c>
      <c r="AI67" s="7" t="n">
        <f aca="false">N('KNOWIFY PHASES'!O67)</f>
        <v>0</v>
      </c>
      <c r="AJ67" s="7" t="n">
        <f aca="false">N('KNOWIFY PHASES'!N67)</f>
        <v>0</v>
      </c>
      <c r="AK67" s="7" t="n">
        <f aca="false">N('KNOWIFY PHASES'!R67)</f>
        <v>0</v>
      </c>
      <c r="AL67" s="7" t="n">
        <f aca="false">N('KNOWIFY PHASES'!Q67)</f>
        <v>0</v>
      </c>
      <c r="AM67" s="7" t="n">
        <f aca="false">N('KNOWIFY PHASES'!F67)</f>
        <v>5500</v>
      </c>
      <c r="AN67" s="7" t="n">
        <f aca="false">N('KNOWIFY PHASES'!E67)</f>
        <v>0</v>
      </c>
      <c r="AO67" s="7" t="n">
        <f aca="false">MAX(AE67,AF67)</f>
        <v>5500</v>
      </c>
      <c r="AP67" s="7" t="n">
        <f aca="false">MAX(AG67,AH67)</f>
        <v>0</v>
      </c>
      <c r="AQ67" s="7" t="n">
        <f aca="false">MAX(AI67,AJ67)</f>
        <v>0</v>
      </c>
      <c r="AR67" s="7" t="n">
        <f aca="false">MAX(AK67,AL67)</f>
        <v>0</v>
      </c>
      <c r="AT67" s="7" t="str">
        <f aca="false">IF('KNOWIFY TIME'!B67="","",'KNOWIFY TIME'!B67)</f>
        <v>Foreman Lvl 1</v>
      </c>
      <c r="AU67" s="7" t="n">
        <f aca="false">IF(AT67="",0,IF(ISNUMBER('KNOWIFY TIME'!D67),'KNOWIFY TIME'!D67*24,IFERROR(VALUE(LEFT('KNOWIFY TIME'!D67,FIND(":",'KNOWIFY TIME'!D67)-1))+VALUE(MID('KNOWIFY TIME'!D67,FIND(":",'KNOWIFY TIME'!D67)+1,2))/60,0)))</f>
        <v>272.5</v>
      </c>
      <c r="AV67" s="7" t="n">
        <f aca="false">N('KNOWIFY TIME'!E67)</f>
        <v>21674.75</v>
      </c>
      <c r="AW67" s="7" t="str">
        <f aca="false">IF(AT67="","",IFERROR(INDEX($BD$5:$BD$60,MATCH(AT67,$BC$5:$BC$60,0)),"Unmapped"))</f>
        <v>Foreman &amp; PM</v>
      </c>
    </row>
    <row r="68" customFormat="false" ht="15" hidden="false" customHeight="false" outlineLevel="0" collapsed="false">
      <c r="B68" s="24" t="s">
        <v>186</v>
      </c>
      <c r="C68" s="13" t="n">
        <f aca="false">SUMIFS('KNOWIFY REVIEW'!$AU$3:$AU$300,'KNOWIFY REVIEW'!$AW$3:$AW$300,B68)</f>
        <v>2798.25</v>
      </c>
      <c r="D68" s="28" t="n">
        <f aca="false">SUMIFS('KNOWIFY REVIEW'!$AV$3:$AV$300,'KNOWIFY REVIEW'!$AW$3:$AW$300,B68)</f>
        <v>143306.89</v>
      </c>
      <c r="E68" s="27" t="n">
        <f aca="false">IFERROR(D68/C68,0)</f>
        <v>51.2130402930403</v>
      </c>
      <c r="F68" s="19" t="n">
        <f aca="false">IFERROR(C68/$C$72,0)</f>
        <v>0.0857808512431952</v>
      </c>
      <c r="G68" s="30" t="n">
        <f aca="false">'LABOUR RATES'!D8</f>
        <v>0.05</v>
      </c>
      <c r="AA68" s="7" t="str">
        <f aca="false">IF('KNOWIFY PHASES'!A68="","",'KNOWIFY PHASES'!A68)</f>
        <v>V - BLDG B - L5 HVAC Finishing</v>
      </c>
      <c r="AB68" s="7" t="str">
        <f aca="false">IF(AA68="","",IF(LEFT(AA68,4)="P - ","P",IF(LEFT(AA68,4)="H - ","H",IF(LEFT(AA68,5)="AC - ","AC",IF(OR(LEFT(AA68,4)="V - ",LEFT(AA68,7)="HVAC - "),"V","Other")))))</f>
        <v>V</v>
      </c>
      <c r="AC68" s="7" t="str">
        <f aca="false">IF(AA68="","",IFERROR(LOOKUP(2,1/(($AZ$5:$AZ$60&lt;&gt;"")*ISNUMBER(SEARCH($AZ$5:$AZ$60,AA68))),$BA$5:$BA$60),IF(AB68="Other","Excluded","Unmapped")))</f>
        <v>04 Finishing (Labour)</v>
      </c>
      <c r="AD68" s="7" t="n">
        <f aca="false">IF(AA68="","",IF(AND(AB68&lt;&gt;"Other",OR(AND('KNOWIFY PHASES'!B68="Closed",N('KNOWIFY PHASES'!D68)&gt;=0.5),N('KNOWIFY PHASES'!D68)&gt;=1)),1,0))</f>
        <v>0</v>
      </c>
      <c r="AE68" s="7" t="n">
        <f aca="false">N('KNOWIFY PHASES'!L68)</f>
        <v>5500</v>
      </c>
      <c r="AF68" s="7" t="n">
        <f aca="false">N('KNOWIFY PHASES'!K68)</f>
        <v>0</v>
      </c>
      <c r="AG68" s="7" t="n">
        <f aca="false">N('KNOWIFY PHASES'!I68)</f>
        <v>0</v>
      </c>
      <c r="AH68" s="7" t="n">
        <f aca="false">N('KNOWIFY PHASES'!H68)</f>
        <v>0</v>
      </c>
      <c r="AI68" s="7" t="n">
        <f aca="false">N('KNOWIFY PHASES'!O68)</f>
        <v>0</v>
      </c>
      <c r="AJ68" s="7" t="n">
        <f aca="false">N('KNOWIFY PHASES'!N68)</f>
        <v>0</v>
      </c>
      <c r="AK68" s="7" t="n">
        <f aca="false">N('KNOWIFY PHASES'!R68)</f>
        <v>0</v>
      </c>
      <c r="AL68" s="7" t="n">
        <f aca="false">N('KNOWIFY PHASES'!Q68)</f>
        <v>0</v>
      </c>
      <c r="AM68" s="7" t="n">
        <f aca="false">N('KNOWIFY PHASES'!F68)</f>
        <v>5500</v>
      </c>
      <c r="AN68" s="7" t="n">
        <f aca="false">N('KNOWIFY PHASES'!E68)</f>
        <v>0</v>
      </c>
      <c r="AO68" s="7" t="n">
        <f aca="false">MAX(AE68,AF68)</f>
        <v>5500</v>
      </c>
      <c r="AP68" s="7" t="n">
        <f aca="false">MAX(AG68,AH68)</f>
        <v>0</v>
      </c>
      <c r="AQ68" s="7" t="n">
        <f aca="false">MAX(AI68,AJ68)</f>
        <v>0</v>
      </c>
      <c r="AR68" s="7" t="n">
        <f aca="false">MAX(AK68,AL68)</f>
        <v>0</v>
      </c>
      <c r="AT68" s="7" t="str">
        <f aca="false">IF('KNOWIFY TIME'!B68="","",'KNOWIFY TIME'!B68)</f>
        <v>Apprentice Lvl 3</v>
      </c>
      <c r="AU68" s="7" t="n">
        <f aca="false">IF(AT68="",0,IF(ISNUMBER('KNOWIFY TIME'!D68),'KNOWIFY TIME'!D68*24,IFERROR(VALUE(LEFT('KNOWIFY TIME'!D68,FIND(":",'KNOWIFY TIME'!D68)-1))+VALUE(MID('KNOWIFY TIME'!D68,FIND(":",'KNOWIFY TIME'!D68)+1,2))/60,0)))</f>
        <v>32.5</v>
      </c>
      <c r="AV68" s="7" t="n">
        <f aca="false">N('KNOWIFY TIME'!E68)</f>
        <v>1680.9</v>
      </c>
      <c r="AW68" s="7" t="str">
        <f aca="false">IF(AT68="","",IFERROR(INDEX($BD$5:$BD$60,MATCH(AT68,$BC$5:$BC$60,0)),"Unmapped"))</f>
        <v>Apprentice Lvl 3-6</v>
      </c>
    </row>
    <row r="69" customFormat="false" ht="15" hidden="false" customHeight="false" outlineLevel="0" collapsed="false">
      <c r="B69" s="24" t="s">
        <v>188</v>
      </c>
      <c r="C69" s="13" t="n">
        <f aca="false">SUMIFS('KNOWIFY REVIEW'!$AU$3:$AU$300,'KNOWIFY REVIEW'!$AW$3:$AW$300,B69)</f>
        <v>3917.91666666667</v>
      </c>
      <c r="D69" s="28" t="n">
        <f aca="false">SUMIFS('KNOWIFY REVIEW'!$AV$3:$AV$300,'KNOWIFY REVIEW'!$AW$3:$AW$300,B69)</f>
        <v>241134.17</v>
      </c>
      <c r="E69" s="27" t="n">
        <f aca="false">IFERROR(D69/C69,0)</f>
        <v>61.5465285547166</v>
      </c>
      <c r="F69" s="19" t="n">
        <f aca="false">IFERROR(C69/$C$72,0)</f>
        <v>0.120104431972329</v>
      </c>
      <c r="G69" s="30" t="n">
        <f aca="false">'LABOUR RATES'!D9</f>
        <v>0.11</v>
      </c>
      <c r="AA69" s="7" t="str">
        <f aca="false">IF('KNOWIFY PHASES'!A69="","",'KNOWIFY PHASES'!A69)</f>
        <v>V - BLDG B - L6 HVAC Finishing</v>
      </c>
      <c r="AB69" s="7" t="str">
        <f aca="false">IF(AA69="","",IF(LEFT(AA69,4)="P - ","P",IF(LEFT(AA69,4)="H - ","H",IF(LEFT(AA69,5)="AC - ","AC",IF(OR(LEFT(AA69,4)="V - ",LEFT(AA69,7)="HVAC - "),"V","Other")))))</f>
        <v>V</v>
      </c>
      <c r="AC69" s="7" t="str">
        <f aca="false">IF(AA69="","",IFERROR(LOOKUP(2,1/(($AZ$5:$AZ$60&lt;&gt;"")*ISNUMBER(SEARCH($AZ$5:$AZ$60,AA69))),$BA$5:$BA$60),IF(AB69="Other","Excluded","Unmapped")))</f>
        <v>04 Finishing (Labour)</v>
      </c>
      <c r="AD69" s="7" t="n">
        <f aca="false">IF(AA69="","",IF(AND(AB69&lt;&gt;"Other",OR(AND('KNOWIFY PHASES'!B69="Closed",N('KNOWIFY PHASES'!D69)&gt;=0.5),N('KNOWIFY PHASES'!D69)&gt;=1)),1,0))</f>
        <v>0</v>
      </c>
      <c r="AE69" s="7" t="n">
        <f aca="false">N('KNOWIFY PHASES'!L69)</f>
        <v>5500</v>
      </c>
      <c r="AF69" s="7" t="n">
        <f aca="false">N('KNOWIFY PHASES'!K69)</f>
        <v>0</v>
      </c>
      <c r="AG69" s="7" t="n">
        <f aca="false">N('KNOWIFY PHASES'!I69)</f>
        <v>0</v>
      </c>
      <c r="AH69" s="7" t="n">
        <f aca="false">N('KNOWIFY PHASES'!H69)</f>
        <v>0</v>
      </c>
      <c r="AI69" s="7" t="n">
        <f aca="false">N('KNOWIFY PHASES'!O69)</f>
        <v>0</v>
      </c>
      <c r="AJ69" s="7" t="n">
        <f aca="false">N('KNOWIFY PHASES'!N69)</f>
        <v>0</v>
      </c>
      <c r="AK69" s="7" t="n">
        <f aca="false">N('KNOWIFY PHASES'!R69)</f>
        <v>0</v>
      </c>
      <c r="AL69" s="7" t="n">
        <f aca="false">N('KNOWIFY PHASES'!Q69)</f>
        <v>0</v>
      </c>
      <c r="AM69" s="7" t="n">
        <f aca="false">N('KNOWIFY PHASES'!F69)</f>
        <v>5500</v>
      </c>
      <c r="AN69" s="7" t="n">
        <f aca="false">N('KNOWIFY PHASES'!E69)</f>
        <v>0</v>
      </c>
      <c r="AO69" s="7" t="n">
        <f aca="false">MAX(AE69,AF69)</f>
        <v>5500</v>
      </c>
      <c r="AP69" s="7" t="n">
        <f aca="false">MAX(AG69,AH69)</f>
        <v>0</v>
      </c>
      <c r="AQ69" s="7" t="n">
        <f aca="false">MAX(AI69,AJ69)</f>
        <v>0</v>
      </c>
      <c r="AR69" s="7" t="n">
        <f aca="false">MAX(AK69,AL69)</f>
        <v>0</v>
      </c>
      <c r="AT69" s="7" t="str">
        <f aca="false">IF('KNOWIFY TIME'!B69="","",'KNOWIFY TIME'!B69)</f>
        <v>Apprentice Lvl 8</v>
      </c>
      <c r="AU69" s="7" t="n">
        <f aca="false">IF(AT69="",0,IF(ISNUMBER('KNOWIFY TIME'!D69),'KNOWIFY TIME'!D69*24,IFERROR(VALUE(LEFT('KNOWIFY TIME'!D69,FIND(":",'KNOWIFY TIME'!D69)-1))+VALUE(MID('KNOWIFY TIME'!D69,FIND(":",'KNOWIFY TIME'!D69)+1,2))/60,0)))</f>
        <v>912.333333333333</v>
      </c>
      <c r="AV69" s="7" t="n">
        <f aca="false">N('KNOWIFY TIME'!E69)</f>
        <v>50077.94</v>
      </c>
      <c r="AW69" s="7" t="str">
        <f aca="false">IF(AT69="","",IFERROR(INDEX($BD$5:$BD$60,MATCH(AT69,$BC$5:$BC$60,0)),"Unmapped"))</f>
        <v>Apprentice Lvl 7-8</v>
      </c>
    </row>
    <row r="70" customFormat="false" ht="15" hidden="false" customHeight="false" outlineLevel="0" collapsed="false">
      <c r="B70" s="24" t="s">
        <v>190</v>
      </c>
      <c r="C70" s="13" t="n">
        <f aca="false">SUMIFS('KNOWIFY REVIEW'!$AU$3:$AU$300,'KNOWIFY REVIEW'!$AW$3:$AW$300,B70)</f>
        <v>5857.41666666667</v>
      </c>
      <c r="D70" s="28" t="n">
        <f aca="false">SUMIFS('KNOWIFY REVIEW'!$AV$3:$AV$300,'KNOWIFY REVIEW'!$AW$3:$AW$300,B70)</f>
        <v>400268.93</v>
      </c>
      <c r="E70" s="27" t="n">
        <f aca="false">IFERROR(D70/C70,0)</f>
        <v>68.3354032636686</v>
      </c>
      <c r="F70" s="19" t="n">
        <f aca="false">IFERROR(C70/$C$72,0)</f>
        <v>0.179560149290716</v>
      </c>
      <c r="G70" s="30" t="n">
        <f aca="false">'LABOUR RATES'!D10</f>
        <v>0.14</v>
      </c>
      <c r="AA70" s="7" t="str">
        <f aca="false">IF('KNOWIFY PHASES'!A70="","",'KNOWIFY PHASES'!A70)</f>
        <v>V - Ventilation Equipment Supply</v>
      </c>
      <c r="AB70" s="7" t="str">
        <f aca="false">IF(AA70="","",IF(LEFT(AA70,4)="P - ","P",IF(LEFT(AA70,4)="H - ","H",IF(LEFT(AA70,5)="AC - ","AC",IF(OR(LEFT(AA70,4)="V - ",LEFT(AA70,7)="HVAC - "),"V","Other")))))</f>
        <v>V</v>
      </c>
      <c r="AC70" s="7" t="str">
        <f aca="false">IF(AA70="","",IFERROR(LOOKUP(2,1/(($AZ$5:$AZ$60&lt;&gt;"")*ISNUMBER(SEARCH($AZ$5:$AZ$60,AA70))),$BA$5:$BA$60),IF(AB70="Other","Excluded","Unmapped")))</f>
        <v>06 Fixtures &amp; Equipment Supply</v>
      </c>
      <c r="AD70" s="7" t="n">
        <f aca="false">IF(AA70="","",IF(AND(AB70&lt;&gt;"Other",OR(AND('KNOWIFY PHASES'!B70="Closed",N('KNOWIFY PHASES'!D70)&gt;=0.5),N('KNOWIFY PHASES'!D70)&gt;=1)),1,0))</f>
        <v>0</v>
      </c>
      <c r="AE70" s="7" t="n">
        <f aca="false">N('KNOWIFY PHASES'!L70)</f>
        <v>0</v>
      </c>
      <c r="AF70" s="7" t="n">
        <f aca="false">N('KNOWIFY PHASES'!K70)</f>
        <v>0</v>
      </c>
      <c r="AG70" s="7" t="n">
        <f aca="false">N('KNOWIFY PHASES'!I70)</f>
        <v>420000</v>
      </c>
      <c r="AH70" s="7" t="n">
        <f aca="false">N('KNOWIFY PHASES'!H70)</f>
        <v>309964.09</v>
      </c>
      <c r="AI70" s="7" t="n">
        <f aca="false">N('KNOWIFY PHASES'!O70)</f>
        <v>0</v>
      </c>
      <c r="AJ70" s="7" t="n">
        <f aca="false">N('KNOWIFY PHASES'!N70)</f>
        <v>0</v>
      </c>
      <c r="AK70" s="7" t="n">
        <f aca="false">N('KNOWIFY PHASES'!R70)</f>
        <v>0</v>
      </c>
      <c r="AL70" s="7" t="n">
        <f aca="false">N('KNOWIFY PHASES'!Q70)</f>
        <v>0</v>
      </c>
      <c r="AM70" s="7" t="n">
        <f aca="false">N('KNOWIFY PHASES'!F70)</f>
        <v>420000</v>
      </c>
      <c r="AN70" s="7" t="n">
        <f aca="false">N('KNOWIFY PHASES'!E70)</f>
        <v>309964.09</v>
      </c>
      <c r="AO70" s="7" t="n">
        <f aca="false">MAX(AE70,AF70)</f>
        <v>0</v>
      </c>
      <c r="AP70" s="7" t="n">
        <f aca="false">MAX(AG70,AH70)</f>
        <v>420000</v>
      </c>
      <c r="AQ70" s="7" t="n">
        <f aca="false">MAX(AI70,AJ70)</f>
        <v>0</v>
      </c>
      <c r="AR70" s="7" t="n">
        <f aca="false">MAX(AK70,AL70)</f>
        <v>0</v>
      </c>
      <c r="AT70" s="7" t="str">
        <f aca="false">IF('KNOWIFY TIME'!B70="","",'KNOWIFY TIME'!B70)</f>
        <v>Apprentice Lvl 1</v>
      </c>
      <c r="AU70" s="7" t="n">
        <f aca="false">IF(AT70="",0,IF(ISNUMBER('KNOWIFY TIME'!D70),'KNOWIFY TIME'!D70*24,IFERROR(VALUE(LEFT('KNOWIFY TIME'!D70,FIND(":",'KNOWIFY TIME'!D70)-1))+VALUE(MID('KNOWIFY TIME'!D70,FIND(":",'KNOWIFY TIME'!D70)+1,2))/60,0)))</f>
        <v>571</v>
      </c>
      <c r="AV70" s="7" t="n">
        <f aca="false">N('KNOWIFY TIME'!E70)</f>
        <v>21615.58</v>
      </c>
      <c r="AW70" s="7" t="str">
        <f aca="false">IF(AT70="","",IFERROR(INDEX($BD$5:$BD$60,MATCH(AT70,$BC$5:$BC$60,0)),"Unmapped"))</f>
        <v>Apprentice Lvl 1-2</v>
      </c>
    </row>
    <row r="71" customFormat="false" ht="15" hidden="false" customHeight="false" outlineLevel="0" collapsed="false">
      <c r="B71" s="24" t="s">
        <v>926</v>
      </c>
      <c r="C71" s="13" t="n">
        <f aca="false">SUMIFS('KNOWIFY REVIEW'!$AU$3:$AU$300,'KNOWIFY REVIEW'!$AW$3:$AW$300,B71)</f>
        <v>0</v>
      </c>
      <c r="D71" s="28" t="n">
        <f aca="false">SUMIFS('KNOWIFY REVIEW'!$AV$3:$AV$300,'KNOWIFY REVIEW'!$AW$3:$AW$300,B71)</f>
        <v>0</v>
      </c>
      <c r="E71" s="27" t="n">
        <f aca="false">IFERROR(D71/C71,0)</f>
        <v>0</v>
      </c>
      <c r="F71" s="19" t="n">
        <f aca="false">IFERROR(C71/$C$72,0)</f>
        <v>0</v>
      </c>
      <c r="AA71" s="7" t="str">
        <f aca="false">IF('KNOWIFY PHASES'!A71="","",'KNOWIFY PHASES'!A71)</f>
        <v>V - HVAC Controls</v>
      </c>
      <c r="AB71" s="7" t="str">
        <f aca="false">IF(AA71="","",IF(LEFT(AA71,4)="P - ","P",IF(LEFT(AA71,4)="H - ","H",IF(LEFT(AA71,5)="AC - ","AC",IF(OR(LEFT(AA71,4)="V - ",LEFT(AA71,7)="HVAC - "),"V","Other")))))</f>
        <v>V</v>
      </c>
      <c r="AC71" s="7" t="str">
        <f aca="false">IF(AA71="","",IFERROR(LOOKUP(2,1/(($AZ$5:$AZ$60&lt;&gt;"")*ISNUMBER(SEARCH($AZ$5:$AZ$60,AA71))),$BA$5:$BA$60),IF(AB71="Other","Excluded","Unmapped")))</f>
        <v>06 Fixtures &amp; Equipment Supply</v>
      </c>
      <c r="AD71" s="7" t="n">
        <f aca="false">IF(AA71="","",IF(AND(AB71&lt;&gt;"Other",OR(AND('KNOWIFY PHASES'!B71="Closed",N('KNOWIFY PHASES'!D71)&gt;=0.5),N('KNOWIFY PHASES'!D71)&gt;=1)),1,0))</f>
        <v>0</v>
      </c>
      <c r="AE71" s="7" t="n">
        <f aca="false">N('KNOWIFY PHASES'!L71)</f>
        <v>0</v>
      </c>
      <c r="AF71" s="7" t="n">
        <f aca="false">N('KNOWIFY PHASES'!K71)</f>
        <v>0</v>
      </c>
      <c r="AG71" s="7" t="n">
        <f aca="false">N('KNOWIFY PHASES'!I71)</f>
        <v>0</v>
      </c>
      <c r="AH71" s="7" t="n">
        <f aca="false">N('KNOWIFY PHASES'!H71)</f>
        <v>0</v>
      </c>
      <c r="AI71" s="7" t="n">
        <f aca="false">N('KNOWIFY PHASES'!O71)</f>
        <v>290000</v>
      </c>
      <c r="AJ71" s="7" t="n">
        <f aca="false">N('KNOWIFY PHASES'!N71)</f>
        <v>140398.65</v>
      </c>
      <c r="AK71" s="7" t="n">
        <f aca="false">N('KNOWIFY PHASES'!R71)</f>
        <v>0</v>
      </c>
      <c r="AL71" s="7" t="n">
        <f aca="false">N('KNOWIFY PHASES'!Q71)</f>
        <v>0</v>
      </c>
      <c r="AM71" s="7" t="n">
        <f aca="false">N('KNOWIFY PHASES'!F71)</f>
        <v>290000</v>
      </c>
      <c r="AN71" s="7" t="n">
        <f aca="false">N('KNOWIFY PHASES'!E71)</f>
        <v>140398.65</v>
      </c>
      <c r="AO71" s="7" t="n">
        <f aca="false">MAX(AE71,AF71)</f>
        <v>0</v>
      </c>
      <c r="AP71" s="7" t="n">
        <f aca="false">MAX(AG71,AH71)</f>
        <v>0</v>
      </c>
      <c r="AQ71" s="7" t="n">
        <f aca="false">MAX(AI71,AJ71)</f>
        <v>290000</v>
      </c>
      <c r="AR71" s="7" t="n">
        <f aca="false">MAX(AK71,AL71)</f>
        <v>0</v>
      </c>
      <c r="AT71" s="7" t="str">
        <f aca="false">IF('KNOWIFY TIME'!B71="","",'KNOWIFY TIME'!B71)</f>
        <v>Apprentice Lvl 4</v>
      </c>
      <c r="AU71" s="7" t="n">
        <f aca="false">IF(AT71="",0,IF(ISNUMBER('KNOWIFY TIME'!D71),'KNOWIFY TIME'!D71*24,IFERROR(VALUE(LEFT('KNOWIFY TIME'!D71,FIND(":",'KNOWIFY TIME'!D71)-1))+VALUE(MID('KNOWIFY TIME'!D71,FIND(":",'KNOWIFY TIME'!D71)+1,2))/60,0)))</f>
        <v>654.75</v>
      </c>
      <c r="AV71" s="7" t="n">
        <f aca="false">N('KNOWIFY TIME'!E71)</f>
        <v>35530.73</v>
      </c>
      <c r="AW71" s="7" t="str">
        <f aca="false">IF(AT71="","",IFERROR(INDEX($BD$5:$BD$60,MATCH(AT71,$BC$5:$BC$60,0)),"Unmapped"))</f>
        <v>Apprentice Lvl 3-6</v>
      </c>
    </row>
    <row r="72" customFormat="false" ht="15" hidden="false" customHeight="false" outlineLevel="0" collapsed="false">
      <c r="B72" s="4" t="s">
        <v>927</v>
      </c>
      <c r="C72" s="21" t="n">
        <f aca="false">SUM(C66:C71)</f>
        <v>32620.9166666667</v>
      </c>
      <c r="D72" s="32" t="n">
        <f aca="false">SUM(D66:D71)</f>
        <v>1647444.61</v>
      </c>
      <c r="E72" s="31" t="n">
        <f aca="false">IFERROR(D72/C72,0)</f>
        <v>50.5027074142102</v>
      </c>
      <c r="F72" s="22" t="n">
        <f aca="false">SUM(F66:F71)</f>
        <v>1</v>
      </c>
      <c r="AA72" s="7" t="str">
        <f aca="false">IF('KNOWIFY PHASES'!A72="","",'KNOWIFY PHASES'!A72)</f>
        <v>V - TAB and Commissioning</v>
      </c>
      <c r="AB72" s="7" t="str">
        <f aca="false">IF(AA72="","",IF(LEFT(AA72,4)="P - ","P",IF(LEFT(AA72,4)="H - ","H",IF(LEFT(AA72,5)="AC - ","AC",IF(OR(LEFT(AA72,4)="V - ",LEFT(AA72,7)="HVAC - "),"V","Other")))))</f>
        <v>V</v>
      </c>
      <c r="AC72" s="7" t="str">
        <f aca="false">IF(AA72="","",IFERROR(LOOKUP(2,1/(($AZ$5:$AZ$60&lt;&gt;"")*ISNUMBER(SEARCH($AZ$5:$AZ$60,AA72))),$BA$5:$BA$60),IF(AB72="Other","Excluded","Unmapped")))</f>
        <v>07 Testing, TAB &amp; Commissioning</v>
      </c>
      <c r="AD72" s="7" t="n">
        <f aca="false">IF(AA72="","",IF(AND(AB72&lt;&gt;"Other",OR(AND('KNOWIFY PHASES'!B72="Closed",N('KNOWIFY PHASES'!D72)&gt;=0.5),N('KNOWIFY PHASES'!D72)&gt;=1)),1,0))</f>
        <v>0</v>
      </c>
      <c r="AE72" s="7" t="n">
        <f aca="false">N('KNOWIFY PHASES'!L72)</f>
        <v>0</v>
      </c>
      <c r="AF72" s="7" t="n">
        <f aca="false">N('KNOWIFY PHASES'!K72)</f>
        <v>0</v>
      </c>
      <c r="AG72" s="7" t="n">
        <f aca="false">N('KNOWIFY PHASES'!I72)</f>
        <v>0</v>
      </c>
      <c r="AH72" s="7" t="n">
        <f aca="false">N('KNOWIFY PHASES'!H72)</f>
        <v>0</v>
      </c>
      <c r="AI72" s="7" t="n">
        <f aca="false">N('KNOWIFY PHASES'!O72)</f>
        <v>70000</v>
      </c>
      <c r="AJ72" s="7" t="n">
        <f aca="false">N('KNOWIFY PHASES'!N72)</f>
        <v>0</v>
      </c>
      <c r="AK72" s="7" t="n">
        <f aca="false">N('KNOWIFY PHASES'!R72)</f>
        <v>0</v>
      </c>
      <c r="AL72" s="7" t="n">
        <f aca="false">N('KNOWIFY PHASES'!Q72)</f>
        <v>0</v>
      </c>
      <c r="AM72" s="7" t="n">
        <f aca="false">N('KNOWIFY PHASES'!F72)</f>
        <v>70000</v>
      </c>
      <c r="AN72" s="7" t="n">
        <f aca="false">N('KNOWIFY PHASES'!E72)</f>
        <v>0</v>
      </c>
      <c r="AO72" s="7" t="n">
        <f aca="false">MAX(AE72,AF72)</f>
        <v>0</v>
      </c>
      <c r="AP72" s="7" t="n">
        <f aca="false">MAX(AG72,AH72)</f>
        <v>0</v>
      </c>
      <c r="AQ72" s="7" t="n">
        <f aca="false">MAX(AI72,AJ72)</f>
        <v>70000</v>
      </c>
      <c r="AR72" s="7" t="n">
        <f aca="false">MAX(AK72,AL72)</f>
        <v>0</v>
      </c>
      <c r="AT72" s="7" t="str">
        <f aca="false">IF('KNOWIFY TIME'!B72="","",'KNOWIFY TIME'!B72)</f>
        <v>Apprentice Lvl 4</v>
      </c>
      <c r="AU72" s="7" t="n">
        <f aca="false">IF(AT72="",0,IF(ISNUMBER('KNOWIFY TIME'!D72),'KNOWIFY TIME'!D72*24,IFERROR(VALUE(LEFT('KNOWIFY TIME'!D72,FIND(":",'KNOWIFY TIME'!D72)-1))+VALUE(MID('KNOWIFY TIME'!D72,FIND(":",'KNOWIFY TIME'!D72)+1,2))/60,0)))</f>
        <v>153.5</v>
      </c>
      <c r="AV72" s="7" t="n">
        <f aca="false">N('KNOWIFY TIME'!E72)</f>
        <v>5875.98</v>
      </c>
      <c r="AW72" s="7" t="str">
        <f aca="false">IF(AT72="","",IFERROR(INDEX($BD$5:$BD$60,MATCH(AT72,$BC$5:$BC$60,0)),"Unmapped"))</f>
        <v>Apprentice Lvl 3-6</v>
      </c>
    </row>
    <row r="73" customFormat="false" ht="15" hidden="false" customHeight="false" outlineLevel="0" collapsed="false">
      <c r="B73" s="2" t="s">
        <v>928</v>
      </c>
      <c r="AA73" s="7" t="str">
        <f aca="false">IF('KNOWIFY PHASES'!A73="","",'KNOWIFY PHASES'!A73)</f>
        <v>V - Permit, Shop Drawings and Mobilization</v>
      </c>
      <c r="AB73" s="7" t="str">
        <f aca="false">IF(AA73="","",IF(LEFT(AA73,4)="P - ","P",IF(LEFT(AA73,4)="H - ","H",IF(LEFT(AA73,5)="AC - ","AC",IF(OR(LEFT(AA73,4)="V - ",LEFT(AA73,7)="HVAC - "),"V","Other")))))</f>
        <v>V</v>
      </c>
      <c r="AC73" s="7" t="str">
        <f aca="false">IF(AA73="","",IFERROR(LOOKUP(2,1/(($AZ$5:$AZ$60&lt;&gt;"")*ISNUMBER(SEARCH($AZ$5:$AZ$60,AA73))),$BA$5:$BA$60),IF(AB73="Other","Excluded","Unmapped")))</f>
        <v>01 Shop Drawings, Permits &amp; Mobilization</v>
      </c>
      <c r="AD73" s="7" t="n">
        <f aca="false">IF(AA73="","",IF(AND(AB73&lt;&gt;"Other",OR(AND('KNOWIFY PHASES'!B73="Closed",N('KNOWIFY PHASES'!D73)&gt;=0.5),N('KNOWIFY PHASES'!D73)&gt;=1)),1,0))</f>
        <v>0</v>
      </c>
      <c r="AE73" s="7" t="n">
        <f aca="false">N('KNOWIFY PHASES'!L73)</f>
        <v>4000</v>
      </c>
      <c r="AF73" s="7" t="n">
        <f aca="false">N('KNOWIFY PHASES'!K73)</f>
        <v>0</v>
      </c>
      <c r="AG73" s="7" t="n">
        <f aca="false">N('KNOWIFY PHASES'!I73)</f>
        <v>5000</v>
      </c>
      <c r="AH73" s="7" t="n">
        <f aca="false">N('KNOWIFY PHASES'!H73)</f>
        <v>9893.51</v>
      </c>
      <c r="AI73" s="7" t="n">
        <f aca="false">N('KNOWIFY PHASES'!O73)</f>
        <v>4000</v>
      </c>
      <c r="AJ73" s="7" t="n">
        <f aca="false">N('KNOWIFY PHASES'!N73)</f>
        <v>2870.7</v>
      </c>
      <c r="AK73" s="7" t="n">
        <f aca="false">N('KNOWIFY PHASES'!R73)</f>
        <v>0</v>
      </c>
      <c r="AL73" s="7" t="n">
        <f aca="false">N('KNOWIFY PHASES'!Q73)</f>
        <v>0</v>
      </c>
      <c r="AM73" s="7" t="n">
        <f aca="false">N('KNOWIFY PHASES'!F73)</f>
        <v>13000</v>
      </c>
      <c r="AN73" s="7" t="n">
        <f aca="false">N('KNOWIFY PHASES'!E73)</f>
        <v>12764.21</v>
      </c>
      <c r="AO73" s="7" t="n">
        <f aca="false">MAX(AE73,AF73)</f>
        <v>4000</v>
      </c>
      <c r="AP73" s="7" t="n">
        <f aca="false">MAX(AG73,AH73)</f>
        <v>9893.51</v>
      </c>
      <c r="AQ73" s="7" t="n">
        <f aca="false">MAX(AI73,AJ73)</f>
        <v>4000</v>
      </c>
      <c r="AR73" s="7" t="n">
        <f aca="false">MAX(AK73,AL73)</f>
        <v>0</v>
      </c>
      <c r="AT73" s="7" t="str">
        <f aca="false">IF('KNOWIFY TIME'!B73="","",'KNOWIFY TIME'!B73)</f>
        <v>Apprentice Lvl 5</v>
      </c>
      <c r="AU73" s="7" t="n">
        <f aca="false">IF(AT73="",0,IF(ISNUMBER('KNOWIFY TIME'!D73),'KNOWIFY TIME'!D73*24,IFERROR(VALUE(LEFT('KNOWIFY TIME'!D73,FIND(":",'KNOWIFY TIME'!D73)-1))+VALUE(MID('KNOWIFY TIME'!D73,FIND(":",'KNOWIFY TIME'!D73)+1,2))/60,0)))</f>
        <v>619.166666666667</v>
      </c>
      <c r="AV73" s="7" t="n">
        <f aca="false">N('KNOWIFY TIME'!E73)</f>
        <v>22787.82</v>
      </c>
      <c r="AW73" s="7" t="str">
        <f aca="false">IF(AT73="","",IFERROR(INDEX($BD$5:$BD$60,MATCH(AT73,$BC$5:$BC$60,0)),"Unmapped"))</f>
        <v>Apprentice Lvl 3-6</v>
      </c>
    </row>
    <row r="74" customFormat="false" ht="15" hidden="false" customHeight="false" outlineLevel="0" collapsed="false">
      <c r="AA74" s="7" t="str">
        <f aca="false">IF('KNOWIFY PHASES'!A74="","",'KNOWIFY PHASES'!A74)</f>
        <v>V - Insulation Labour</v>
      </c>
      <c r="AB74" s="7" t="str">
        <f aca="false">IF(AA74="","",IF(LEFT(AA74,4)="P - ","P",IF(LEFT(AA74,4)="H - ","H",IF(LEFT(AA74,5)="AC - ","AC",IF(OR(LEFT(AA74,4)="V - ",LEFT(AA74,7)="HVAC - "),"V","Other")))))</f>
        <v>V</v>
      </c>
      <c r="AC74" s="7" t="str">
        <f aca="false">IF(AA74="","",IFERROR(LOOKUP(2,1/(($AZ$5:$AZ$60&lt;&gt;"")*ISNUMBER(SEARCH($AZ$5:$AZ$60,AA74))),$BA$5:$BA$60),IF(AB74="Other","Excluded","Unmapped")))</f>
        <v>03 Rough-in (Labour)</v>
      </c>
      <c r="AD74" s="7" t="n">
        <f aca="false">IF(AA74="","",IF(AND(AB74&lt;&gt;"Other",OR(AND('KNOWIFY PHASES'!B74="Closed",N('KNOWIFY PHASES'!D74)&gt;=0.5),N('KNOWIFY PHASES'!D74)&gt;=1)),1,0))</f>
        <v>0</v>
      </c>
      <c r="AE74" s="7" t="n">
        <f aca="false">N('KNOWIFY PHASES'!L74)</f>
        <v>0</v>
      </c>
      <c r="AF74" s="7" t="n">
        <f aca="false">N('KNOWIFY PHASES'!K74)</f>
        <v>0</v>
      </c>
      <c r="AG74" s="7" t="n">
        <f aca="false">N('KNOWIFY PHASES'!I74)</f>
        <v>0</v>
      </c>
      <c r="AH74" s="7" t="n">
        <f aca="false">N('KNOWIFY PHASES'!H74)</f>
        <v>0</v>
      </c>
      <c r="AI74" s="7" t="n">
        <f aca="false">N('KNOWIFY PHASES'!O74)</f>
        <v>50000</v>
      </c>
      <c r="AJ74" s="7" t="n">
        <f aca="false">N('KNOWIFY PHASES'!N74)</f>
        <v>0</v>
      </c>
      <c r="AK74" s="7" t="n">
        <f aca="false">N('KNOWIFY PHASES'!R74)</f>
        <v>0</v>
      </c>
      <c r="AL74" s="7" t="n">
        <f aca="false">N('KNOWIFY PHASES'!Q74)</f>
        <v>0</v>
      </c>
      <c r="AM74" s="7" t="n">
        <f aca="false">N('KNOWIFY PHASES'!F74)</f>
        <v>50000</v>
      </c>
      <c r="AN74" s="7" t="n">
        <f aca="false">N('KNOWIFY PHASES'!E74)</f>
        <v>0</v>
      </c>
      <c r="AO74" s="7" t="n">
        <f aca="false">MAX(AE74,AF74)</f>
        <v>0</v>
      </c>
      <c r="AP74" s="7" t="n">
        <f aca="false">MAX(AG74,AH74)</f>
        <v>0</v>
      </c>
      <c r="AQ74" s="7" t="n">
        <f aca="false">MAX(AI74,AJ74)</f>
        <v>50000</v>
      </c>
      <c r="AR74" s="7" t="n">
        <f aca="false">MAX(AK74,AL74)</f>
        <v>0</v>
      </c>
      <c r="AT74" s="7" t="str">
        <f aca="false">IF('KNOWIFY TIME'!B74="","",'KNOWIFY TIME'!B74)</f>
        <v/>
      </c>
      <c r="AU74" s="7" t="n">
        <f aca="false">IF(AT74="",0,IF(ISNUMBER('KNOWIFY TIME'!D74),'KNOWIFY TIME'!D74*24,IFERROR(VALUE(LEFT('KNOWIFY TIME'!D74,FIND(":",'KNOWIFY TIME'!D74)-1))+VALUE(MID('KNOWIFY TIME'!D74,FIND(":",'KNOWIFY TIME'!D74)+1,2))/60,0)))</f>
        <v>0</v>
      </c>
      <c r="AV74" s="7" t="n">
        <f aca="false">N('KNOWIFY TIME'!E74)</f>
        <v>0</v>
      </c>
      <c r="AW74" s="7" t="str">
        <f aca="false">IF(AT74="","",IFERROR(INDEX($BD$5:$BD$60,MATCH(AT74,$BC$5:$BC$60,0)),"Unmapped"))</f>
        <v/>
      </c>
    </row>
    <row r="75" customFormat="false" ht="15" hidden="false" customHeight="false" outlineLevel="0" collapsed="false">
      <c r="AA75" s="7" t="str">
        <f aca="false">IF('KNOWIFY PHASES'!A75="","",'KNOWIFY PHASES'!A75)</f>
        <v>V - Completion &amp; Final Documents</v>
      </c>
      <c r="AB75" s="7" t="str">
        <f aca="false">IF(AA75="","",IF(LEFT(AA75,4)="P - ","P",IF(LEFT(AA75,4)="H - ","H",IF(LEFT(AA75,5)="AC - ","AC",IF(OR(LEFT(AA75,4)="V - ",LEFT(AA75,7)="HVAC - "),"V","Other")))))</f>
        <v>V</v>
      </c>
      <c r="AC75" s="7" t="str">
        <f aca="false">IF(AA75="","",IFERROR(LOOKUP(2,1/(($AZ$5:$AZ$60&lt;&gt;"")*ISNUMBER(SEARCH($AZ$5:$AZ$60,AA75))),$BA$5:$BA$60),IF(AB75="Other","Excluded","Unmapped")))</f>
        <v>08 Completion &amp; Final Documents</v>
      </c>
      <c r="AD75" s="7" t="n">
        <f aca="false">IF(AA75="","",IF(AND(AB75&lt;&gt;"Other",OR(AND('KNOWIFY PHASES'!B75="Closed",N('KNOWIFY PHASES'!D75)&gt;=0.5),N('KNOWIFY PHASES'!D75)&gt;=1)),1,0))</f>
        <v>0</v>
      </c>
      <c r="AE75" s="7" t="n">
        <f aca="false">N('KNOWIFY PHASES'!L75)</f>
        <v>2500</v>
      </c>
      <c r="AF75" s="7" t="n">
        <f aca="false">N('KNOWIFY PHASES'!K75)</f>
        <v>0</v>
      </c>
      <c r="AG75" s="7" t="n">
        <f aca="false">N('KNOWIFY PHASES'!I75)</f>
        <v>7500</v>
      </c>
      <c r="AH75" s="7" t="n">
        <f aca="false">N('KNOWIFY PHASES'!H75)</f>
        <v>0</v>
      </c>
      <c r="AI75" s="7" t="n">
        <f aca="false">N('KNOWIFY PHASES'!O75)</f>
        <v>3500</v>
      </c>
      <c r="AJ75" s="7" t="n">
        <f aca="false">N('KNOWIFY PHASES'!N75)</f>
        <v>0</v>
      </c>
      <c r="AK75" s="7" t="n">
        <f aca="false">N('KNOWIFY PHASES'!R75)</f>
        <v>0</v>
      </c>
      <c r="AL75" s="7" t="n">
        <f aca="false">N('KNOWIFY PHASES'!Q75)</f>
        <v>0</v>
      </c>
      <c r="AM75" s="7" t="n">
        <f aca="false">N('KNOWIFY PHASES'!F75)</f>
        <v>13500</v>
      </c>
      <c r="AN75" s="7" t="n">
        <f aca="false">N('KNOWIFY PHASES'!E75)</f>
        <v>0</v>
      </c>
      <c r="AO75" s="7" t="n">
        <f aca="false">MAX(AE75,AF75)</f>
        <v>2500</v>
      </c>
      <c r="AP75" s="7" t="n">
        <f aca="false">MAX(AG75,AH75)</f>
        <v>7500</v>
      </c>
      <c r="AQ75" s="7" t="n">
        <f aca="false">MAX(AI75,AJ75)</f>
        <v>3500</v>
      </c>
      <c r="AR75" s="7" t="n">
        <f aca="false">MAX(AK75,AL75)</f>
        <v>0</v>
      </c>
      <c r="AT75" s="7" t="str">
        <f aca="false">IF('KNOWIFY TIME'!B75="","",'KNOWIFY TIME'!B75)</f>
        <v/>
      </c>
      <c r="AU75" s="7" t="n">
        <f aca="false">IF(AT75="",0,IF(ISNUMBER('KNOWIFY TIME'!D75),'KNOWIFY TIME'!D75*24,IFERROR(VALUE(LEFT('KNOWIFY TIME'!D75,FIND(":",'KNOWIFY TIME'!D75)-1))+VALUE(MID('KNOWIFY TIME'!D75,FIND(":",'KNOWIFY TIME'!D75)+1,2))/60,0)))</f>
        <v>0</v>
      </c>
      <c r="AV75" s="7" t="n">
        <f aca="false">N('KNOWIFY TIME'!E75)</f>
        <v>0</v>
      </c>
      <c r="AW75" s="7" t="str">
        <f aca="false">IF(AT75="","",IFERROR(INDEX($BD$5:$BD$60,MATCH(AT75,$BC$5:$BC$60,0)),"Unmapped"))</f>
        <v/>
      </c>
    </row>
    <row r="76" customFormat="false" ht="15" hidden="false" customHeight="false" outlineLevel="0" collapsed="false">
      <c r="AA76" s="7" t="str">
        <f aca="false">IF('KNOWIFY PHASES'!A76="","",'KNOWIFY PHASES'!A76)</f>
        <v>V - Roof HVAC</v>
      </c>
      <c r="AB76" s="7" t="str">
        <f aca="false">IF(AA76="","",IF(LEFT(AA76,4)="P - ","P",IF(LEFT(AA76,4)="H - ","H",IF(LEFT(AA76,5)="AC - ","AC",IF(OR(LEFT(AA76,4)="V - ",LEFT(AA76,7)="HVAC - "),"V","Other")))))</f>
        <v>V</v>
      </c>
      <c r="AC76" s="7" t="str">
        <f aca="false">IF(AA76="","",IFERROR(LOOKUP(2,1/(($AZ$5:$AZ$60&lt;&gt;"")*ISNUMBER(SEARCH($AZ$5:$AZ$60,AA76))),$BA$5:$BA$60),IF(AB76="Other","Excluded","Unmapped")))</f>
        <v>03 Rough-in (Labour)</v>
      </c>
      <c r="AD76" s="7" t="n">
        <f aca="false">IF(AA76="","",IF(AND(AB76&lt;&gt;"Other",OR(AND('KNOWIFY PHASES'!B76="Closed",N('KNOWIFY PHASES'!D76)&gt;=0.5),N('KNOWIFY PHASES'!D76)&gt;=1)),1,0))</f>
        <v>0</v>
      </c>
      <c r="AE76" s="7" t="n">
        <f aca="false">N('KNOWIFY PHASES'!L76)</f>
        <v>4000</v>
      </c>
      <c r="AF76" s="7" t="n">
        <f aca="false">N('KNOWIFY PHASES'!K76)</f>
        <v>1267.55</v>
      </c>
      <c r="AG76" s="7" t="n">
        <f aca="false">N('KNOWIFY PHASES'!I76)</f>
        <v>6000</v>
      </c>
      <c r="AH76" s="7" t="n">
        <f aca="false">N('KNOWIFY PHASES'!H76)</f>
        <v>77.28</v>
      </c>
      <c r="AI76" s="7" t="n">
        <f aca="false">N('KNOWIFY PHASES'!O76)</f>
        <v>0</v>
      </c>
      <c r="AJ76" s="7" t="n">
        <f aca="false">N('KNOWIFY PHASES'!N76)</f>
        <v>0</v>
      </c>
      <c r="AK76" s="7" t="n">
        <f aca="false">N('KNOWIFY PHASES'!R76)</f>
        <v>0</v>
      </c>
      <c r="AL76" s="7" t="n">
        <f aca="false">N('KNOWIFY PHASES'!Q76)</f>
        <v>0</v>
      </c>
      <c r="AM76" s="7" t="n">
        <f aca="false">N('KNOWIFY PHASES'!F76)</f>
        <v>10000</v>
      </c>
      <c r="AN76" s="7" t="n">
        <f aca="false">N('KNOWIFY PHASES'!E76)</f>
        <v>1344.83</v>
      </c>
      <c r="AO76" s="7" t="n">
        <f aca="false">MAX(AE76,AF76)</f>
        <v>4000</v>
      </c>
      <c r="AP76" s="7" t="n">
        <f aca="false">MAX(AG76,AH76)</f>
        <v>6000</v>
      </c>
      <c r="AQ76" s="7" t="n">
        <f aca="false">MAX(AI76,AJ76)</f>
        <v>0</v>
      </c>
      <c r="AR76" s="7" t="n">
        <f aca="false">MAX(AK76,AL76)</f>
        <v>0</v>
      </c>
      <c r="AT76" s="7" t="str">
        <f aca="false">IF('KNOWIFY TIME'!B76="","",'KNOWIFY TIME'!B76)</f>
        <v/>
      </c>
      <c r="AU76" s="7" t="n">
        <f aca="false">IF(AT76="",0,IF(ISNUMBER('KNOWIFY TIME'!D76),'KNOWIFY TIME'!D76*24,IFERROR(VALUE(LEFT('KNOWIFY TIME'!D76,FIND(":",'KNOWIFY TIME'!D76)-1))+VALUE(MID('KNOWIFY TIME'!D76,FIND(":",'KNOWIFY TIME'!D76)+1,2))/60,0)))</f>
        <v>0</v>
      </c>
      <c r="AV76" s="7" t="n">
        <f aca="false">N('KNOWIFY TIME'!E76)</f>
        <v>0</v>
      </c>
      <c r="AW76" s="7" t="str">
        <f aca="false">IF(AT76="","",IFERROR(INDEX($BD$5:$BD$60,MATCH(AT76,$BC$5:$BC$60,0)),"Unmapped"))</f>
        <v/>
      </c>
    </row>
    <row r="77" customFormat="false" ht="15" hidden="false" customHeight="false" outlineLevel="0" collapsed="false">
      <c r="AA77" s="7" t="str">
        <f aca="false">IF('KNOWIFY PHASES'!A77="","",'KNOWIFY PHASES'!A77)</f>
        <v>P - Plumbing Office</v>
      </c>
      <c r="AB77" s="7" t="str">
        <f aca="false">IF(AA77="","",IF(LEFT(AA77,4)="P - ","P",IF(LEFT(AA77,4)="H - ","H",IF(LEFT(AA77,5)="AC - ","AC",IF(OR(LEFT(AA77,4)="V - ",LEFT(AA77,7)="HVAC - "),"V","Other")))))</f>
        <v>P</v>
      </c>
      <c r="AC77" s="7" t="str">
        <f aca="false">IF(AA77="","",IFERROR(LOOKUP(2,1/(($AZ$5:$AZ$60&lt;&gt;"")*ISNUMBER(SEARCH($AZ$5:$AZ$60,AA77))),$BA$5:$BA$60),IF(AB77="Other","Excluded","Unmapped")))</f>
        <v>09 Office, Supervision &amp; General</v>
      </c>
      <c r="AD77" s="7" t="n">
        <f aca="false">IF(AA77="","",IF(AND(AB77&lt;&gt;"Other",OR(AND('KNOWIFY PHASES'!B77="Closed",N('KNOWIFY PHASES'!D77)&gt;=0.5),N('KNOWIFY PHASES'!D77)&gt;=1)),1,0))</f>
        <v>0</v>
      </c>
      <c r="AE77" s="7" t="n">
        <f aca="false">N('KNOWIFY PHASES'!L77)</f>
        <v>0</v>
      </c>
      <c r="AF77" s="7" t="n">
        <f aca="false">N('KNOWIFY PHASES'!K77)</f>
        <v>53112.89</v>
      </c>
      <c r="AG77" s="7" t="n">
        <f aca="false">N('KNOWIFY PHASES'!I77)</f>
        <v>0</v>
      </c>
      <c r="AH77" s="7" t="n">
        <f aca="false">N('KNOWIFY PHASES'!H77)</f>
        <v>0</v>
      </c>
      <c r="AI77" s="7" t="n">
        <f aca="false">N('KNOWIFY PHASES'!O77)</f>
        <v>0</v>
      </c>
      <c r="AJ77" s="7" t="n">
        <f aca="false">N('KNOWIFY PHASES'!N77)</f>
        <v>0</v>
      </c>
      <c r="AK77" s="7" t="n">
        <f aca="false">N('KNOWIFY PHASES'!R77)</f>
        <v>0</v>
      </c>
      <c r="AL77" s="7" t="n">
        <f aca="false">N('KNOWIFY PHASES'!Q77)</f>
        <v>0</v>
      </c>
      <c r="AM77" s="7" t="n">
        <f aca="false">N('KNOWIFY PHASES'!F77)</f>
        <v>0</v>
      </c>
      <c r="AN77" s="7" t="n">
        <f aca="false">N('KNOWIFY PHASES'!E77)</f>
        <v>53112.89</v>
      </c>
      <c r="AO77" s="7" t="n">
        <f aca="false">MAX(AE77,AF77)</f>
        <v>53112.89</v>
      </c>
      <c r="AP77" s="7" t="n">
        <f aca="false">MAX(AG77,AH77)</f>
        <v>0</v>
      </c>
      <c r="AQ77" s="7" t="n">
        <f aca="false">MAX(AI77,AJ77)</f>
        <v>0</v>
      </c>
      <c r="AR77" s="7" t="n">
        <f aca="false">MAX(AK77,AL77)</f>
        <v>0</v>
      </c>
      <c r="AT77" s="7" t="str">
        <f aca="false">IF('KNOWIFY TIME'!B77="","",'KNOWIFY TIME'!B77)</f>
        <v/>
      </c>
      <c r="AU77" s="7" t="n">
        <f aca="false">IF(AT77="",0,IF(ISNUMBER('KNOWIFY TIME'!D77),'KNOWIFY TIME'!D77*24,IFERROR(VALUE(LEFT('KNOWIFY TIME'!D77,FIND(":",'KNOWIFY TIME'!D77)-1))+VALUE(MID('KNOWIFY TIME'!D77,FIND(":",'KNOWIFY TIME'!D77)+1,2))/60,0)))</f>
        <v>0</v>
      </c>
      <c r="AV77" s="7" t="n">
        <f aca="false">N('KNOWIFY TIME'!E77)</f>
        <v>0</v>
      </c>
      <c r="AW77" s="7" t="str">
        <f aca="false">IF(AT77="","",IFERROR(INDEX($BD$5:$BD$60,MATCH(AT77,$BC$5:$BC$60,0)),"Unmapped"))</f>
        <v/>
      </c>
    </row>
    <row r="78" customFormat="false" ht="15" hidden="false" customHeight="false" outlineLevel="0" collapsed="false">
      <c r="AA78" s="7" t="str">
        <f aca="false">IF('KNOWIFY PHASES'!A78="","",'KNOWIFY PHASES'!A78)</f>
        <v>HVAC - HVAC Office</v>
      </c>
      <c r="AB78" s="7" t="str">
        <f aca="false">IF(AA78="","",IF(LEFT(AA78,4)="P - ","P",IF(LEFT(AA78,4)="H - ","H",IF(LEFT(AA78,5)="AC - ","AC",IF(OR(LEFT(AA78,4)="V - ",LEFT(AA78,7)="HVAC - "),"V","Other")))))</f>
        <v>V</v>
      </c>
      <c r="AC78" s="7" t="str">
        <f aca="false">IF(AA78="","",IFERROR(LOOKUP(2,1/(($AZ$5:$AZ$60&lt;&gt;"")*ISNUMBER(SEARCH($AZ$5:$AZ$60,AA78))),$BA$5:$BA$60),IF(AB78="Other","Excluded","Unmapped")))</f>
        <v>09 Office, Supervision &amp; General</v>
      </c>
      <c r="AD78" s="7" t="n">
        <f aca="false">IF(AA78="","",IF(AND(AB78&lt;&gt;"Other",OR(AND('KNOWIFY PHASES'!B78="Closed",N('KNOWIFY PHASES'!D78)&gt;=0.5),N('KNOWIFY PHASES'!D78)&gt;=1)),1,0))</f>
        <v>0</v>
      </c>
      <c r="AE78" s="7" t="n">
        <f aca="false">N('KNOWIFY PHASES'!L78)</f>
        <v>0</v>
      </c>
      <c r="AF78" s="7" t="n">
        <f aca="false">N('KNOWIFY PHASES'!K78)</f>
        <v>27629.64</v>
      </c>
      <c r="AG78" s="7" t="n">
        <f aca="false">N('KNOWIFY PHASES'!I78)</f>
        <v>0</v>
      </c>
      <c r="AH78" s="7" t="n">
        <f aca="false">N('KNOWIFY PHASES'!H78)</f>
        <v>470.4</v>
      </c>
      <c r="AI78" s="7" t="n">
        <f aca="false">N('KNOWIFY PHASES'!O78)</f>
        <v>0</v>
      </c>
      <c r="AJ78" s="7" t="n">
        <f aca="false">N('KNOWIFY PHASES'!N78)</f>
        <v>0</v>
      </c>
      <c r="AK78" s="7" t="n">
        <f aca="false">N('KNOWIFY PHASES'!R78)</f>
        <v>0</v>
      </c>
      <c r="AL78" s="7" t="n">
        <f aca="false">N('KNOWIFY PHASES'!Q78)</f>
        <v>0</v>
      </c>
      <c r="AM78" s="7" t="n">
        <f aca="false">N('KNOWIFY PHASES'!F78)</f>
        <v>0</v>
      </c>
      <c r="AN78" s="7" t="n">
        <f aca="false">N('KNOWIFY PHASES'!E78)</f>
        <v>28100.04</v>
      </c>
      <c r="AO78" s="7" t="n">
        <f aca="false">MAX(AE78,AF78)</f>
        <v>27629.64</v>
      </c>
      <c r="AP78" s="7" t="n">
        <f aca="false">MAX(AG78,AH78)</f>
        <v>470.4</v>
      </c>
      <c r="AQ78" s="7" t="n">
        <f aca="false">MAX(AI78,AJ78)</f>
        <v>0</v>
      </c>
      <c r="AR78" s="7" t="n">
        <f aca="false">MAX(AK78,AL78)</f>
        <v>0</v>
      </c>
      <c r="AT78" s="7" t="str">
        <f aca="false">IF('KNOWIFY TIME'!B78="","",'KNOWIFY TIME'!B78)</f>
        <v/>
      </c>
      <c r="AU78" s="7" t="n">
        <f aca="false">IF(AT78="",0,IF(ISNUMBER('KNOWIFY TIME'!D78),'KNOWIFY TIME'!D78*24,IFERROR(VALUE(LEFT('KNOWIFY TIME'!D78,FIND(":",'KNOWIFY TIME'!D78)-1))+VALUE(MID('KNOWIFY TIME'!D78,FIND(":",'KNOWIFY TIME'!D78)+1,2))/60,0)))</f>
        <v>0</v>
      </c>
      <c r="AV78" s="7" t="n">
        <f aca="false">N('KNOWIFY TIME'!E78)</f>
        <v>0</v>
      </c>
      <c r="AW78" s="7" t="str">
        <f aca="false">IF(AT78="","",IFERROR(INDEX($BD$5:$BD$60,MATCH(AT78,$BC$5:$BC$60,0)),"Unmapped"))</f>
        <v/>
      </c>
    </row>
    <row r="79" customFormat="false" ht="15" hidden="false" customHeight="false" outlineLevel="0" collapsed="false">
      <c r="AA79" s="7" t="str">
        <f aca="false">IF('KNOWIFY PHASES'!A79="","",'KNOWIFY PHASES'!A79)</f>
        <v>Safety </v>
      </c>
      <c r="AB79" s="7" t="str">
        <f aca="false">IF(AA79="","",IF(LEFT(AA79,4)="P - ","P",IF(LEFT(AA79,4)="H - ","H",IF(LEFT(AA79,5)="AC - ","AC",IF(OR(LEFT(AA79,4)="V - ",LEFT(AA79,7)="HVAC - "),"V","Other")))))</f>
        <v>Other</v>
      </c>
      <c r="AC79" s="7" t="str">
        <f aca="false">IF(AA79="","",IFERROR(LOOKUP(2,1/(($AZ$5:$AZ$60&lt;&gt;"")*ISNUMBER(SEARCH($AZ$5:$AZ$60,AA79))),$BA$5:$BA$60),IF(AB79="Other","Excluded","Unmapped")))</f>
        <v>09 Office, Supervision &amp; General</v>
      </c>
      <c r="AD79" s="7" t="n">
        <f aca="false">IF(AA79="","",IF(AND(AB79&lt;&gt;"Other",OR(AND('KNOWIFY PHASES'!B79="Closed",N('KNOWIFY PHASES'!D79)&gt;=0.5),N('KNOWIFY PHASES'!D79)&gt;=1)),1,0))</f>
        <v>0</v>
      </c>
      <c r="AE79" s="7" t="n">
        <f aca="false">N('KNOWIFY PHASES'!L79)</f>
        <v>0</v>
      </c>
      <c r="AF79" s="7" t="n">
        <f aca="false">N('KNOWIFY PHASES'!K79)</f>
        <v>14267.73</v>
      </c>
      <c r="AG79" s="7" t="n">
        <f aca="false">N('KNOWIFY PHASES'!I79)</f>
        <v>0</v>
      </c>
      <c r="AH79" s="7" t="n">
        <f aca="false">N('KNOWIFY PHASES'!H79)</f>
        <v>879.75</v>
      </c>
      <c r="AI79" s="7" t="n">
        <f aca="false">N('KNOWIFY PHASES'!O79)</f>
        <v>0</v>
      </c>
      <c r="AJ79" s="7" t="n">
        <f aca="false">N('KNOWIFY PHASES'!N79)</f>
        <v>0</v>
      </c>
      <c r="AK79" s="7" t="n">
        <f aca="false">N('KNOWIFY PHASES'!R79)</f>
        <v>0</v>
      </c>
      <c r="AL79" s="7" t="n">
        <f aca="false">N('KNOWIFY PHASES'!Q79)</f>
        <v>0</v>
      </c>
      <c r="AM79" s="7" t="n">
        <f aca="false">N('KNOWIFY PHASES'!F79)</f>
        <v>0</v>
      </c>
      <c r="AN79" s="7" t="n">
        <f aca="false">N('KNOWIFY PHASES'!E79)</f>
        <v>15147.48</v>
      </c>
      <c r="AO79" s="7" t="n">
        <f aca="false">MAX(AE79,AF79)</f>
        <v>14267.73</v>
      </c>
      <c r="AP79" s="7" t="n">
        <f aca="false">MAX(AG79,AH79)</f>
        <v>879.75</v>
      </c>
      <c r="AQ79" s="7" t="n">
        <f aca="false">MAX(AI79,AJ79)</f>
        <v>0</v>
      </c>
      <c r="AR79" s="7" t="n">
        <f aca="false">MAX(AK79,AL79)</f>
        <v>0</v>
      </c>
      <c r="AT79" s="7" t="str">
        <f aca="false">IF('KNOWIFY TIME'!B79="","",'KNOWIFY TIME'!B79)</f>
        <v/>
      </c>
      <c r="AU79" s="7" t="n">
        <f aca="false">IF(AT79="",0,IF(ISNUMBER('KNOWIFY TIME'!D79),'KNOWIFY TIME'!D79*24,IFERROR(VALUE(LEFT('KNOWIFY TIME'!D79,FIND(":",'KNOWIFY TIME'!D79)-1))+VALUE(MID('KNOWIFY TIME'!D79,FIND(":",'KNOWIFY TIME'!D79)+1,2))/60,0)))</f>
        <v>0</v>
      </c>
      <c r="AV79" s="7" t="n">
        <f aca="false">N('KNOWIFY TIME'!E79)</f>
        <v>0</v>
      </c>
      <c r="AW79" s="7" t="str">
        <f aca="false">IF(AT79="","",IFERROR(INDEX($BD$5:$BD$60,MATCH(AT79,$BC$5:$BC$60,0)),"Unmapped"))</f>
        <v/>
      </c>
    </row>
    <row r="80" customFormat="false" ht="15" hidden="false" customHeight="false" outlineLevel="0" collapsed="false">
      <c r="AA80" s="7" t="str">
        <f aca="false">IF('KNOWIFY PHASES'!A80="","",'KNOWIFY PHASES'!A80)</f>
        <v>CO-01 [COR-01] P -Drainage Channel Revision</v>
      </c>
      <c r="AB80" s="7" t="str">
        <f aca="false">IF(AA80="","",IF(LEFT(AA80,4)="P - ","P",IF(LEFT(AA80,4)="H - ","H",IF(LEFT(AA80,5)="AC - ","AC",IF(OR(LEFT(AA80,4)="V - ",LEFT(AA80,7)="HVAC - "),"V","Other")))))</f>
        <v>Other</v>
      </c>
      <c r="AC80" s="7" t="str">
        <f aca="false">IF(AA80="","",IFERROR(LOOKUP(2,1/(($AZ$5:$AZ$60&lt;&gt;"")*ISNUMBER(SEARCH($AZ$5:$AZ$60,AA80))),$BA$5:$BA$60),IF(AB80="Other","Excluded","Unmapped")))</f>
        <v>Excluded</v>
      </c>
      <c r="AD80" s="7" t="n">
        <f aca="false">IF(AA80="","",IF(AND(AB80&lt;&gt;"Other",OR(AND('KNOWIFY PHASES'!B80="Closed",N('KNOWIFY PHASES'!D80)&gt;=0.5),N('KNOWIFY PHASES'!D80)&gt;=1)),1,0))</f>
        <v>0</v>
      </c>
      <c r="AE80" s="7" t="n">
        <f aca="false">N('KNOWIFY PHASES'!L80)</f>
        <v>0</v>
      </c>
      <c r="AF80" s="7" t="n">
        <f aca="false">N('KNOWIFY PHASES'!K80)</f>
        <v>0</v>
      </c>
      <c r="AG80" s="7" t="n">
        <f aca="false">N('KNOWIFY PHASES'!I80)</f>
        <v>2220</v>
      </c>
      <c r="AH80" s="7" t="n">
        <f aca="false">N('KNOWIFY PHASES'!H80)</f>
        <v>0</v>
      </c>
      <c r="AI80" s="7" t="n">
        <f aca="false">N('KNOWIFY PHASES'!O80)</f>
        <v>0</v>
      </c>
      <c r="AJ80" s="7" t="n">
        <f aca="false">N('KNOWIFY PHASES'!N80)</f>
        <v>0</v>
      </c>
      <c r="AK80" s="7" t="n">
        <f aca="false">N('KNOWIFY PHASES'!R80)</f>
        <v>0</v>
      </c>
      <c r="AL80" s="7" t="n">
        <f aca="false">N('KNOWIFY PHASES'!Q80)</f>
        <v>0</v>
      </c>
      <c r="AM80" s="7" t="n">
        <f aca="false">N('KNOWIFY PHASES'!F80)</f>
        <v>2220</v>
      </c>
      <c r="AN80" s="7" t="n">
        <f aca="false">N('KNOWIFY PHASES'!E80)</f>
        <v>0</v>
      </c>
      <c r="AO80" s="7" t="n">
        <f aca="false">MAX(AE80,AF80)</f>
        <v>0</v>
      </c>
      <c r="AP80" s="7" t="n">
        <f aca="false">MAX(AG80,AH80)</f>
        <v>2220</v>
      </c>
      <c r="AQ80" s="7" t="n">
        <f aca="false">MAX(AI80,AJ80)</f>
        <v>0</v>
      </c>
      <c r="AR80" s="7" t="n">
        <f aca="false">MAX(AK80,AL80)</f>
        <v>0</v>
      </c>
      <c r="AT80" s="7" t="str">
        <f aca="false">IF('KNOWIFY TIME'!B80="","",'KNOWIFY TIME'!B80)</f>
        <v/>
      </c>
      <c r="AU80" s="7" t="n">
        <f aca="false">IF(AT80="",0,IF(ISNUMBER('KNOWIFY TIME'!D80),'KNOWIFY TIME'!D80*24,IFERROR(VALUE(LEFT('KNOWIFY TIME'!D80,FIND(":",'KNOWIFY TIME'!D80)-1))+VALUE(MID('KNOWIFY TIME'!D80,FIND(":",'KNOWIFY TIME'!D80)+1,2))/60,0)))</f>
        <v>0</v>
      </c>
      <c r="AV80" s="7" t="n">
        <f aca="false">N('KNOWIFY TIME'!E80)</f>
        <v>0</v>
      </c>
      <c r="AW80" s="7" t="str">
        <f aca="false">IF(AT80="","",IFERROR(INDEX($BD$5:$BD$60,MATCH(AT80,$BC$5:$BC$60,0)),"Unmapped"))</f>
        <v/>
      </c>
    </row>
    <row r="81" customFormat="false" ht="15" hidden="false" customHeight="false" outlineLevel="0" collapsed="false">
      <c r="AA81" s="7" t="str">
        <f aca="false">IF('KNOWIFY PHASES'!A81="","",'KNOWIFY PHASES'!A81)</f>
        <v>CO-02 [COR-02] P - MSI-1 Changes</v>
      </c>
      <c r="AB81" s="7" t="str">
        <f aca="false">IF(AA81="","",IF(LEFT(AA81,4)="P - ","P",IF(LEFT(AA81,4)="H - ","H",IF(LEFT(AA81,5)="AC - ","AC",IF(OR(LEFT(AA81,4)="V - ",LEFT(AA81,7)="HVAC - "),"V","Other")))))</f>
        <v>Other</v>
      </c>
      <c r="AC81" s="7" t="str">
        <f aca="false">IF(AA81="","",IFERROR(LOOKUP(2,1/(($AZ$5:$AZ$60&lt;&gt;"")*ISNUMBER(SEARCH($AZ$5:$AZ$60,AA81))),$BA$5:$BA$60),IF(AB81="Other","Excluded","Unmapped")))</f>
        <v>Excluded</v>
      </c>
      <c r="AD81" s="7" t="n">
        <f aca="false">IF(AA81="","",IF(AND(AB81&lt;&gt;"Other",OR(AND('KNOWIFY PHASES'!B81="Closed",N('KNOWIFY PHASES'!D81)&gt;=0.5),N('KNOWIFY PHASES'!D81)&gt;=1)),1,0))</f>
        <v>0</v>
      </c>
      <c r="AE81" s="7" t="n">
        <f aca="false">N('KNOWIFY PHASES'!L81)</f>
        <v>5200</v>
      </c>
      <c r="AF81" s="7" t="n">
        <f aca="false">N('KNOWIFY PHASES'!K81)</f>
        <v>2715.77</v>
      </c>
      <c r="AG81" s="7" t="n">
        <f aca="false">N('KNOWIFY PHASES'!I81)</f>
        <v>8400</v>
      </c>
      <c r="AH81" s="7" t="n">
        <f aca="false">N('KNOWIFY PHASES'!H81)</f>
        <v>77.28</v>
      </c>
      <c r="AI81" s="7" t="n">
        <f aca="false">N('KNOWIFY PHASES'!O81)</f>
        <v>0</v>
      </c>
      <c r="AJ81" s="7" t="n">
        <f aca="false">N('KNOWIFY PHASES'!N81)</f>
        <v>0</v>
      </c>
      <c r="AK81" s="7" t="n">
        <f aca="false">N('KNOWIFY PHASES'!R81)</f>
        <v>0</v>
      </c>
      <c r="AL81" s="7" t="n">
        <f aca="false">N('KNOWIFY PHASES'!Q81)</f>
        <v>0</v>
      </c>
      <c r="AM81" s="7" t="n">
        <f aca="false">N('KNOWIFY PHASES'!F81)</f>
        <v>13600</v>
      </c>
      <c r="AN81" s="7" t="n">
        <f aca="false">N('KNOWIFY PHASES'!E81)</f>
        <v>2793.05</v>
      </c>
      <c r="AO81" s="7" t="n">
        <f aca="false">MAX(AE81,AF81)</f>
        <v>5200</v>
      </c>
      <c r="AP81" s="7" t="n">
        <f aca="false">MAX(AG81,AH81)</f>
        <v>8400</v>
      </c>
      <c r="AQ81" s="7" t="n">
        <f aca="false">MAX(AI81,AJ81)</f>
        <v>0</v>
      </c>
      <c r="AR81" s="7" t="n">
        <f aca="false">MAX(AK81,AL81)</f>
        <v>0</v>
      </c>
      <c r="AT81" s="7" t="str">
        <f aca="false">IF('KNOWIFY TIME'!B81="","",'KNOWIFY TIME'!B81)</f>
        <v/>
      </c>
      <c r="AU81" s="7" t="n">
        <f aca="false">IF(AT81="",0,IF(ISNUMBER('KNOWIFY TIME'!D81),'KNOWIFY TIME'!D81*24,IFERROR(VALUE(LEFT('KNOWIFY TIME'!D81,FIND(":",'KNOWIFY TIME'!D81)-1))+VALUE(MID('KNOWIFY TIME'!D81,FIND(":",'KNOWIFY TIME'!D81)+1,2))/60,0)))</f>
        <v>0</v>
      </c>
      <c r="AV81" s="7" t="n">
        <f aca="false">N('KNOWIFY TIME'!E81)</f>
        <v>0</v>
      </c>
      <c r="AW81" s="7" t="str">
        <f aca="false">IF(AT81="","",IFERROR(INDEX($BD$5:$BD$60,MATCH(AT81,$BC$5:$BC$60,0)),"Unmapped"))</f>
        <v/>
      </c>
    </row>
    <row r="82" customFormat="false" ht="15" hidden="false" customHeight="false" outlineLevel="0" collapsed="false">
      <c r="AA82" s="7" t="str">
        <f aca="false">IF('KNOWIFY PHASES'!A82="","",'KNOWIFY PHASES'!A82)</f>
        <v>CO-03&amp;5 [COR-06] VRF Heating System</v>
      </c>
      <c r="AB82" s="7" t="str">
        <f aca="false">IF(AA82="","",IF(LEFT(AA82,4)="P - ","P",IF(LEFT(AA82,4)="H - ","H",IF(LEFT(AA82,5)="AC - ","AC",IF(OR(LEFT(AA82,4)="V - ",LEFT(AA82,7)="HVAC - "),"V","Other")))))</f>
        <v>Other</v>
      </c>
      <c r="AC82" s="7" t="str">
        <f aca="false">IF(AA82="","",IFERROR(LOOKUP(2,1/(($AZ$5:$AZ$60&lt;&gt;"")*ISNUMBER(SEARCH($AZ$5:$AZ$60,AA82))),$BA$5:$BA$60),IF(AB82="Other","Excluded","Unmapped")))</f>
        <v>Excluded</v>
      </c>
      <c r="AD82" s="7" t="n">
        <f aca="false">IF(AA82="","",IF(AND(AB82&lt;&gt;"Other",OR(AND('KNOWIFY PHASES'!B82="Closed",N('KNOWIFY PHASES'!D82)&gt;=0.5),N('KNOWIFY PHASES'!D82)&gt;=1)),1,0))</f>
        <v>0</v>
      </c>
      <c r="AE82" s="7" t="n">
        <f aca="false">N('KNOWIFY PHASES'!L82)</f>
        <v>605000</v>
      </c>
      <c r="AF82" s="7" t="n">
        <f aca="false">N('KNOWIFY PHASES'!K82)</f>
        <v>135843.55</v>
      </c>
      <c r="AG82" s="7" t="n">
        <f aca="false">N('KNOWIFY PHASES'!I82)</f>
        <v>1008000</v>
      </c>
      <c r="AH82" s="7" t="n">
        <f aca="false">N('KNOWIFY PHASES'!H82)</f>
        <v>784791.25</v>
      </c>
      <c r="AI82" s="7" t="n">
        <f aca="false">N('KNOWIFY PHASES'!O82)</f>
        <v>275000</v>
      </c>
      <c r="AJ82" s="7" t="n">
        <f aca="false">N('KNOWIFY PHASES'!N82)</f>
        <v>230711.27</v>
      </c>
      <c r="AK82" s="7" t="n">
        <f aca="false">N('KNOWIFY PHASES'!R82)</f>
        <v>0</v>
      </c>
      <c r="AL82" s="7" t="n">
        <f aca="false">N('KNOWIFY PHASES'!Q82)</f>
        <v>0</v>
      </c>
      <c r="AM82" s="7" t="n">
        <f aca="false">N('KNOWIFY PHASES'!F82)</f>
        <v>1888000</v>
      </c>
      <c r="AN82" s="7" t="n">
        <f aca="false">N('KNOWIFY PHASES'!E82)</f>
        <v>1151346.07</v>
      </c>
      <c r="AO82" s="7" t="n">
        <f aca="false">MAX(AE82,AF82)</f>
        <v>605000</v>
      </c>
      <c r="AP82" s="7" t="n">
        <f aca="false">MAX(AG82,AH82)</f>
        <v>1008000</v>
      </c>
      <c r="AQ82" s="7" t="n">
        <f aca="false">MAX(AI82,AJ82)</f>
        <v>275000</v>
      </c>
      <c r="AR82" s="7" t="n">
        <f aca="false">MAX(AK82,AL82)</f>
        <v>0</v>
      </c>
      <c r="AT82" s="7" t="str">
        <f aca="false">IF('KNOWIFY TIME'!B82="","",'KNOWIFY TIME'!B82)</f>
        <v/>
      </c>
      <c r="AU82" s="7" t="n">
        <f aca="false">IF(AT82="",0,IF(ISNUMBER('KNOWIFY TIME'!D82),'KNOWIFY TIME'!D82*24,IFERROR(VALUE(LEFT('KNOWIFY TIME'!D82,FIND(":",'KNOWIFY TIME'!D82)-1))+VALUE(MID('KNOWIFY TIME'!D82,FIND(":",'KNOWIFY TIME'!D82)+1,2))/60,0)))</f>
        <v>0</v>
      </c>
      <c r="AV82" s="7" t="n">
        <f aca="false">N('KNOWIFY TIME'!E82)</f>
        <v>0</v>
      </c>
      <c r="AW82" s="7" t="str">
        <f aca="false">IF(AT82="","",IFERROR(INDEX($BD$5:$BD$60,MATCH(AT82,$BC$5:$BC$60,0)),"Unmapped"))</f>
        <v/>
      </c>
    </row>
    <row r="83" customFormat="false" ht="15" hidden="false" customHeight="false" outlineLevel="0" collapsed="false">
      <c r="AA83" s="7" t="str">
        <f aca="false">IF('KNOWIFY PHASES'!A83="","",'KNOWIFY PHASES'!A83)</f>
        <v>CO-04 [COR-04] P - MSI-04 SI-008 Ground Floor Drains</v>
      </c>
      <c r="AB83" s="7" t="str">
        <f aca="false">IF(AA83="","",IF(LEFT(AA83,4)="P - ","P",IF(LEFT(AA83,4)="H - ","H",IF(LEFT(AA83,5)="AC - ","AC",IF(OR(LEFT(AA83,4)="V - ",LEFT(AA83,7)="HVAC - "),"V","Other")))))</f>
        <v>Other</v>
      </c>
      <c r="AC83" s="7" t="str">
        <f aca="false">IF(AA83="","",IFERROR(LOOKUP(2,1/(($AZ$5:$AZ$60&lt;&gt;"")*ISNUMBER(SEARCH($AZ$5:$AZ$60,AA83))),$BA$5:$BA$60),IF(AB83="Other","Excluded","Unmapped")))</f>
        <v>Excluded</v>
      </c>
      <c r="AD83" s="7" t="n">
        <f aca="false">IF(AA83="","",IF(AND(AB83&lt;&gt;"Other",OR(AND('KNOWIFY PHASES'!B83="Closed",N('KNOWIFY PHASES'!D83)&gt;=0.5),N('KNOWIFY PHASES'!D83)&gt;=1)),1,0))</f>
        <v>0</v>
      </c>
      <c r="AE83" s="7" t="n">
        <f aca="false">N('KNOWIFY PHASES'!L83)</f>
        <v>2900</v>
      </c>
      <c r="AF83" s="7" t="n">
        <f aca="false">N('KNOWIFY PHASES'!K83)</f>
        <v>0</v>
      </c>
      <c r="AG83" s="7" t="n">
        <f aca="false">N('KNOWIFY PHASES'!I83)</f>
        <v>2900</v>
      </c>
      <c r="AH83" s="7" t="n">
        <f aca="false">N('KNOWIFY PHASES'!H83)</f>
        <v>0</v>
      </c>
      <c r="AI83" s="7" t="n">
        <f aca="false">N('KNOWIFY PHASES'!O83)</f>
        <v>200</v>
      </c>
      <c r="AJ83" s="7" t="n">
        <f aca="false">N('KNOWIFY PHASES'!N83)</f>
        <v>0</v>
      </c>
      <c r="AK83" s="7" t="n">
        <f aca="false">N('KNOWIFY PHASES'!R83)</f>
        <v>0</v>
      </c>
      <c r="AL83" s="7" t="n">
        <f aca="false">N('KNOWIFY PHASES'!Q83)</f>
        <v>0</v>
      </c>
      <c r="AM83" s="7" t="n">
        <f aca="false">N('KNOWIFY PHASES'!F83)</f>
        <v>6000</v>
      </c>
      <c r="AN83" s="7" t="n">
        <f aca="false">N('KNOWIFY PHASES'!E83)</f>
        <v>0</v>
      </c>
      <c r="AO83" s="7" t="n">
        <f aca="false">MAX(AE83,AF83)</f>
        <v>2900</v>
      </c>
      <c r="AP83" s="7" t="n">
        <f aca="false">MAX(AG83,AH83)</f>
        <v>2900</v>
      </c>
      <c r="AQ83" s="7" t="n">
        <f aca="false">MAX(AI83,AJ83)</f>
        <v>200</v>
      </c>
      <c r="AR83" s="7" t="n">
        <f aca="false">MAX(AK83,AL83)</f>
        <v>0</v>
      </c>
      <c r="AT83" s="7" t="str">
        <f aca="false">IF('KNOWIFY TIME'!B83="","",'KNOWIFY TIME'!B83)</f>
        <v/>
      </c>
      <c r="AU83" s="7" t="n">
        <f aca="false">IF(AT83="",0,IF(ISNUMBER('KNOWIFY TIME'!D83),'KNOWIFY TIME'!D83*24,IFERROR(VALUE(LEFT('KNOWIFY TIME'!D83,FIND(":",'KNOWIFY TIME'!D83)-1))+VALUE(MID('KNOWIFY TIME'!D83,FIND(":",'KNOWIFY TIME'!D83)+1,2))/60,0)))</f>
        <v>0</v>
      </c>
      <c r="AV83" s="7" t="n">
        <f aca="false">N('KNOWIFY TIME'!E83)</f>
        <v>0</v>
      </c>
      <c r="AW83" s="7" t="str">
        <f aca="false">IF(AT83="","",IFERROR(INDEX($BD$5:$BD$60,MATCH(AT83,$BC$5:$BC$60,0)),"Unmapped"))</f>
        <v/>
      </c>
    </row>
    <row r="84" customFormat="false" ht="15" hidden="false" customHeight="false" outlineLevel="0" collapsed="false">
      <c r="AA84" s="7" t="str">
        <f aca="false">IF('KNOWIFY PHASES'!A84="","",'KNOWIFY PHASES'!A84)</f>
        <v>CO-06 [COR-05] (Part 2) V - Elevator Machine Room Cooling</v>
      </c>
      <c r="AB84" s="7" t="str">
        <f aca="false">IF(AA84="","",IF(LEFT(AA84,4)="P - ","P",IF(LEFT(AA84,4)="H - ","H",IF(LEFT(AA84,5)="AC - ","AC",IF(OR(LEFT(AA84,4)="V - ",LEFT(AA84,7)="HVAC - "),"V","Other")))))</f>
        <v>Other</v>
      </c>
      <c r="AC84" s="7" t="str">
        <f aca="false">IF(AA84="","",IFERROR(LOOKUP(2,1/(($AZ$5:$AZ$60&lt;&gt;"")*ISNUMBER(SEARCH($AZ$5:$AZ$60,AA84))),$BA$5:$BA$60),IF(AB84="Other","Excluded","Unmapped")))</f>
        <v>Excluded</v>
      </c>
      <c r="AD84" s="7" t="n">
        <f aca="false">IF(AA84="","",IF(AND(AB84&lt;&gt;"Other",OR(AND('KNOWIFY PHASES'!B84="Closed",N('KNOWIFY PHASES'!D84)&gt;=0.5),N('KNOWIFY PHASES'!D84)&gt;=1)),1,0))</f>
        <v>0</v>
      </c>
      <c r="AE84" s="7" t="n">
        <f aca="false">N('KNOWIFY PHASES'!L84)</f>
        <v>3500</v>
      </c>
      <c r="AF84" s="7" t="n">
        <f aca="false">N('KNOWIFY PHASES'!K84)</f>
        <v>176.13</v>
      </c>
      <c r="AG84" s="7" t="n">
        <f aca="false">N('KNOWIFY PHASES'!I84)</f>
        <v>13300</v>
      </c>
      <c r="AH84" s="7" t="n">
        <f aca="false">N('KNOWIFY PHASES'!H84)</f>
        <v>11655</v>
      </c>
      <c r="AI84" s="7" t="n">
        <f aca="false">N('KNOWIFY PHASES'!O84)</f>
        <v>3200</v>
      </c>
      <c r="AJ84" s="7" t="n">
        <f aca="false">N('KNOWIFY PHASES'!N84)</f>
        <v>0</v>
      </c>
      <c r="AK84" s="7" t="n">
        <f aca="false">N('KNOWIFY PHASES'!R84)</f>
        <v>0</v>
      </c>
      <c r="AL84" s="7" t="n">
        <f aca="false">N('KNOWIFY PHASES'!Q84)</f>
        <v>0</v>
      </c>
      <c r="AM84" s="7" t="n">
        <f aca="false">N('KNOWIFY PHASES'!F84)</f>
        <v>20000</v>
      </c>
      <c r="AN84" s="7" t="n">
        <f aca="false">N('KNOWIFY PHASES'!E84)</f>
        <v>11831.13</v>
      </c>
      <c r="AO84" s="7" t="n">
        <f aca="false">MAX(AE84,AF84)</f>
        <v>3500</v>
      </c>
      <c r="AP84" s="7" t="n">
        <f aca="false">MAX(AG84,AH84)</f>
        <v>13300</v>
      </c>
      <c r="AQ84" s="7" t="n">
        <f aca="false">MAX(AI84,AJ84)</f>
        <v>3200</v>
      </c>
      <c r="AR84" s="7" t="n">
        <f aca="false">MAX(AK84,AL84)</f>
        <v>0</v>
      </c>
      <c r="AT84" s="7" t="str">
        <f aca="false">IF('KNOWIFY TIME'!B84="","",'KNOWIFY TIME'!B84)</f>
        <v/>
      </c>
      <c r="AU84" s="7" t="n">
        <f aca="false">IF(AT84="",0,IF(ISNUMBER('KNOWIFY TIME'!D84),'KNOWIFY TIME'!D84*24,IFERROR(VALUE(LEFT('KNOWIFY TIME'!D84,FIND(":",'KNOWIFY TIME'!D84)-1))+VALUE(MID('KNOWIFY TIME'!D84,FIND(":",'KNOWIFY TIME'!D84)+1,2))/60,0)))</f>
        <v>0</v>
      </c>
      <c r="AV84" s="7" t="n">
        <f aca="false">N('KNOWIFY TIME'!E84)</f>
        <v>0</v>
      </c>
      <c r="AW84" s="7" t="str">
        <f aca="false">IF(AT84="","",IFERROR(INDEX($BD$5:$BD$60,MATCH(AT84,$BC$5:$BC$60,0)),"Unmapped"))</f>
        <v/>
      </c>
    </row>
    <row r="85" customFormat="false" ht="15" hidden="false" customHeight="false" outlineLevel="0" collapsed="false">
      <c r="AA85" s="7" t="str">
        <f aca="false">IF('KNOWIFY PHASES'!A85="","",'KNOWIFY PHASES'!A85)</f>
        <v>CO-7 [COR-07] V - Amenity Ceiling Fan coils</v>
      </c>
      <c r="AB85" s="7" t="str">
        <f aca="false">IF(AA85="","",IF(LEFT(AA85,4)="P - ","P",IF(LEFT(AA85,4)="H - ","H",IF(LEFT(AA85,5)="AC - ","AC",IF(OR(LEFT(AA85,4)="V - ",LEFT(AA85,7)="HVAC - "),"V","Other")))))</f>
        <v>Other</v>
      </c>
      <c r="AC85" s="7" t="str">
        <f aca="false">IF(AA85="","",IFERROR(LOOKUP(2,1/(($AZ$5:$AZ$60&lt;&gt;"")*ISNUMBER(SEARCH($AZ$5:$AZ$60,AA85))),$BA$5:$BA$60),IF(AB85="Other","Excluded","Unmapped")))</f>
        <v>Excluded</v>
      </c>
      <c r="AD85" s="7" t="n">
        <f aca="false">IF(AA85="","",IF(AND(AB85&lt;&gt;"Other",OR(AND('KNOWIFY PHASES'!B85="Closed",N('KNOWIFY PHASES'!D85)&gt;=0.5),N('KNOWIFY PHASES'!D85)&gt;=1)),1,0))</f>
        <v>0</v>
      </c>
      <c r="AE85" s="7" t="n">
        <f aca="false">N('KNOWIFY PHASES'!L85)</f>
        <v>1300</v>
      </c>
      <c r="AF85" s="7" t="n">
        <f aca="false">N('KNOWIFY PHASES'!K85)</f>
        <v>0</v>
      </c>
      <c r="AG85" s="7" t="n">
        <f aca="false">N('KNOWIFY PHASES'!I85)</f>
        <v>7500</v>
      </c>
      <c r="AH85" s="7" t="n">
        <f aca="false">N('KNOWIFY PHASES'!H85)</f>
        <v>0</v>
      </c>
      <c r="AI85" s="7" t="n">
        <f aca="false">N('KNOWIFY PHASES'!O85)</f>
        <v>2400</v>
      </c>
      <c r="AJ85" s="7" t="n">
        <f aca="false">N('KNOWIFY PHASES'!N85)</f>
        <v>0</v>
      </c>
      <c r="AK85" s="7" t="n">
        <f aca="false">N('KNOWIFY PHASES'!R85)</f>
        <v>0</v>
      </c>
      <c r="AL85" s="7" t="n">
        <f aca="false">N('KNOWIFY PHASES'!Q85)</f>
        <v>0</v>
      </c>
      <c r="AM85" s="7" t="n">
        <f aca="false">N('KNOWIFY PHASES'!F85)</f>
        <v>11200</v>
      </c>
      <c r="AN85" s="7" t="n">
        <f aca="false">N('KNOWIFY PHASES'!E85)</f>
        <v>0</v>
      </c>
      <c r="AO85" s="7" t="n">
        <f aca="false">MAX(AE85,AF85)</f>
        <v>1300</v>
      </c>
      <c r="AP85" s="7" t="n">
        <f aca="false">MAX(AG85,AH85)</f>
        <v>7500</v>
      </c>
      <c r="AQ85" s="7" t="n">
        <f aca="false">MAX(AI85,AJ85)</f>
        <v>2400</v>
      </c>
      <c r="AR85" s="7" t="n">
        <f aca="false">MAX(AK85,AL85)</f>
        <v>0</v>
      </c>
      <c r="AT85" s="7" t="str">
        <f aca="false">IF('KNOWIFY TIME'!B85="","",'KNOWIFY TIME'!B85)</f>
        <v/>
      </c>
      <c r="AU85" s="7" t="n">
        <f aca="false">IF(AT85="",0,IF(ISNUMBER('KNOWIFY TIME'!D85),'KNOWIFY TIME'!D85*24,IFERROR(VALUE(LEFT('KNOWIFY TIME'!D85,FIND(":",'KNOWIFY TIME'!D85)-1))+VALUE(MID('KNOWIFY TIME'!D85,FIND(":",'KNOWIFY TIME'!D85)+1,2))/60,0)))</f>
        <v>0</v>
      </c>
      <c r="AV85" s="7" t="n">
        <f aca="false">N('KNOWIFY TIME'!E85)</f>
        <v>0</v>
      </c>
      <c r="AW85" s="7" t="str">
        <f aca="false">IF(AT85="","",IFERROR(INDEX($BD$5:$BD$60,MATCH(AT85,$BC$5:$BC$60,0)),"Unmapped"))</f>
        <v/>
      </c>
    </row>
    <row r="86" customFormat="false" ht="15" hidden="false" customHeight="false" outlineLevel="0" collapsed="false">
      <c r="AA86" s="7" t="str">
        <f aca="false">IF('KNOWIFY PHASES'!A86="","",'KNOWIFY PHASES'!A86)</f>
        <v>CO-8 [COR-08] P - Planter drain pipe rerouting</v>
      </c>
      <c r="AB86" s="7" t="str">
        <f aca="false">IF(AA86="","",IF(LEFT(AA86,4)="P - ","P",IF(LEFT(AA86,4)="H - ","H",IF(LEFT(AA86,5)="AC - ","AC",IF(OR(LEFT(AA86,4)="V - ",LEFT(AA86,7)="HVAC - "),"V","Other")))))</f>
        <v>Other</v>
      </c>
      <c r="AC86" s="7" t="str">
        <f aca="false">IF(AA86="","",IFERROR(LOOKUP(2,1/(($AZ$5:$AZ$60&lt;&gt;"")*ISNUMBER(SEARCH($AZ$5:$AZ$60,AA86))),$BA$5:$BA$60),IF(AB86="Other","Excluded","Unmapped")))</f>
        <v>Excluded</v>
      </c>
      <c r="AD86" s="7" t="n">
        <f aca="false">IF(AA86="","",IF(AND(AB86&lt;&gt;"Other",OR(AND('KNOWIFY PHASES'!B86="Closed",N('KNOWIFY PHASES'!D86)&gt;=0.5),N('KNOWIFY PHASES'!D86)&gt;=1)),1,0))</f>
        <v>0</v>
      </c>
      <c r="AE86" s="7" t="n">
        <f aca="false">N('KNOWIFY PHASES'!L86)</f>
        <v>13500</v>
      </c>
      <c r="AF86" s="7" t="n">
        <f aca="false">N('KNOWIFY PHASES'!K86)</f>
        <v>3829.39</v>
      </c>
      <c r="AG86" s="7" t="n">
        <f aca="false">N('KNOWIFY PHASES'!I86)</f>
        <v>10860</v>
      </c>
      <c r="AH86" s="7" t="n">
        <f aca="false">N('KNOWIFY PHASES'!H86)</f>
        <v>0</v>
      </c>
      <c r="AI86" s="7" t="n">
        <f aca="false">N('KNOWIFY PHASES'!O86)</f>
        <v>0</v>
      </c>
      <c r="AJ86" s="7" t="n">
        <f aca="false">N('KNOWIFY PHASES'!N86)</f>
        <v>0</v>
      </c>
      <c r="AK86" s="7" t="n">
        <f aca="false">N('KNOWIFY PHASES'!R86)</f>
        <v>0</v>
      </c>
      <c r="AL86" s="7" t="n">
        <f aca="false">N('KNOWIFY PHASES'!Q86)</f>
        <v>0</v>
      </c>
      <c r="AM86" s="7" t="n">
        <f aca="false">N('KNOWIFY PHASES'!F86)</f>
        <v>24360</v>
      </c>
      <c r="AN86" s="7" t="n">
        <f aca="false">N('KNOWIFY PHASES'!E86)</f>
        <v>3829.39</v>
      </c>
      <c r="AO86" s="7" t="n">
        <f aca="false">MAX(AE86,AF86)</f>
        <v>13500</v>
      </c>
      <c r="AP86" s="7" t="n">
        <f aca="false">MAX(AG86,AH86)</f>
        <v>10860</v>
      </c>
      <c r="AQ86" s="7" t="n">
        <f aca="false">MAX(AI86,AJ86)</f>
        <v>0</v>
      </c>
      <c r="AR86" s="7" t="n">
        <f aca="false">MAX(AK86,AL86)</f>
        <v>0</v>
      </c>
      <c r="AT86" s="7" t="str">
        <f aca="false">IF('KNOWIFY TIME'!B86="","",'KNOWIFY TIME'!B86)</f>
        <v/>
      </c>
      <c r="AU86" s="7" t="n">
        <f aca="false">IF(AT86="",0,IF(ISNUMBER('KNOWIFY TIME'!D86),'KNOWIFY TIME'!D86*24,IFERROR(VALUE(LEFT('KNOWIFY TIME'!D86,FIND(":",'KNOWIFY TIME'!D86)-1))+VALUE(MID('KNOWIFY TIME'!D86,FIND(":",'KNOWIFY TIME'!D86)+1,2))/60,0)))</f>
        <v>0</v>
      </c>
      <c r="AV86" s="7" t="n">
        <f aca="false">N('KNOWIFY TIME'!E86)</f>
        <v>0</v>
      </c>
      <c r="AW86" s="7" t="str">
        <f aca="false">IF(AT86="","",IFERROR(INDEX($BD$5:$BD$60,MATCH(AT86,$BC$5:$BC$60,0)),"Unmapped"))</f>
        <v/>
      </c>
    </row>
    <row r="87" customFormat="false" ht="15" hidden="false" customHeight="false" outlineLevel="0" collapsed="false">
      <c r="AA87" s="7" t="str">
        <f aca="false">IF('KNOWIFY PHASES'!A87="","",'KNOWIFY PHASES'!A87)</f>
        <v>[COR-09] P - Insulation &amp; HT to Attic HB's for Building A &amp; B</v>
      </c>
      <c r="AB87" s="7" t="str">
        <f aca="false">IF(AA87="","",IF(LEFT(AA87,4)="P - ","P",IF(LEFT(AA87,4)="H - ","H",IF(LEFT(AA87,5)="AC - ","AC",IF(OR(LEFT(AA87,4)="V - ",LEFT(AA87,7)="HVAC - "),"V","Other")))))</f>
        <v>Other</v>
      </c>
      <c r="AC87" s="7" t="str">
        <f aca="false">IF(AA87="","",IFERROR(LOOKUP(2,1/(($AZ$5:$AZ$60&lt;&gt;"")*ISNUMBER(SEARCH($AZ$5:$AZ$60,AA87))),$BA$5:$BA$60),IF(AB87="Other","Excluded","Unmapped")))</f>
        <v>03 Rough-in (Labour)</v>
      </c>
      <c r="AD87" s="7" t="n">
        <f aca="false">IF(AA87="","",IF(AND(AB87&lt;&gt;"Other",OR(AND('KNOWIFY PHASES'!B87="Closed",N('KNOWIFY PHASES'!D87)&gt;=0.5),N('KNOWIFY PHASES'!D87)&gt;=1)),1,0))</f>
        <v>0</v>
      </c>
      <c r="AE87" s="7" t="n">
        <f aca="false">N('KNOWIFY PHASES'!L87)</f>
        <v>0</v>
      </c>
      <c r="AF87" s="7" t="n">
        <f aca="false">N('KNOWIFY PHASES'!K87)</f>
        <v>0</v>
      </c>
      <c r="AG87" s="7" t="n">
        <f aca="false">N('KNOWIFY PHASES'!I87)</f>
        <v>0</v>
      </c>
      <c r="AH87" s="7" t="n">
        <f aca="false">N('KNOWIFY PHASES'!H87)</f>
        <v>0</v>
      </c>
      <c r="AI87" s="7" t="n">
        <f aca="false">N('KNOWIFY PHASES'!O87)</f>
        <v>5391</v>
      </c>
      <c r="AJ87" s="7" t="n">
        <f aca="false">N('KNOWIFY PHASES'!N87)</f>
        <v>5390.31</v>
      </c>
      <c r="AK87" s="7" t="n">
        <f aca="false">N('KNOWIFY PHASES'!R87)</f>
        <v>0</v>
      </c>
      <c r="AL87" s="7" t="n">
        <f aca="false">N('KNOWIFY PHASES'!Q87)</f>
        <v>0</v>
      </c>
      <c r="AM87" s="7" t="n">
        <f aca="false">N('KNOWIFY PHASES'!F87)</f>
        <v>5391</v>
      </c>
      <c r="AN87" s="7" t="n">
        <f aca="false">N('KNOWIFY PHASES'!E87)</f>
        <v>5390.31</v>
      </c>
      <c r="AO87" s="7" t="n">
        <f aca="false">MAX(AE87,AF87)</f>
        <v>0</v>
      </c>
      <c r="AP87" s="7" t="n">
        <f aca="false">MAX(AG87,AH87)</f>
        <v>0</v>
      </c>
      <c r="AQ87" s="7" t="n">
        <f aca="false">MAX(AI87,AJ87)</f>
        <v>5391</v>
      </c>
      <c r="AR87" s="7" t="n">
        <f aca="false">MAX(AK87,AL87)</f>
        <v>0</v>
      </c>
      <c r="AT87" s="7" t="str">
        <f aca="false">IF('KNOWIFY TIME'!B87="","",'KNOWIFY TIME'!B87)</f>
        <v/>
      </c>
      <c r="AU87" s="7" t="n">
        <f aca="false">IF(AT87="",0,IF(ISNUMBER('KNOWIFY TIME'!D87),'KNOWIFY TIME'!D87*24,IFERROR(VALUE(LEFT('KNOWIFY TIME'!D87,FIND(":",'KNOWIFY TIME'!D87)-1))+VALUE(MID('KNOWIFY TIME'!D87,FIND(":",'KNOWIFY TIME'!D87)+1,2))/60,0)))</f>
        <v>0</v>
      </c>
      <c r="AV87" s="7" t="n">
        <f aca="false">N('KNOWIFY TIME'!E87)</f>
        <v>0</v>
      </c>
      <c r="AW87" s="7" t="str">
        <f aca="false">IF(AT87="","",IFERROR(INDEX($BD$5:$BD$60,MATCH(AT87,$BC$5:$BC$60,0)),"Unmapped"))</f>
        <v/>
      </c>
    </row>
    <row r="88" customFormat="false" ht="15" hidden="false" customHeight="false" outlineLevel="0" collapsed="false">
      <c r="AA88" s="7" t="str">
        <f aca="false">IF('KNOWIFY PHASES'!A88="","",'KNOWIFY PHASES'!A88)</f>
        <v>CO-10 [COR-10] P - ASI-017 – Unit C5 Ensuite Tub to Shower</v>
      </c>
      <c r="AB88" s="7" t="str">
        <f aca="false">IF(AA88="","",IF(LEFT(AA88,4)="P - ","P",IF(LEFT(AA88,4)="H - ","H",IF(LEFT(AA88,5)="AC - ","AC",IF(OR(LEFT(AA88,4)="V - ",LEFT(AA88,7)="HVAC - "),"V","Other")))))</f>
        <v>Other</v>
      </c>
      <c r="AC88" s="7" t="str">
        <f aca="false">IF(AA88="","",IFERROR(LOOKUP(2,1/(($AZ$5:$AZ$60&lt;&gt;"")*ISNUMBER(SEARCH($AZ$5:$AZ$60,AA88))),$BA$5:$BA$60),IF(AB88="Other","Excluded","Unmapped")))</f>
        <v>Excluded</v>
      </c>
      <c r="AD88" s="7" t="n">
        <f aca="false">IF(AA88="","",IF(AND(AB88&lt;&gt;"Other",OR(AND('KNOWIFY PHASES'!B88="Closed",N('KNOWIFY PHASES'!D88)&gt;=0.5),N('KNOWIFY PHASES'!D88)&gt;=1)),1,0))</f>
        <v>0</v>
      </c>
      <c r="AE88" s="7" t="n">
        <f aca="false">N('KNOWIFY PHASES'!L88)</f>
        <v>0</v>
      </c>
      <c r="AF88" s="7" t="n">
        <f aca="false">N('KNOWIFY PHASES'!K88)</f>
        <v>0</v>
      </c>
      <c r="AG88" s="7" t="n">
        <f aca="false">N('KNOWIFY PHASES'!I88)</f>
        <v>-2278.59</v>
      </c>
      <c r="AH88" s="7" t="n">
        <f aca="false">N('KNOWIFY PHASES'!H88)</f>
        <v>0</v>
      </c>
      <c r="AI88" s="7" t="n">
        <f aca="false">N('KNOWIFY PHASES'!O88)</f>
        <v>0</v>
      </c>
      <c r="AJ88" s="7" t="n">
        <f aca="false">N('KNOWIFY PHASES'!N88)</f>
        <v>0</v>
      </c>
      <c r="AK88" s="7" t="n">
        <f aca="false">N('KNOWIFY PHASES'!R88)</f>
        <v>0</v>
      </c>
      <c r="AL88" s="7" t="n">
        <f aca="false">N('KNOWIFY PHASES'!Q88)</f>
        <v>0</v>
      </c>
      <c r="AM88" s="7" t="n">
        <f aca="false">N('KNOWIFY PHASES'!F88)</f>
        <v>-2278.59</v>
      </c>
      <c r="AN88" s="7" t="n">
        <f aca="false">N('KNOWIFY PHASES'!E88)</f>
        <v>0</v>
      </c>
      <c r="AO88" s="7" t="n">
        <f aca="false">MAX(AE88,AF88)</f>
        <v>0</v>
      </c>
      <c r="AP88" s="7" t="n">
        <f aca="false">MAX(AG88,AH88)</f>
        <v>0</v>
      </c>
      <c r="AQ88" s="7" t="n">
        <f aca="false">MAX(AI88,AJ88)</f>
        <v>0</v>
      </c>
      <c r="AR88" s="7" t="n">
        <f aca="false">MAX(AK88,AL88)</f>
        <v>0</v>
      </c>
      <c r="AT88" s="7" t="str">
        <f aca="false">IF('KNOWIFY TIME'!B88="","",'KNOWIFY TIME'!B88)</f>
        <v/>
      </c>
      <c r="AU88" s="7" t="n">
        <f aca="false">IF(AT88="",0,IF(ISNUMBER('KNOWIFY TIME'!D88),'KNOWIFY TIME'!D88*24,IFERROR(VALUE(LEFT('KNOWIFY TIME'!D88,FIND(":",'KNOWIFY TIME'!D88)-1))+VALUE(MID('KNOWIFY TIME'!D88,FIND(":",'KNOWIFY TIME'!D88)+1,2))/60,0)))</f>
        <v>0</v>
      </c>
      <c r="AV88" s="7" t="n">
        <f aca="false">N('KNOWIFY TIME'!E88)</f>
        <v>0</v>
      </c>
      <c r="AW88" s="7" t="str">
        <f aca="false">IF(AT88="","",IFERROR(INDEX($BD$5:$BD$60,MATCH(AT88,$BC$5:$BC$60,0)),"Unmapped"))</f>
        <v/>
      </c>
    </row>
    <row r="89" customFormat="false" ht="15" hidden="false" customHeight="false" outlineLevel="0" collapsed="false">
      <c r="AA89" s="7" t="str">
        <f aca="false">IF('KNOWIFY PHASES'!A89="","",'KNOWIFY PHASES'!A89)</f>
        <v>CO-11 [COR-05] (Part 1) P - Credit for Drinking Fountain</v>
      </c>
      <c r="AB89" s="7" t="str">
        <f aca="false">IF(AA89="","",IF(LEFT(AA89,4)="P - ","P",IF(LEFT(AA89,4)="H - ","H",IF(LEFT(AA89,5)="AC - ","AC",IF(OR(LEFT(AA89,4)="V - ",LEFT(AA89,7)="HVAC - "),"V","Other")))))</f>
        <v>Other</v>
      </c>
      <c r="AC89" s="7" t="str">
        <f aca="false">IF(AA89="","",IFERROR(LOOKUP(2,1/(($AZ$5:$AZ$60&lt;&gt;"")*ISNUMBER(SEARCH($AZ$5:$AZ$60,AA89))),$BA$5:$BA$60),IF(AB89="Other","Excluded","Unmapped")))</f>
        <v>Excluded</v>
      </c>
      <c r="AD89" s="7" t="n">
        <f aca="false">IF(AA89="","",IF(AND(AB89&lt;&gt;"Other",OR(AND('KNOWIFY PHASES'!B89="Closed",N('KNOWIFY PHASES'!D89)&gt;=0.5),N('KNOWIFY PHASES'!D89)&gt;=1)),1,0))</f>
        <v>0</v>
      </c>
      <c r="AE89" s="7" t="n">
        <f aca="false">N('KNOWIFY PHASES'!L89)</f>
        <v>0</v>
      </c>
      <c r="AF89" s="7" t="n">
        <f aca="false">N('KNOWIFY PHASES'!K89)</f>
        <v>0</v>
      </c>
      <c r="AG89" s="7" t="n">
        <f aca="false">N('KNOWIFY PHASES'!I89)</f>
        <v>0</v>
      </c>
      <c r="AH89" s="7" t="n">
        <f aca="false">N('KNOWIFY PHASES'!H89)</f>
        <v>0</v>
      </c>
      <c r="AI89" s="7" t="n">
        <f aca="false">N('KNOWIFY PHASES'!O89)</f>
        <v>0</v>
      </c>
      <c r="AJ89" s="7" t="n">
        <f aca="false">N('KNOWIFY PHASES'!N89)</f>
        <v>0</v>
      </c>
      <c r="AK89" s="7" t="n">
        <f aca="false">N('KNOWIFY PHASES'!R89)</f>
        <v>-3762.87</v>
      </c>
      <c r="AL89" s="7" t="n">
        <f aca="false">N('KNOWIFY PHASES'!Q89)</f>
        <v>0</v>
      </c>
      <c r="AM89" s="7" t="n">
        <f aca="false">N('KNOWIFY PHASES'!F89)</f>
        <v>-3762.87</v>
      </c>
      <c r="AN89" s="7" t="n">
        <f aca="false">N('KNOWIFY PHASES'!E89)</f>
        <v>0</v>
      </c>
      <c r="AO89" s="7" t="n">
        <f aca="false">MAX(AE89,AF89)</f>
        <v>0</v>
      </c>
      <c r="AP89" s="7" t="n">
        <f aca="false">MAX(AG89,AH89)</f>
        <v>0</v>
      </c>
      <c r="AQ89" s="7" t="n">
        <f aca="false">MAX(AI89,AJ89)</f>
        <v>0</v>
      </c>
      <c r="AR89" s="7" t="n">
        <f aca="false">MAX(AK89,AL89)</f>
        <v>0</v>
      </c>
      <c r="AT89" s="7" t="str">
        <f aca="false">IF('KNOWIFY TIME'!B89="","",'KNOWIFY TIME'!B89)</f>
        <v/>
      </c>
      <c r="AU89" s="7" t="n">
        <f aca="false">IF(AT89="",0,IF(ISNUMBER('KNOWIFY TIME'!D89),'KNOWIFY TIME'!D89*24,IFERROR(VALUE(LEFT('KNOWIFY TIME'!D89,FIND(":",'KNOWIFY TIME'!D89)-1))+VALUE(MID('KNOWIFY TIME'!D89,FIND(":",'KNOWIFY TIME'!D89)+1,2))/60,0)))</f>
        <v>0</v>
      </c>
      <c r="AV89" s="7" t="n">
        <f aca="false">N('KNOWIFY TIME'!E89)</f>
        <v>0</v>
      </c>
      <c r="AW89" s="7" t="str">
        <f aca="false">IF(AT89="","",IFERROR(INDEX($BD$5:$BD$60,MATCH(AT89,$BC$5:$BC$60,0)),"Unmapped"))</f>
        <v/>
      </c>
    </row>
    <row r="90" customFormat="false" ht="15" hidden="false" customHeight="false" outlineLevel="0" collapsed="false">
      <c r="AA90" s="7" t="str">
        <f aca="false">IF('KNOWIFY PHASES'!A90="","",'KNOWIFY PHASES'!A90)</f>
        <v>CO-12 [COR-12] P - RFI-13 Drain discharge to tank</v>
      </c>
      <c r="AB90" s="7" t="str">
        <f aca="false">IF(AA90="","",IF(LEFT(AA90,4)="P - ","P",IF(LEFT(AA90,4)="H - ","H",IF(LEFT(AA90,5)="AC - ","AC",IF(OR(LEFT(AA90,4)="V - ",LEFT(AA90,7)="HVAC - "),"V","Other")))))</f>
        <v>Other</v>
      </c>
      <c r="AC90" s="7" t="str">
        <f aca="false">IF(AA90="","",IFERROR(LOOKUP(2,1/(($AZ$5:$AZ$60&lt;&gt;"")*ISNUMBER(SEARCH($AZ$5:$AZ$60,AA90))),$BA$5:$BA$60),IF(AB90="Other","Excluded","Unmapped")))</f>
        <v>Excluded</v>
      </c>
      <c r="AD90" s="7" t="n">
        <f aca="false">IF(AA90="","",IF(AND(AB90&lt;&gt;"Other",OR(AND('KNOWIFY PHASES'!B90="Closed",N('KNOWIFY PHASES'!D90)&gt;=0.5),N('KNOWIFY PHASES'!D90)&gt;=1)),1,0))</f>
        <v>0</v>
      </c>
      <c r="AE90" s="7" t="n">
        <f aca="false">N('KNOWIFY PHASES'!L90)</f>
        <v>-1830</v>
      </c>
      <c r="AF90" s="7" t="n">
        <f aca="false">N('KNOWIFY PHASES'!K90)</f>
        <v>0</v>
      </c>
      <c r="AG90" s="7" t="n">
        <f aca="false">N('KNOWIFY PHASES'!I90)</f>
        <v>-740</v>
      </c>
      <c r="AH90" s="7" t="n">
        <f aca="false">N('KNOWIFY PHASES'!H90)</f>
        <v>430.1</v>
      </c>
      <c r="AI90" s="7" t="n">
        <f aca="false">N('KNOWIFY PHASES'!O90)</f>
        <v>0</v>
      </c>
      <c r="AJ90" s="7" t="n">
        <f aca="false">N('KNOWIFY PHASES'!N90)</f>
        <v>0</v>
      </c>
      <c r="AK90" s="7" t="n">
        <f aca="false">N('KNOWIFY PHASES'!R90)</f>
        <v>0</v>
      </c>
      <c r="AL90" s="7" t="n">
        <f aca="false">N('KNOWIFY PHASES'!Q90)</f>
        <v>0</v>
      </c>
      <c r="AM90" s="7" t="n">
        <f aca="false">N('KNOWIFY PHASES'!F90)</f>
        <v>-2570</v>
      </c>
      <c r="AN90" s="7" t="n">
        <f aca="false">N('KNOWIFY PHASES'!E90)</f>
        <v>430.1</v>
      </c>
      <c r="AO90" s="7" t="n">
        <f aca="false">MAX(AE90,AF90)</f>
        <v>0</v>
      </c>
      <c r="AP90" s="7" t="n">
        <f aca="false">MAX(AG90,AH90)</f>
        <v>430.1</v>
      </c>
      <c r="AQ90" s="7" t="n">
        <f aca="false">MAX(AI90,AJ90)</f>
        <v>0</v>
      </c>
      <c r="AR90" s="7" t="n">
        <f aca="false">MAX(AK90,AL90)</f>
        <v>0</v>
      </c>
      <c r="AT90" s="7" t="str">
        <f aca="false">IF('KNOWIFY TIME'!B90="","",'KNOWIFY TIME'!B90)</f>
        <v/>
      </c>
      <c r="AU90" s="7" t="n">
        <f aca="false">IF(AT90="",0,IF(ISNUMBER('KNOWIFY TIME'!D90),'KNOWIFY TIME'!D90*24,IFERROR(VALUE(LEFT('KNOWIFY TIME'!D90,FIND(":",'KNOWIFY TIME'!D90)-1))+VALUE(MID('KNOWIFY TIME'!D90,FIND(":",'KNOWIFY TIME'!D90)+1,2))/60,0)))</f>
        <v>0</v>
      </c>
      <c r="AV90" s="7" t="n">
        <f aca="false">N('KNOWIFY TIME'!E90)</f>
        <v>0</v>
      </c>
      <c r="AW90" s="7" t="str">
        <f aca="false">IF(AT90="","",IFERROR(INDEX($BD$5:$BD$60,MATCH(AT90,$BC$5:$BC$60,0)),"Unmapped"))</f>
        <v/>
      </c>
    </row>
    <row r="91" customFormat="false" ht="15" hidden="false" customHeight="false" outlineLevel="0" collapsed="false">
      <c r="AA91" s="7" t="str">
        <f aca="false">IF('KNOWIFY PHASES'!A91="","",'KNOWIFY PHASES'!A91)</f>
        <v>[COR-17] (P) Replacement of Damaged Shower – 60 x 30 RH (60135 A)</v>
      </c>
      <c r="AB91" s="7" t="str">
        <f aca="false">IF(AA91="","",IF(LEFT(AA91,4)="P - ","P",IF(LEFT(AA91,4)="H - ","H",IF(LEFT(AA91,5)="AC - ","AC",IF(OR(LEFT(AA91,4)="V - ",LEFT(AA91,7)="HVAC - "),"V","Other")))))</f>
        <v>Other</v>
      </c>
      <c r="AC91" s="7" t="str">
        <f aca="false">IF(AA91="","",IFERROR(LOOKUP(2,1/(($AZ$5:$AZ$60&lt;&gt;"")*ISNUMBER(SEARCH($AZ$5:$AZ$60,AA91))),$BA$5:$BA$60),IF(AB91="Other","Excluded","Unmapped")))</f>
        <v>Excluded</v>
      </c>
      <c r="AD91" s="7" t="n">
        <f aca="false">IF(AA91="","",IF(AND(AB91&lt;&gt;"Other",OR(AND('KNOWIFY PHASES'!B91="Closed",N('KNOWIFY PHASES'!D91)&gt;=0.5),N('KNOWIFY PHASES'!D91)&gt;=1)),1,0))</f>
        <v>0</v>
      </c>
      <c r="AE91" s="7" t="n">
        <f aca="false">N('KNOWIFY PHASES'!L91)</f>
        <v>0</v>
      </c>
      <c r="AF91" s="7" t="n">
        <f aca="false">N('KNOWIFY PHASES'!K91)</f>
        <v>0</v>
      </c>
      <c r="AG91" s="7" t="n">
        <f aca="false">N('KNOWIFY PHASES'!I91)</f>
        <v>488</v>
      </c>
      <c r="AH91" s="7" t="n">
        <f aca="false">N('KNOWIFY PHASES'!H91)</f>
        <v>0</v>
      </c>
      <c r="AI91" s="7" t="n">
        <f aca="false">N('KNOWIFY PHASES'!O91)</f>
        <v>0</v>
      </c>
      <c r="AJ91" s="7" t="n">
        <f aca="false">N('KNOWIFY PHASES'!N91)</f>
        <v>0</v>
      </c>
      <c r="AK91" s="7" t="n">
        <f aca="false">N('KNOWIFY PHASES'!R91)</f>
        <v>0</v>
      </c>
      <c r="AL91" s="7" t="n">
        <f aca="false">N('KNOWIFY PHASES'!Q91)</f>
        <v>0</v>
      </c>
      <c r="AM91" s="7" t="n">
        <f aca="false">N('KNOWIFY PHASES'!F91)</f>
        <v>488</v>
      </c>
      <c r="AN91" s="7" t="n">
        <f aca="false">N('KNOWIFY PHASES'!E91)</f>
        <v>0</v>
      </c>
      <c r="AO91" s="7" t="n">
        <f aca="false">MAX(AE91,AF91)</f>
        <v>0</v>
      </c>
      <c r="AP91" s="7" t="n">
        <f aca="false">MAX(AG91,AH91)</f>
        <v>488</v>
      </c>
      <c r="AQ91" s="7" t="n">
        <f aca="false">MAX(AI91,AJ91)</f>
        <v>0</v>
      </c>
      <c r="AR91" s="7" t="n">
        <f aca="false">MAX(AK91,AL91)</f>
        <v>0</v>
      </c>
      <c r="AT91" s="7" t="str">
        <f aca="false">IF('KNOWIFY TIME'!B91="","",'KNOWIFY TIME'!B91)</f>
        <v/>
      </c>
      <c r="AU91" s="7" t="n">
        <f aca="false">IF(AT91="",0,IF(ISNUMBER('KNOWIFY TIME'!D91),'KNOWIFY TIME'!D91*24,IFERROR(VALUE(LEFT('KNOWIFY TIME'!D91,FIND(":",'KNOWIFY TIME'!D91)-1))+VALUE(MID('KNOWIFY TIME'!D91,FIND(":",'KNOWIFY TIME'!D91)+1,2))/60,0)))</f>
        <v>0</v>
      </c>
      <c r="AV91" s="7" t="n">
        <f aca="false">N('KNOWIFY TIME'!E91)</f>
        <v>0</v>
      </c>
      <c r="AW91" s="7" t="str">
        <f aca="false">IF(AT91="","",IFERROR(INDEX($BD$5:$BD$60,MATCH(AT91,$BC$5:$BC$60,0)),"Unmapped"))</f>
        <v/>
      </c>
    </row>
    <row r="92" customFormat="false" ht="15" hidden="false" customHeight="false" outlineLevel="0" collapsed="false">
      <c r="AA92" s="7" t="str">
        <f aca="false">IF('KNOWIFY PHASES'!A92="","",'KNOWIFY PHASES'!A92)</f>
        <v>COR-15 (P) Sediment interceptor for MSI-10 R2</v>
      </c>
      <c r="AB92" s="7" t="str">
        <f aca="false">IF(AA92="","",IF(LEFT(AA92,4)="P - ","P",IF(LEFT(AA92,4)="H - ","H",IF(LEFT(AA92,5)="AC - ","AC",IF(OR(LEFT(AA92,4)="V - ",LEFT(AA92,7)="HVAC - "),"V","Other")))))</f>
        <v>Other</v>
      </c>
      <c r="AC92" s="7" t="str">
        <f aca="false">IF(AA92="","",IFERROR(LOOKUP(2,1/(($AZ$5:$AZ$60&lt;&gt;"")*ISNUMBER(SEARCH($AZ$5:$AZ$60,AA92))),$BA$5:$BA$60),IF(AB92="Other","Excluded","Unmapped")))</f>
        <v>Excluded</v>
      </c>
      <c r="AD92" s="7" t="n">
        <f aca="false">IF(AA92="","",IF(AND(AB92&lt;&gt;"Other",OR(AND('KNOWIFY PHASES'!B92="Closed",N('KNOWIFY PHASES'!D92)&gt;=0.5),N('KNOWIFY PHASES'!D92)&gt;=1)),1,0))</f>
        <v>0</v>
      </c>
      <c r="AE92" s="7" t="n">
        <f aca="false">N('KNOWIFY PHASES'!L92)</f>
        <v>1900</v>
      </c>
      <c r="AF92" s="7" t="n">
        <f aca="false">N('KNOWIFY PHASES'!K92)</f>
        <v>1649.39</v>
      </c>
      <c r="AG92" s="7" t="n">
        <f aca="false">N('KNOWIFY PHASES'!I92)</f>
        <v>4400</v>
      </c>
      <c r="AH92" s="7" t="n">
        <f aca="false">N('KNOWIFY PHASES'!H92)</f>
        <v>4620</v>
      </c>
      <c r="AI92" s="7" t="n">
        <f aca="false">N('KNOWIFY PHASES'!O92)</f>
        <v>0</v>
      </c>
      <c r="AJ92" s="7" t="n">
        <f aca="false">N('KNOWIFY PHASES'!N92)</f>
        <v>0</v>
      </c>
      <c r="AK92" s="7" t="n">
        <f aca="false">N('KNOWIFY PHASES'!R92)</f>
        <v>0</v>
      </c>
      <c r="AL92" s="7" t="n">
        <f aca="false">N('KNOWIFY PHASES'!Q92)</f>
        <v>0</v>
      </c>
      <c r="AM92" s="7" t="n">
        <f aca="false">N('KNOWIFY PHASES'!F92)</f>
        <v>6300</v>
      </c>
      <c r="AN92" s="7" t="n">
        <f aca="false">N('KNOWIFY PHASES'!E92)</f>
        <v>6269.39</v>
      </c>
      <c r="AO92" s="7" t="n">
        <f aca="false">MAX(AE92,AF92)</f>
        <v>1900</v>
      </c>
      <c r="AP92" s="7" t="n">
        <f aca="false">MAX(AG92,AH92)</f>
        <v>4620</v>
      </c>
      <c r="AQ92" s="7" t="n">
        <f aca="false">MAX(AI92,AJ92)</f>
        <v>0</v>
      </c>
      <c r="AR92" s="7" t="n">
        <f aca="false">MAX(AK92,AL92)</f>
        <v>0</v>
      </c>
      <c r="AT92" s="7" t="str">
        <f aca="false">IF('KNOWIFY TIME'!B92="","",'KNOWIFY TIME'!B92)</f>
        <v/>
      </c>
      <c r="AU92" s="7" t="n">
        <f aca="false">IF(AT92="",0,IF(ISNUMBER('KNOWIFY TIME'!D92),'KNOWIFY TIME'!D92*24,IFERROR(VALUE(LEFT('KNOWIFY TIME'!D92,FIND(":",'KNOWIFY TIME'!D92)-1))+VALUE(MID('KNOWIFY TIME'!D92,FIND(":",'KNOWIFY TIME'!D92)+1,2))/60,0)))</f>
        <v>0</v>
      </c>
      <c r="AV92" s="7" t="n">
        <f aca="false">N('KNOWIFY TIME'!E92)</f>
        <v>0</v>
      </c>
      <c r="AW92" s="7" t="str">
        <f aca="false">IF(AT92="","",IFERROR(INDEX($BD$5:$BD$60,MATCH(AT92,$BC$5:$BC$60,0)),"Unmapped"))</f>
        <v/>
      </c>
    </row>
    <row r="93" customFormat="false" ht="15" hidden="false" customHeight="false" outlineLevel="0" collapsed="false">
      <c r="AA93" s="7" t="str">
        <f aca="false">IF('KNOWIFY PHASES'!A93="","",'KNOWIFY PHASES'!A93)</f>
        <v>CO-16 [COR-11] V - MS1-02 R2 Duct &amp; FD-Trap Primer</v>
      </c>
      <c r="AB93" s="7" t="str">
        <f aca="false">IF(AA93="","",IF(LEFT(AA93,4)="P - ","P",IF(LEFT(AA93,4)="H - ","H",IF(LEFT(AA93,5)="AC - ","AC",IF(OR(LEFT(AA93,4)="V - ",LEFT(AA93,7)="HVAC - "),"V","Other")))))</f>
        <v>Other</v>
      </c>
      <c r="AC93" s="7" t="str">
        <f aca="false">IF(AA93="","",IFERROR(LOOKUP(2,1/(($AZ$5:$AZ$60&lt;&gt;"")*ISNUMBER(SEARCH($AZ$5:$AZ$60,AA93))),$BA$5:$BA$60),IF(AB93="Other","Excluded","Unmapped")))</f>
        <v>Excluded</v>
      </c>
      <c r="AD93" s="7" t="n">
        <f aca="false">IF(AA93="","",IF(AND(AB93&lt;&gt;"Other",OR(AND('KNOWIFY PHASES'!B93="Closed",N('KNOWIFY PHASES'!D93)&gt;=0.5),N('KNOWIFY PHASES'!D93)&gt;=1)),1,0))</f>
        <v>0</v>
      </c>
      <c r="AE93" s="7" t="n">
        <f aca="false">N('KNOWIFY PHASES'!L93)</f>
        <v>900</v>
      </c>
      <c r="AF93" s="7" t="n">
        <f aca="false">N('KNOWIFY PHASES'!K93)</f>
        <v>0</v>
      </c>
      <c r="AG93" s="7" t="n">
        <f aca="false">N('KNOWIFY PHASES'!I93)</f>
        <v>4530</v>
      </c>
      <c r="AH93" s="7" t="n">
        <f aca="false">N('KNOWIFY PHASES'!H93)</f>
        <v>0</v>
      </c>
      <c r="AI93" s="7" t="n">
        <f aca="false">N('KNOWIFY PHASES'!O93)</f>
        <v>0</v>
      </c>
      <c r="AJ93" s="7" t="n">
        <f aca="false">N('KNOWIFY PHASES'!N93)</f>
        <v>0</v>
      </c>
      <c r="AK93" s="7" t="n">
        <f aca="false">N('KNOWIFY PHASES'!R93)</f>
        <v>0</v>
      </c>
      <c r="AL93" s="7" t="n">
        <f aca="false">N('KNOWIFY PHASES'!Q93)</f>
        <v>0</v>
      </c>
      <c r="AM93" s="7" t="n">
        <f aca="false">N('KNOWIFY PHASES'!F93)</f>
        <v>5430</v>
      </c>
      <c r="AN93" s="7" t="n">
        <f aca="false">N('KNOWIFY PHASES'!E93)</f>
        <v>0</v>
      </c>
      <c r="AO93" s="7" t="n">
        <f aca="false">MAX(AE93,AF93)</f>
        <v>900</v>
      </c>
      <c r="AP93" s="7" t="n">
        <f aca="false">MAX(AG93,AH93)</f>
        <v>4530</v>
      </c>
      <c r="AQ93" s="7" t="n">
        <f aca="false">MAX(AI93,AJ93)</f>
        <v>0</v>
      </c>
      <c r="AR93" s="7" t="n">
        <f aca="false">MAX(AK93,AL93)</f>
        <v>0</v>
      </c>
      <c r="AT93" s="7" t="str">
        <f aca="false">IF('KNOWIFY TIME'!B93="","",'KNOWIFY TIME'!B93)</f>
        <v/>
      </c>
      <c r="AU93" s="7" t="n">
        <f aca="false">IF(AT93="",0,IF(ISNUMBER('KNOWIFY TIME'!D93),'KNOWIFY TIME'!D93*24,IFERROR(VALUE(LEFT('KNOWIFY TIME'!D93,FIND(":",'KNOWIFY TIME'!D93)-1))+VALUE(MID('KNOWIFY TIME'!D93,FIND(":",'KNOWIFY TIME'!D93)+1,2))/60,0)))</f>
        <v>0</v>
      </c>
      <c r="AV93" s="7" t="n">
        <f aca="false">N('KNOWIFY TIME'!E93)</f>
        <v>0</v>
      </c>
      <c r="AW93" s="7" t="str">
        <f aca="false">IF(AT93="","",IFERROR(INDEX($BD$5:$BD$60,MATCH(AT93,$BC$5:$BC$60,0)),"Unmapped"))</f>
        <v/>
      </c>
    </row>
    <row r="94" customFormat="false" ht="15" hidden="false" customHeight="false" outlineLevel="0" collapsed="false">
      <c r="AA94" s="7" t="str">
        <f aca="false">IF('KNOWIFY PHASES'!A94="","",'KNOWIFY PHASES'!A94)</f>
        <v/>
      </c>
      <c r="AB94" s="7" t="str">
        <f aca="false">IF(AA94="","",IF(LEFT(AA94,4)="P - ","P",IF(LEFT(AA94,4)="H - ","H",IF(LEFT(AA94,5)="AC - ","AC",IF(OR(LEFT(AA94,4)="V - ",LEFT(AA94,7)="HVAC - "),"V","Other")))))</f>
        <v/>
      </c>
      <c r="AC94" s="7" t="str">
        <f aca="false">IF(AA94="","",IFERROR(LOOKUP(2,1/(($AZ$5:$AZ$60&lt;&gt;"")*ISNUMBER(SEARCH($AZ$5:$AZ$60,AA94))),$BA$5:$BA$60),IF(AB94="Other","Excluded","Unmapped")))</f>
        <v/>
      </c>
      <c r="AD94" s="7" t="str">
        <f aca="false">IF(AA94="","",IF(AND(AB94&lt;&gt;"Other",OR(AND('KNOWIFY PHASES'!B94="Closed",N('KNOWIFY PHASES'!D94)&gt;=0.5),N('KNOWIFY PHASES'!D94)&gt;=1)),1,0))</f>
        <v/>
      </c>
      <c r="AE94" s="7" t="n">
        <f aca="false">N('KNOWIFY PHASES'!L94)</f>
        <v>0</v>
      </c>
      <c r="AF94" s="7" t="n">
        <f aca="false">N('KNOWIFY PHASES'!K94)</f>
        <v>0</v>
      </c>
      <c r="AG94" s="7" t="n">
        <f aca="false">N('KNOWIFY PHASES'!I94)</f>
        <v>0</v>
      </c>
      <c r="AH94" s="7" t="n">
        <f aca="false">N('KNOWIFY PHASES'!H94)</f>
        <v>0</v>
      </c>
      <c r="AI94" s="7" t="n">
        <f aca="false">N('KNOWIFY PHASES'!O94)</f>
        <v>0</v>
      </c>
      <c r="AJ94" s="7" t="n">
        <f aca="false">N('KNOWIFY PHASES'!N94)</f>
        <v>0</v>
      </c>
      <c r="AK94" s="7" t="n">
        <f aca="false">N('KNOWIFY PHASES'!R94)</f>
        <v>0</v>
      </c>
      <c r="AL94" s="7" t="n">
        <f aca="false">N('KNOWIFY PHASES'!Q94)</f>
        <v>0</v>
      </c>
      <c r="AM94" s="7" t="n">
        <f aca="false">N('KNOWIFY PHASES'!F94)</f>
        <v>0</v>
      </c>
      <c r="AN94" s="7" t="n">
        <f aca="false">N('KNOWIFY PHASES'!E94)</f>
        <v>0</v>
      </c>
      <c r="AO94" s="7" t="n">
        <f aca="false">MAX(AE94,AF94)</f>
        <v>0</v>
      </c>
      <c r="AP94" s="7" t="n">
        <f aca="false">MAX(AG94,AH94)</f>
        <v>0</v>
      </c>
      <c r="AQ94" s="7" t="n">
        <f aca="false">MAX(AI94,AJ94)</f>
        <v>0</v>
      </c>
      <c r="AR94" s="7" t="n">
        <f aca="false">MAX(AK94,AL94)</f>
        <v>0</v>
      </c>
      <c r="AT94" s="7" t="str">
        <f aca="false">IF('KNOWIFY TIME'!B94="","",'KNOWIFY TIME'!B94)</f>
        <v/>
      </c>
      <c r="AU94" s="7" t="n">
        <f aca="false">IF(AT94="",0,IF(ISNUMBER('KNOWIFY TIME'!D94),'KNOWIFY TIME'!D94*24,IFERROR(VALUE(LEFT('KNOWIFY TIME'!D94,FIND(":",'KNOWIFY TIME'!D94)-1))+VALUE(MID('KNOWIFY TIME'!D94,FIND(":",'KNOWIFY TIME'!D94)+1,2))/60,0)))</f>
        <v>0</v>
      </c>
      <c r="AV94" s="7" t="n">
        <f aca="false">N('KNOWIFY TIME'!E94)</f>
        <v>0</v>
      </c>
      <c r="AW94" s="7" t="str">
        <f aca="false">IF(AT94="","",IFERROR(INDEX($BD$5:$BD$60,MATCH(AT94,$BC$5:$BC$60,0)),"Unmapped"))</f>
        <v/>
      </c>
    </row>
    <row r="95" customFormat="false" ht="15" hidden="false" customHeight="false" outlineLevel="0" collapsed="false">
      <c r="AA95" s="7" t="str">
        <f aca="false">IF('KNOWIFY PHASES'!A95="","",'KNOWIFY PHASES'!A95)</f>
        <v/>
      </c>
      <c r="AB95" s="7" t="str">
        <f aca="false">IF(AA95="","",IF(LEFT(AA95,4)="P - ","P",IF(LEFT(AA95,4)="H - ","H",IF(LEFT(AA95,5)="AC - ","AC",IF(OR(LEFT(AA95,4)="V - ",LEFT(AA95,7)="HVAC - "),"V","Other")))))</f>
        <v/>
      </c>
      <c r="AC95" s="7" t="str">
        <f aca="false">IF(AA95="","",IFERROR(LOOKUP(2,1/(($AZ$5:$AZ$60&lt;&gt;"")*ISNUMBER(SEARCH($AZ$5:$AZ$60,AA95))),$BA$5:$BA$60),IF(AB95="Other","Excluded","Unmapped")))</f>
        <v/>
      </c>
      <c r="AD95" s="7" t="str">
        <f aca="false">IF(AA95="","",IF(AND(AB95&lt;&gt;"Other",OR(AND('KNOWIFY PHASES'!B95="Closed",N('KNOWIFY PHASES'!D95)&gt;=0.5),N('KNOWIFY PHASES'!D95)&gt;=1)),1,0))</f>
        <v/>
      </c>
      <c r="AE95" s="7" t="n">
        <f aca="false">N('KNOWIFY PHASES'!L95)</f>
        <v>0</v>
      </c>
      <c r="AF95" s="7" t="n">
        <f aca="false">N('KNOWIFY PHASES'!K95)</f>
        <v>0</v>
      </c>
      <c r="AG95" s="7" t="n">
        <f aca="false">N('KNOWIFY PHASES'!I95)</f>
        <v>0</v>
      </c>
      <c r="AH95" s="7" t="n">
        <f aca="false">N('KNOWIFY PHASES'!H95)</f>
        <v>0</v>
      </c>
      <c r="AI95" s="7" t="n">
        <f aca="false">N('KNOWIFY PHASES'!O95)</f>
        <v>0</v>
      </c>
      <c r="AJ95" s="7" t="n">
        <f aca="false">N('KNOWIFY PHASES'!N95)</f>
        <v>0</v>
      </c>
      <c r="AK95" s="7" t="n">
        <f aca="false">N('KNOWIFY PHASES'!R95)</f>
        <v>0</v>
      </c>
      <c r="AL95" s="7" t="n">
        <f aca="false">N('KNOWIFY PHASES'!Q95)</f>
        <v>0</v>
      </c>
      <c r="AM95" s="7" t="n">
        <f aca="false">N('KNOWIFY PHASES'!F95)</f>
        <v>0</v>
      </c>
      <c r="AN95" s="7" t="n">
        <f aca="false">N('KNOWIFY PHASES'!E95)</f>
        <v>0</v>
      </c>
      <c r="AO95" s="7" t="n">
        <f aca="false">MAX(AE95,AF95)</f>
        <v>0</v>
      </c>
      <c r="AP95" s="7" t="n">
        <f aca="false">MAX(AG95,AH95)</f>
        <v>0</v>
      </c>
      <c r="AQ95" s="7" t="n">
        <f aca="false">MAX(AI95,AJ95)</f>
        <v>0</v>
      </c>
      <c r="AR95" s="7" t="n">
        <f aca="false">MAX(AK95,AL95)</f>
        <v>0</v>
      </c>
      <c r="AT95" s="7" t="str">
        <f aca="false">IF('KNOWIFY TIME'!B95="","",'KNOWIFY TIME'!B95)</f>
        <v/>
      </c>
      <c r="AU95" s="7" t="n">
        <f aca="false">IF(AT95="",0,IF(ISNUMBER('KNOWIFY TIME'!D95),'KNOWIFY TIME'!D95*24,IFERROR(VALUE(LEFT('KNOWIFY TIME'!D95,FIND(":",'KNOWIFY TIME'!D95)-1))+VALUE(MID('KNOWIFY TIME'!D95,FIND(":",'KNOWIFY TIME'!D95)+1,2))/60,0)))</f>
        <v>0</v>
      </c>
      <c r="AV95" s="7" t="n">
        <f aca="false">N('KNOWIFY TIME'!E95)</f>
        <v>0</v>
      </c>
      <c r="AW95" s="7" t="str">
        <f aca="false">IF(AT95="","",IFERROR(INDEX($BD$5:$BD$60,MATCH(AT95,$BC$5:$BC$60,0)),"Unmapped"))</f>
        <v/>
      </c>
    </row>
    <row r="96" customFormat="false" ht="15" hidden="false" customHeight="false" outlineLevel="0" collapsed="false">
      <c r="AA96" s="7" t="str">
        <f aca="false">IF('KNOWIFY PHASES'!A96="","",'KNOWIFY PHASES'!A96)</f>
        <v/>
      </c>
      <c r="AB96" s="7" t="str">
        <f aca="false">IF(AA96="","",IF(LEFT(AA96,4)="P - ","P",IF(LEFT(AA96,4)="H - ","H",IF(LEFT(AA96,5)="AC - ","AC",IF(OR(LEFT(AA96,4)="V - ",LEFT(AA96,7)="HVAC - "),"V","Other")))))</f>
        <v/>
      </c>
      <c r="AC96" s="7" t="str">
        <f aca="false">IF(AA96="","",IFERROR(LOOKUP(2,1/(($AZ$5:$AZ$60&lt;&gt;"")*ISNUMBER(SEARCH($AZ$5:$AZ$60,AA96))),$BA$5:$BA$60),IF(AB96="Other","Excluded","Unmapped")))</f>
        <v/>
      </c>
      <c r="AD96" s="7" t="str">
        <f aca="false">IF(AA96="","",IF(AND(AB96&lt;&gt;"Other",OR(AND('KNOWIFY PHASES'!B96="Closed",N('KNOWIFY PHASES'!D96)&gt;=0.5),N('KNOWIFY PHASES'!D96)&gt;=1)),1,0))</f>
        <v/>
      </c>
      <c r="AE96" s="7" t="n">
        <f aca="false">N('KNOWIFY PHASES'!L96)</f>
        <v>0</v>
      </c>
      <c r="AF96" s="7" t="n">
        <f aca="false">N('KNOWIFY PHASES'!K96)</f>
        <v>0</v>
      </c>
      <c r="AG96" s="7" t="n">
        <f aca="false">N('KNOWIFY PHASES'!I96)</f>
        <v>0</v>
      </c>
      <c r="AH96" s="7" t="n">
        <f aca="false">N('KNOWIFY PHASES'!H96)</f>
        <v>0</v>
      </c>
      <c r="AI96" s="7" t="n">
        <f aca="false">N('KNOWIFY PHASES'!O96)</f>
        <v>0</v>
      </c>
      <c r="AJ96" s="7" t="n">
        <f aca="false">N('KNOWIFY PHASES'!N96)</f>
        <v>0</v>
      </c>
      <c r="AK96" s="7" t="n">
        <f aca="false">N('KNOWIFY PHASES'!R96)</f>
        <v>0</v>
      </c>
      <c r="AL96" s="7" t="n">
        <f aca="false">N('KNOWIFY PHASES'!Q96)</f>
        <v>0</v>
      </c>
      <c r="AM96" s="7" t="n">
        <f aca="false">N('KNOWIFY PHASES'!F96)</f>
        <v>0</v>
      </c>
      <c r="AN96" s="7" t="n">
        <f aca="false">N('KNOWIFY PHASES'!E96)</f>
        <v>0</v>
      </c>
      <c r="AO96" s="7" t="n">
        <f aca="false">MAX(AE96,AF96)</f>
        <v>0</v>
      </c>
      <c r="AP96" s="7" t="n">
        <f aca="false">MAX(AG96,AH96)</f>
        <v>0</v>
      </c>
      <c r="AQ96" s="7" t="n">
        <f aca="false">MAX(AI96,AJ96)</f>
        <v>0</v>
      </c>
      <c r="AR96" s="7" t="n">
        <f aca="false">MAX(AK96,AL96)</f>
        <v>0</v>
      </c>
      <c r="AT96" s="7" t="str">
        <f aca="false">IF('KNOWIFY TIME'!B96="","",'KNOWIFY TIME'!B96)</f>
        <v/>
      </c>
      <c r="AU96" s="7" t="n">
        <f aca="false">IF(AT96="",0,IF(ISNUMBER('KNOWIFY TIME'!D96),'KNOWIFY TIME'!D96*24,IFERROR(VALUE(LEFT('KNOWIFY TIME'!D96,FIND(":",'KNOWIFY TIME'!D96)-1))+VALUE(MID('KNOWIFY TIME'!D96,FIND(":",'KNOWIFY TIME'!D96)+1,2))/60,0)))</f>
        <v>0</v>
      </c>
      <c r="AV96" s="7" t="n">
        <f aca="false">N('KNOWIFY TIME'!E96)</f>
        <v>0</v>
      </c>
      <c r="AW96" s="7" t="str">
        <f aca="false">IF(AT96="","",IFERROR(INDEX($BD$5:$BD$60,MATCH(AT96,$BC$5:$BC$60,0)),"Unmapped"))</f>
        <v/>
      </c>
    </row>
    <row r="97" customFormat="false" ht="15" hidden="false" customHeight="false" outlineLevel="0" collapsed="false">
      <c r="AA97" s="7" t="str">
        <f aca="false">IF('KNOWIFY PHASES'!A97="","",'KNOWIFY PHASES'!A97)</f>
        <v/>
      </c>
      <c r="AB97" s="7" t="str">
        <f aca="false">IF(AA97="","",IF(LEFT(AA97,4)="P - ","P",IF(LEFT(AA97,4)="H - ","H",IF(LEFT(AA97,5)="AC - ","AC",IF(OR(LEFT(AA97,4)="V - ",LEFT(AA97,7)="HVAC - "),"V","Other")))))</f>
        <v/>
      </c>
      <c r="AC97" s="7" t="str">
        <f aca="false">IF(AA97="","",IFERROR(LOOKUP(2,1/(($AZ$5:$AZ$60&lt;&gt;"")*ISNUMBER(SEARCH($AZ$5:$AZ$60,AA97))),$BA$5:$BA$60),IF(AB97="Other","Excluded","Unmapped")))</f>
        <v/>
      </c>
      <c r="AD97" s="7" t="str">
        <f aca="false">IF(AA97="","",IF(AND(AB97&lt;&gt;"Other",OR(AND('KNOWIFY PHASES'!B97="Closed",N('KNOWIFY PHASES'!D97)&gt;=0.5),N('KNOWIFY PHASES'!D97)&gt;=1)),1,0))</f>
        <v/>
      </c>
      <c r="AE97" s="7" t="n">
        <f aca="false">N('KNOWIFY PHASES'!L97)</f>
        <v>0</v>
      </c>
      <c r="AF97" s="7" t="n">
        <f aca="false">N('KNOWIFY PHASES'!K97)</f>
        <v>0</v>
      </c>
      <c r="AG97" s="7" t="n">
        <f aca="false">N('KNOWIFY PHASES'!I97)</f>
        <v>0</v>
      </c>
      <c r="AH97" s="7" t="n">
        <f aca="false">N('KNOWIFY PHASES'!H97)</f>
        <v>0</v>
      </c>
      <c r="AI97" s="7" t="n">
        <f aca="false">N('KNOWIFY PHASES'!O97)</f>
        <v>0</v>
      </c>
      <c r="AJ97" s="7" t="n">
        <f aca="false">N('KNOWIFY PHASES'!N97)</f>
        <v>0</v>
      </c>
      <c r="AK97" s="7" t="n">
        <f aca="false">N('KNOWIFY PHASES'!R97)</f>
        <v>0</v>
      </c>
      <c r="AL97" s="7" t="n">
        <f aca="false">N('KNOWIFY PHASES'!Q97)</f>
        <v>0</v>
      </c>
      <c r="AM97" s="7" t="n">
        <f aca="false">N('KNOWIFY PHASES'!F97)</f>
        <v>0</v>
      </c>
      <c r="AN97" s="7" t="n">
        <f aca="false">N('KNOWIFY PHASES'!E97)</f>
        <v>0</v>
      </c>
      <c r="AO97" s="7" t="n">
        <f aca="false">MAX(AE97,AF97)</f>
        <v>0</v>
      </c>
      <c r="AP97" s="7" t="n">
        <f aca="false">MAX(AG97,AH97)</f>
        <v>0</v>
      </c>
      <c r="AQ97" s="7" t="n">
        <f aca="false">MAX(AI97,AJ97)</f>
        <v>0</v>
      </c>
      <c r="AR97" s="7" t="n">
        <f aca="false">MAX(AK97,AL97)</f>
        <v>0</v>
      </c>
      <c r="AT97" s="7" t="str">
        <f aca="false">IF('KNOWIFY TIME'!B97="","",'KNOWIFY TIME'!B97)</f>
        <v/>
      </c>
      <c r="AU97" s="7" t="n">
        <f aca="false">IF(AT97="",0,IF(ISNUMBER('KNOWIFY TIME'!D97),'KNOWIFY TIME'!D97*24,IFERROR(VALUE(LEFT('KNOWIFY TIME'!D97,FIND(":",'KNOWIFY TIME'!D97)-1))+VALUE(MID('KNOWIFY TIME'!D97,FIND(":",'KNOWIFY TIME'!D97)+1,2))/60,0)))</f>
        <v>0</v>
      </c>
      <c r="AV97" s="7" t="n">
        <f aca="false">N('KNOWIFY TIME'!E97)</f>
        <v>0</v>
      </c>
      <c r="AW97" s="7" t="str">
        <f aca="false">IF(AT97="","",IFERROR(INDEX($BD$5:$BD$60,MATCH(AT97,$BC$5:$BC$60,0)),"Unmapped"))</f>
        <v/>
      </c>
    </row>
    <row r="98" customFormat="false" ht="15" hidden="false" customHeight="false" outlineLevel="0" collapsed="false">
      <c r="AA98" s="7" t="str">
        <f aca="false">IF('KNOWIFY PHASES'!A98="","",'KNOWIFY PHASES'!A98)</f>
        <v/>
      </c>
      <c r="AB98" s="7" t="str">
        <f aca="false">IF(AA98="","",IF(LEFT(AA98,4)="P - ","P",IF(LEFT(AA98,4)="H - ","H",IF(LEFT(AA98,5)="AC - ","AC",IF(OR(LEFT(AA98,4)="V - ",LEFT(AA98,7)="HVAC - "),"V","Other")))))</f>
        <v/>
      </c>
      <c r="AC98" s="7" t="str">
        <f aca="false">IF(AA98="","",IFERROR(LOOKUP(2,1/(($AZ$5:$AZ$60&lt;&gt;"")*ISNUMBER(SEARCH($AZ$5:$AZ$60,AA98))),$BA$5:$BA$60),IF(AB98="Other","Excluded","Unmapped")))</f>
        <v/>
      </c>
      <c r="AD98" s="7" t="str">
        <f aca="false">IF(AA98="","",IF(AND(AB98&lt;&gt;"Other",OR(AND('KNOWIFY PHASES'!B98="Closed",N('KNOWIFY PHASES'!D98)&gt;=0.5),N('KNOWIFY PHASES'!D98)&gt;=1)),1,0))</f>
        <v/>
      </c>
      <c r="AE98" s="7" t="n">
        <f aca="false">N('KNOWIFY PHASES'!L98)</f>
        <v>0</v>
      </c>
      <c r="AF98" s="7" t="n">
        <f aca="false">N('KNOWIFY PHASES'!K98)</f>
        <v>0</v>
      </c>
      <c r="AG98" s="7" t="n">
        <f aca="false">N('KNOWIFY PHASES'!I98)</f>
        <v>0</v>
      </c>
      <c r="AH98" s="7" t="n">
        <f aca="false">N('KNOWIFY PHASES'!H98)</f>
        <v>0</v>
      </c>
      <c r="AI98" s="7" t="n">
        <f aca="false">N('KNOWIFY PHASES'!O98)</f>
        <v>0</v>
      </c>
      <c r="AJ98" s="7" t="n">
        <f aca="false">N('KNOWIFY PHASES'!N98)</f>
        <v>0</v>
      </c>
      <c r="AK98" s="7" t="n">
        <f aca="false">N('KNOWIFY PHASES'!R98)</f>
        <v>0</v>
      </c>
      <c r="AL98" s="7" t="n">
        <f aca="false">N('KNOWIFY PHASES'!Q98)</f>
        <v>0</v>
      </c>
      <c r="AM98" s="7" t="n">
        <f aca="false">N('KNOWIFY PHASES'!F98)</f>
        <v>0</v>
      </c>
      <c r="AN98" s="7" t="n">
        <f aca="false">N('KNOWIFY PHASES'!E98)</f>
        <v>0</v>
      </c>
      <c r="AO98" s="7" t="n">
        <f aca="false">MAX(AE98,AF98)</f>
        <v>0</v>
      </c>
      <c r="AP98" s="7" t="n">
        <f aca="false">MAX(AG98,AH98)</f>
        <v>0</v>
      </c>
      <c r="AQ98" s="7" t="n">
        <f aca="false">MAX(AI98,AJ98)</f>
        <v>0</v>
      </c>
      <c r="AR98" s="7" t="n">
        <f aca="false">MAX(AK98,AL98)</f>
        <v>0</v>
      </c>
      <c r="AT98" s="7" t="str">
        <f aca="false">IF('KNOWIFY TIME'!B98="","",'KNOWIFY TIME'!B98)</f>
        <v/>
      </c>
      <c r="AU98" s="7" t="n">
        <f aca="false">IF(AT98="",0,IF(ISNUMBER('KNOWIFY TIME'!D98),'KNOWIFY TIME'!D98*24,IFERROR(VALUE(LEFT('KNOWIFY TIME'!D98,FIND(":",'KNOWIFY TIME'!D98)-1))+VALUE(MID('KNOWIFY TIME'!D98,FIND(":",'KNOWIFY TIME'!D98)+1,2))/60,0)))</f>
        <v>0</v>
      </c>
      <c r="AV98" s="7" t="n">
        <f aca="false">N('KNOWIFY TIME'!E98)</f>
        <v>0</v>
      </c>
      <c r="AW98" s="7" t="str">
        <f aca="false">IF(AT98="","",IFERROR(INDEX($BD$5:$BD$60,MATCH(AT98,$BC$5:$BC$60,0)),"Unmapped"))</f>
        <v/>
      </c>
    </row>
    <row r="99" customFormat="false" ht="15" hidden="false" customHeight="false" outlineLevel="0" collapsed="false">
      <c r="AA99" s="7" t="str">
        <f aca="false">IF('KNOWIFY PHASES'!A99="","",'KNOWIFY PHASES'!A99)</f>
        <v/>
      </c>
      <c r="AB99" s="7" t="str">
        <f aca="false">IF(AA99="","",IF(LEFT(AA99,4)="P - ","P",IF(LEFT(AA99,4)="H - ","H",IF(LEFT(AA99,5)="AC - ","AC",IF(OR(LEFT(AA99,4)="V - ",LEFT(AA99,7)="HVAC - "),"V","Other")))))</f>
        <v/>
      </c>
      <c r="AC99" s="7" t="str">
        <f aca="false">IF(AA99="","",IFERROR(LOOKUP(2,1/(($AZ$5:$AZ$60&lt;&gt;"")*ISNUMBER(SEARCH($AZ$5:$AZ$60,AA99))),$BA$5:$BA$60),IF(AB99="Other","Excluded","Unmapped")))</f>
        <v/>
      </c>
      <c r="AD99" s="7" t="str">
        <f aca="false">IF(AA99="","",IF(AND(AB99&lt;&gt;"Other",OR(AND('KNOWIFY PHASES'!B99="Closed",N('KNOWIFY PHASES'!D99)&gt;=0.5),N('KNOWIFY PHASES'!D99)&gt;=1)),1,0))</f>
        <v/>
      </c>
      <c r="AE99" s="7" t="n">
        <f aca="false">N('KNOWIFY PHASES'!L99)</f>
        <v>0</v>
      </c>
      <c r="AF99" s="7" t="n">
        <f aca="false">N('KNOWIFY PHASES'!K99)</f>
        <v>0</v>
      </c>
      <c r="AG99" s="7" t="n">
        <f aca="false">N('KNOWIFY PHASES'!I99)</f>
        <v>0</v>
      </c>
      <c r="AH99" s="7" t="n">
        <f aca="false">N('KNOWIFY PHASES'!H99)</f>
        <v>0</v>
      </c>
      <c r="AI99" s="7" t="n">
        <f aca="false">N('KNOWIFY PHASES'!O99)</f>
        <v>0</v>
      </c>
      <c r="AJ99" s="7" t="n">
        <f aca="false">N('KNOWIFY PHASES'!N99)</f>
        <v>0</v>
      </c>
      <c r="AK99" s="7" t="n">
        <f aca="false">N('KNOWIFY PHASES'!R99)</f>
        <v>0</v>
      </c>
      <c r="AL99" s="7" t="n">
        <f aca="false">N('KNOWIFY PHASES'!Q99)</f>
        <v>0</v>
      </c>
      <c r="AM99" s="7" t="n">
        <f aca="false">N('KNOWIFY PHASES'!F99)</f>
        <v>0</v>
      </c>
      <c r="AN99" s="7" t="n">
        <f aca="false">N('KNOWIFY PHASES'!E99)</f>
        <v>0</v>
      </c>
      <c r="AO99" s="7" t="n">
        <f aca="false">MAX(AE99,AF99)</f>
        <v>0</v>
      </c>
      <c r="AP99" s="7" t="n">
        <f aca="false">MAX(AG99,AH99)</f>
        <v>0</v>
      </c>
      <c r="AQ99" s="7" t="n">
        <f aca="false">MAX(AI99,AJ99)</f>
        <v>0</v>
      </c>
      <c r="AR99" s="7" t="n">
        <f aca="false">MAX(AK99,AL99)</f>
        <v>0</v>
      </c>
      <c r="AT99" s="7" t="str">
        <f aca="false">IF('KNOWIFY TIME'!B99="","",'KNOWIFY TIME'!B99)</f>
        <v/>
      </c>
      <c r="AU99" s="7" t="n">
        <f aca="false">IF(AT99="",0,IF(ISNUMBER('KNOWIFY TIME'!D99),'KNOWIFY TIME'!D99*24,IFERROR(VALUE(LEFT('KNOWIFY TIME'!D99,FIND(":",'KNOWIFY TIME'!D99)-1))+VALUE(MID('KNOWIFY TIME'!D99,FIND(":",'KNOWIFY TIME'!D99)+1,2))/60,0)))</f>
        <v>0</v>
      </c>
      <c r="AV99" s="7" t="n">
        <f aca="false">N('KNOWIFY TIME'!E99)</f>
        <v>0</v>
      </c>
      <c r="AW99" s="7" t="str">
        <f aca="false">IF(AT99="","",IFERROR(INDEX($BD$5:$BD$60,MATCH(AT99,$BC$5:$BC$60,0)),"Unmapped"))</f>
        <v/>
      </c>
    </row>
    <row r="100" customFormat="false" ht="15" hidden="false" customHeight="false" outlineLevel="0" collapsed="false">
      <c r="AA100" s="7" t="str">
        <f aca="false">IF('KNOWIFY PHASES'!A100="","",'KNOWIFY PHASES'!A100)</f>
        <v/>
      </c>
      <c r="AB100" s="7" t="str">
        <f aca="false">IF(AA100="","",IF(LEFT(AA100,4)="P - ","P",IF(LEFT(AA100,4)="H - ","H",IF(LEFT(AA100,5)="AC - ","AC",IF(OR(LEFT(AA100,4)="V - ",LEFT(AA100,7)="HVAC - "),"V","Other")))))</f>
        <v/>
      </c>
      <c r="AC100" s="7" t="str">
        <f aca="false">IF(AA100="","",IFERROR(LOOKUP(2,1/(($AZ$5:$AZ$60&lt;&gt;"")*ISNUMBER(SEARCH($AZ$5:$AZ$60,AA100))),$BA$5:$BA$60),IF(AB100="Other","Excluded","Unmapped")))</f>
        <v/>
      </c>
      <c r="AD100" s="7" t="str">
        <f aca="false">IF(AA100="","",IF(AND(AB100&lt;&gt;"Other",OR(AND('KNOWIFY PHASES'!B100="Closed",N('KNOWIFY PHASES'!D100)&gt;=0.5),N('KNOWIFY PHASES'!D100)&gt;=1)),1,0))</f>
        <v/>
      </c>
      <c r="AE100" s="7" t="n">
        <f aca="false">N('KNOWIFY PHASES'!L100)</f>
        <v>0</v>
      </c>
      <c r="AF100" s="7" t="n">
        <f aca="false">N('KNOWIFY PHASES'!K100)</f>
        <v>0</v>
      </c>
      <c r="AG100" s="7" t="n">
        <f aca="false">N('KNOWIFY PHASES'!I100)</f>
        <v>0</v>
      </c>
      <c r="AH100" s="7" t="n">
        <f aca="false">N('KNOWIFY PHASES'!H100)</f>
        <v>0</v>
      </c>
      <c r="AI100" s="7" t="n">
        <f aca="false">N('KNOWIFY PHASES'!O100)</f>
        <v>0</v>
      </c>
      <c r="AJ100" s="7" t="n">
        <f aca="false">N('KNOWIFY PHASES'!N100)</f>
        <v>0</v>
      </c>
      <c r="AK100" s="7" t="n">
        <f aca="false">N('KNOWIFY PHASES'!R100)</f>
        <v>0</v>
      </c>
      <c r="AL100" s="7" t="n">
        <f aca="false">N('KNOWIFY PHASES'!Q100)</f>
        <v>0</v>
      </c>
      <c r="AM100" s="7" t="n">
        <f aca="false">N('KNOWIFY PHASES'!F100)</f>
        <v>0</v>
      </c>
      <c r="AN100" s="7" t="n">
        <f aca="false">N('KNOWIFY PHASES'!E100)</f>
        <v>0</v>
      </c>
      <c r="AO100" s="7" t="n">
        <f aca="false">MAX(AE100,AF100)</f>
        <v>0</v>
      </c>
      <c r="AP100" s="7" t="n">
        <f aca="false">MAX(AG100,AH100)</f>
        <v>0</v>
      </c>
      <c r="AQ100" s="7" t="n">
        <f aca="false">MAX(AI100,AJ100)</f>
        <v>0</v>
      </c>
      <c r="AR100" s="7" t="n">
        <f aca="false">MAX(AK100,AL100)</f>
        <v>0</v>
      </c>
      <c r="AT100" s="7" t="str">
        <f aca="false">IF('KNOWIFY TIME'!B100="","",'KNOWIFY TIME'!B100)</f>
        <v/>
      </c>
      <c r="AU100" s="7" t="n">
        <f aca="false">IF(AT100="",0,IF(ISNUMBER('KNOWIFY TIME'!D100),'KNOWIFY TIME'!D100*24,IFERROR(VALUE(LEFT('KNOWIFY TIME'!D100,FIND(":",'KNOWIFY TIME'!D100)-1))+VALUE(MID('KNOWIFY TIME'!D100,FIND(":",'KNOWIFY TIME'!D100)+1,2))/60,0)))</f>
        <v>0</v>
      </c>
      <c r="AV100" s="7" t="n">
        <f aca="false">N('KNOWIFY TIME'!E100)</f>
        <v>0</v>
      </c>
      <c r="AW100" s="7" t="str">
        <f aca="false">IF(AT100="","",IFERROR(INDEX($BD$5:$BD$60,MATCH(AT100,$BC$5:$BC$60,0)),"Unmapped"))</f>
        <v/>
      </c>
    </row>
    <row r="101" customFormat="false" ht="15" hidden="false" customHeight="false" outlineLevel="0" collapsed="false">
      <c r="AA101" s="7" t="str">
        <f aca="false">IF('KNOWIFY PHASES'!A101="","",'KNOWIFY PHASES'!A101)</f>
        <v/>
      </c>
      <c r="AB101" s="7" t="str">
        <f aca="false">IF(AA101="","",IF(LEFT(AA101,4)="P - ","P",IF(LEFT(AA101,4)="H - ","H",IF(LEFT(AA101,5)="AC - ","AC",IF(OR(LEFT(AA101,4)="V - ",LEFT(AA101,7)="HVAC - "),"V","Other")))))</f>
        <v/>
      </c>
      <c r="AC101" s="7" t="str">
        <f aca="false">IF(AA101="","",IFERROR(LOOKUP(2,1/(($AZ$5:$AZ$60&lt;&gt;"")*ISNUMBER(SEARCH($AZ$5:$AZ$60,AA101))),$BA$5:$BA$60),IF(AB101="Other","Excluded","Unmapped")))</f>
        <v/>
      </c>
      <c r="AD101" s="7" t="str">
        <f aca="false">IF(AA101="","",IF(AND(AB101&lt;&gt;"Other",OR(AND('KNOWIFY PHASES'!B101="Closed",N('KNOWIFY PHASES'!D101)&gt;=0.5),N('KNOWIFY PHASES'!D101)&gt;=1)),1,0))</f>
        <v/>
      </c>
      <c r="AE101" s="7" t="n">
        <f aca="false">N('KNOWIFY PHASES'!L101)</f>
        <v>0</v>
      </c>
      <c r="AF101" s="7" t="n">
        <f aca="false">N('KNOWIFY PHASES'!K101)</f>
        <v>0</v>
      </c>
      <c r="AG101" s="7" t="n">
        <f aca="false">N('KNOWIFY PHASES'!I101)</f>
        <v>0</v>
      </c>
      <c r="AH101" s="7" t="n">
        <f aca="false">N('KNOWIFY PHASES'!H101)</f>
        <v>0</v>
      </c>
      <c r="AI101" s="7" t="n">
        <f aca="false">N('KNOWIFY PHASES'!O101)</f>
        <v>0</v>
      </c>
      <c r="AJ101" s="7" t="n">
        <f aca="false">N('KNOWIFY PHASES'!N101)</f>
        <v>0</v>
      </c>
      <c r="AK101" s="7" t="n">
        <f aca="false">N('KNOWIFY PHASES'!R101)</f>
        <v>0</v>
      </c>
      <c r="AL101" s="7" t="n">
        <f aca="false">N('KNOWIFY PHASES'!Q101)</f>
        <v>0</v>
      </c>
      <c r="AM101" s="7" t="n">
        <f aca="false">N('KNOWIFY PHASES'!F101)</f>
        <v>0</v>
      </c>
      <c r="AN101" s="7" t="n">
        <f aca="false">N('KNOWIFY PHASES'!E101)</f>
        <v>0</v>
      </c>
      <c r="AO101" s="7" t="n">
        <f aca="false">MAX(AE101,AF101)</f>
        <v>0</v>
      </c>
      <c r="AP101" s="7" t="n">
        <f aca="false">MAX(AG101,AH101)</f>
        <v>0</v>
      </c>
      <c r="AQ101" s="7" t="n">
        <f aca="false">MAX(AI101,AJ101)</f>
        <v>0</v>
      </c>
      <c r="AR101" s="7" t="n">
        <f aca="false">MAX(AK101,AL101)</f>
        <v>0</v>
      </c>
      <c r="AT101" s="7" t="str">
        <f aca="false">IF('KNOWIFY TIME'!B101="","",'KNOWIFY TIME'!B101)</f>
        <v/>
      </c>
      <c r="AU101" s="7" t="n">
        <f aca="false">IF(AT101="",0,IF(ISNUMBER('KNOWIFY TIME'!D101),'KNOWIFY TIME'!D101*24,IFERROR(VALUE(LEFT('KNOWIFY TIME'!D101,FIND(":",'KNOWIFY TIME'!D101)-1))+VALUE(MID('KNOWIFY TIME'!D101,FIND(":",'KNOWIFY TIME'!D101)+1,2))/60,0)))</f>
        <v>0</v>
      </c>
      <c r="AV101" s="7" t="n">
        <f aca="false">N('KNOWIFY TIME'!E101)</f>
        <v>0</v>
      </c>
      <c r="AW101" s="7" t="str">
        <f aca="false">IF(AT101="","",IFERROR(INDEX($BD$5:$BD$60,MATCH(AT101,$BC$5:$BC$60,0)),"Unmapped"))</f>
        <v/>
      </c>
    </row>
    <row r="102" customFormat="false" ht="15" hidden="false" customHeight="false" outlineLevel="0" collapsed="false">
      <c r="AA102" s="7" t="str">
        <f aca="false">IF('KNOWIFY PHASES'!A102="","",'KNOWIFY PHASES'!A102)</f>
        <v/>
      </c>
      <c r="AB102" s="7" t="str">
        <f aca="false">IF(AA102="","",IF(LEFT(AA102,4)="P - ","P",IF(LEFT(AA102,4)="H - ","H",IF(LEFT(AA102,5)="AC - ","AC",IF(OR(LEFT(AA102,4)="V - ",LEFT(AA102,7)="HVAC - "),"V","Other")))))</f>
        <v/>
      </c>
      <c r="AC102" s="7" t="str">
        <f aca="false">IF(AA102="","",IFERROR(LOOKUP(2,1/(($AZ$5:$AZ$60&lt;&gt;"")*ISNUMBER(SEARCH($AZ$5:$AZ$60,AA102))),$BA$5:$BA$60),IF(AB102="Other","Excluded","Unmapped")))</f>
        <v/>
      </c>
      <c r="AD102" s="7" t="str">
        <f aca="false">IF(AA102="","",IF(AND(AB102&lt;&gt;"Other",OR(AND('KNOWIFY PHASES'!B102="Closed",N('KNOWIFY PHASES'!D102)&gt;=0.5),N('KNOWIFY PHASES'!D102)&gt;=1)),1,0))</f>
        <v/>
      </c>
      <c r="AE102" s="7" t="n">
        <f aca="false">N('KNOWIFY PHASES'!L102)</f>
        <v>0</v>
      </c>
      <c r="AF102" s="7" t="n">
        <f aca="false">N('KNOWIFY PHASES'!K102)</f>
        <v>0</v>
      </c>
      <c r="AG102" s="7" t="n">
        <f aca="false">N('KNOWIFY PHASES'!I102)</f>
        <v>0</v>
      </c>
      <c r="AH102" s="7" t="n">
        <f aca="false">N('KNOWIFY PHASES'!H102)</f>
        <v>0</v>
      </c>
      <c r="AI102" s="7" t="n">
        <f aca="false">N('KNOWIFY PHASES'!O102)</f>
        <v>0</v>
      </c>
      <c r="AJ102" s="7" t="n">
        <f aca="false">N('KNOWIFY PHASES'!N102)</f>
        <v>0</v>
      </c>
      <c r="AK102" s="7" t="n">
        <f aca="false">N('KNOWIFY PHASES'!R102)</f>
        <v>0</v>
      </c>
      <c r="AL102" s="7" t="n">
        <f aca="false">N('KNOWIFY PHASES'!Q102)</f>
        <v>0</v>
      </c>
      <c r="AM102" s="7" t="n">
        <f aca="false">N('KNOWIFY PHASES'!F102)</f>
        <v>0</v>
      </c>
      <c r="AN102" s="7" t="n">
        <f aca="false">N('KNOWIFY PHASES'!E102)</f>
        <v>0</v>
      </c>
      <c r="AO102" s="7" t="n">
        <f aca="false">MAX(AE102,AF102)</f>
        <v>0</v>
      </c>
      <c r="AP102" s="7" t="n">
        <f aca="false">MAX(AG102,AH102)</f>
        <v>0</v>
      </c>
      <c r="AQ102" s="7" t="n">
        <f aca="false">MAX(AI102,AJ102)</f>
        <v>0</v>
      </c>
      <c r="AR102" s="7" t="n">
        <f aca="false">MAX(AK102,AL102)</f>
        <v>0</v>
      </c>
      <c r="AT102" s="7" t="str">
        <f aca="false">IF('KNOWIFY TIME'!B102="","",'KNOWIFY TIME'!B102)</f>
        <v/>
      </c>
      <c r="AU102" s="7" t="n">
        <f aca="false">IF(AT102="",0,IF(ISNUMBER('KNOWIFY TIME'!D102),'KNOWIFY TIME'!D102*24,IFERROR(VALUE(LEFT('KNOWIFY TIME'!D102,FIND(":",'KNOWIFY TIME'!D102)-1))+VALUE(MID('KNOWIFY TIME'!D102,FIND(":",'KNOWIFY TIME'!D102)+1,2))/60,0)))</f>
        <v>0</v>
      </c>
      <c r="AV102" s="7" t="n">
        <f aca="false">N('KNOWIFY TIME'!E102)</f>
        <v>0</v>
      </c>
      <c r="AW102" s="7" t="str">
        <f aca="false">IF(AT102="","",IFERROR(INDEX($BD$5:$BD$60,MATCH(AT102,$BC$5:$BC$60,0)),"Unmapped"))</f>
        <v/>
      </c>
    </row>
    <row r="103" customFormat="false" ht="15" hidden="false" customHeight="false" outlineLevel="0" collapsed="false">
      <c r="AA103" s="7" t="str">
        <f aca="false">IF('KNOWIFY PHASES'!A103="","",'KNOWIFY PHASES'!A103)</f>
        <v/>
      </c>
      <c r="AB103" s="7" t="str">
        <f aca="false">IF(AA103="","",IF(LEFT(AA103,4)="P - ","P",IF(LEFT(AA103,4)="H - ","H",IF(LEFT(AA103,5)="AC - ","AC",IF(OR(LEFT(AA103,4)="V - ",LEFT(AA103,7)="HVAC - "),"V","Other")))))</f>
        <v/>
      </c>
      <c r="AC103" s="7" t="str">
        <f aca="false">IF(AA103="","",IFERROR(LOOKUP(2,1/(($AZ$5:$AZ$60&lt;&gt;"")*ISNUMBER(SEARCH($AZ$5:$AZ$60,AA103))),$BA$5:$BA$60),IF(AB103="Other","Excluded","Unmapped")))</f>
        <v/>
      </c>
      <c r="AD103" s="7" t="str">
        <f aca="false">IF(AA103="","",IF(AND(AB103&lt;&gt;"Other",OR(AND('KNOWIFY PHASES'!B103="Closed",N('KNOWIFY PHASES'!D103)&gt;=0.5),N('KNOWIFY PHASES'!D103)&gt;=1)),1,0))</f>
        <v/>
      </c>
      <c r="AE103" s="7" t="n">
        <f aca="false">N('KNOWIFY PHASES'!L103)</f>
        <v>0</v>
      </c>
      <c r="AF103" s="7" t="n">
        <f aca="false">N('KNOWIFY PHASES'!K103)</f>
        <v>0</v>
      </c>
      <c r="AG103" s="7" t="n">
        <f aca="false">N('KNOWIFY PHASES'!I103)</f>
        <v>0</v>
      </c>
      <c r="AH103" s="7" t="n">
        <f aca="false">N('KNOWIFY PHASES'!H103)</f>
        <v>0</v>
      </c>
      <c r="AI103" s="7" t="n">
        <f aca="false">N('KNOWIFY PHASES'!O103)</f>
        <v>0</v>
      </c>
      <c r="AJ103" s="7" t="n">
        <f aca="false">N('KNOWIFY PHASES'!N103)</f>
        <v>0</v>
      </c>
      <c r="AK103" s="7" t="n">
        <f aca="false">N('KNOWIFY PHASES'!R103)</f>
        <v>0</v>
      </c>
      <c r="AL103" s="7" t="n">
        <f aca="false">N('KNOWIFY PHASES'!Q103)</f>
        <v>0</v>
      </c>
      <c r="AM103" s="7" t="n">
        <f aca="false">N('KNOWIFY PHASES'!F103)</f>
        <v>0</v>
      </c>
      <c r="AN103" s="7" t="n">
        <f aca="false">N('KNOWIFY PHASES'!E103)</f>
        <v>0</v>
      </c>
      <c r="AO103" s="7" t="n">
        <f aca="false">MAX(AE103,AF103)</f>
        <v>0</v>
      </c>
      <c r="AP103" s="7" t="n">
        <f aca="false">MAX(AG103,AH103)</f>
        <v>0</v>
      </c>
      <c r="AQ103" s="7" t="n">
        <f aca="false">MAX(AI103,AJ103)</f>
        <v>0</v>
      </c>
      <c r="AR103" s="7" t="n">
        <f aca="false">MAX(AK103,AL103)</f>
        <v>0</v>
      </c>
      <c r="AT103" s="7" t="str">
        <f aca="false">IF('KNOWIFY TIME'!B103="","",'KNOWIFY TIME'!B103)</f>
        <v/>
      </c>
      <c r="AU103" s="7" t="n">
        <f aca="false">IF(AT103="",0,IF(ISNUMBER('KNOWIFY TIME'!D103),'KNOWIFY TIME'!D103*24,IFERROR(VALUE(LEFT('KNOWIFY TIME'!D103,FIND(":",'KNOWIFY TIME'!D103)-1))+VALUE(MID('KNOWIFY TIME'!D103,FIND(":",'KNOWIFY TIME'!D103)+1,2))/60,0)))</f>
        <v>0</v>
      </c>
      <c r="AV103" s="7" t="n">
        <f aca="false">N('KNOWIFY TIME'!E103)</f>
        <v>0</v>
      </c>
      <c r="AW103" s="7" t="str">
        <f aca="false">IF(AT103="","",IFERROR(INDEX($BD$5:$BD$60,MATCH(AT103,$BC$5:$BC$60,0)),"Unmapped"))</f>
        <v/>
      </c>
    </row>
    <row r="104" customFormat="false" ht="15" hidden="false" customHeight="false" outlineLevel="0" collapsed="false">
      <c r="AA104" s="7" t="str">
        <f aca="false">IF('KNOWIFY PHASES'!A104="","",'KNOWIFY PHASES'!A104)</f>
        <v/>
      </c>
      <c r="AB104" s="7" t="str">
        <f aca="false">IF(AA104="","",IF(LEFT(AA104,4)="P - ","P",IF(LEFT(AA104,4)="H - ","H",IF(LEFT(AA104,5)="AC - ","AC",IF(OR(LEFT(AA104,4)="V - ",LEFT(AA104,7)="HVAC - "),"V","Other")))))</f>
        <v/>
      </c>
      <c r="AC104" s="7" t="str">
        <f aca="false">IF(AA104="","",IFERROR(LOOKUP(2,1/(($AZ$5:$AZ$60&lt;&gt;"")*ISNUMBER(SEARCH($AZ$5:$AZ$60,AA104))),$BA$5:$BA$60),IF(AB104="Other","Excluded","Unmapped")))</f>
        <v/>
      </c>
      <c r="AD104" s="7" t="str">
        <f aca="false">IF(AA104="","",IF(AND(AB104&lt;&gt;"Other",OR(AND('KNOWIFY PHASES'!B104="Closed",N('KNOWIFY PHASES'!D104)&gt;=0.5),N('KNOWIFY PHASES'!D104)&gt;=1)),1,0))</f>
        <v/>
      </c>
      <c r="AE104" s="7" t="n">
        <f aca="false">N('KNOWIFY PHASES'!L104)</f>
        <v>0</v>
      </c>
      <c r="AF104" s="7" t="n">
        <f aca="false">N('KNOWIFY PHASES'!K104)</f>
        <v>0</v>
      </c>
      <c r="AG104" s="7" t="n">
        <f aca="false">N('KNOWIFY PHASES'!I104)</f>
        <v>0</v>
      </c>
      <c r="AH104" s="7" t="n">
        <f aca="false">N('KNOWIFY PHASES'!H104)</f>
        <v>0</v>
      </c>
      <c r="AI104" s="7" t="n">
        <f aca="false">N('KNOWIFY PHASES'!O104)</f>
        <v>0</v>
      </c>
      <c r="AJ104" s="7" t="n">
        <f aca="false">N('KNOWIFY PHASES'!N104)</f>
        <v>0</v>
      </c>
      <c r="AK104" s="7" t="n">
        <f aca="false">N('KNOWIFY PHASES'!R104)</f>
        <v>0</v>
      </c>
      <c r="AL104" s="7" t="n">
        <f aca="false">N('KNOWIFY PHASES'!Q104)</f>
        <v>0</v>
      </c>
      <c r="AM104" s="7" t="n">
        <f aca="false">N('KNOWIFY PHASES'!F104)</f>
        <v>0</v>
      </c>
      <c r="AN104" s="7" t="n">
        <f aca="false">N('KNOWIFY PHASES'!E104)</f>
        <v>0</v>
      </c>
      <c r="AO104" s="7" t="n">
        <f aca="false">MAX(AE104,AF104)</f>
        <v>0</v>
      </c>
      <c r="AP104" s="7" t="n">
        <f aca="false">MAX(AG104,AH104)</f>
        <v>0</v>
      </c>
      <c r="AQ104" s="7" t="n">
        <f aca="false">MAX(AI104,AJ104)</f>
        <v>0</v>
      </c>
      <c r="AR104" s="7" t="n">
        <f aca="false">MAX(AK104,AL104)</f>
        <v>0</v>
      </c>
      <c r="AT104" s="7" t="str">
        <f aca="false">IF('KNOWIFY TIME'!B104="","",'KNOWIFY TIME'!B104)</f>
        <v/>
      </c>
      <c r="AU104" s="7" t="n">
        <f aca="false">IF(AT104="",0,IF(ISNUMBER('KNOWIFY TIME'!D104),'KNOWIFY TIME'!D104*24,IFERROR(VALUE(LEFT('KNOWIFY TIME'!D104,FIND(":",'KNOWIFY TIME'!D104)-1))+VALUE(MID('KNOWIFY TIME'!D104,FIND(":",'KNOWIFY TIME'!D104)+1,2))/60,0)))</f>
        <v>0</v>
      </c>
      <c r="AV104" s="7" t="n">
        <f aca="false">N('KNOWIFY TIME'!E104)</f>
        <v>0</v>
      </c>
      <c r="AW104" s="7" t="str">
        <f aca="false">IF(AT104="","",IFERROR(INDEX($BD$5:$BD$60,MATCH(AT104,$BC$5:$BC$60,0)),"Unmapped"))</f>
        <v/>
      </c>
    </row>
    <row r="105" customFormat="false" ht="15" hidden="false" customHeight="false" outlineLevel="0" collapsed="false">
      <c r="AA105" s="7" t="str">
        <f aca="false">IF('KNOWIFY PHASES'!A105="","",'KNOWIFY PHASES'!A105)</f>
        <v/>
      </c>
      <c r="AB105" s="7" t="str">
        <f aca="false">IF(AA105="","",IF(LEFT(AA105,4)="P - ","P",IF(LEFT(AA105,4)="H - ","H",IF(LEFT(AA105,5)="AC - ","AC",IF(OR(LEFT(AA105,4)="V - ",LEFT(AA105,7)="HVAC - "),"V","Other")))))</f>
        <v/>
      </c>
      <c r="AC105" s="7" t="str">
        <f aca="false">IF(AA105="","",IFERROR(LOOKUP(2,1/(($AZ$5:$AZ$60&lt;&gt;"")*ISNUMBER(SEARCH($AZ$5:$AZ$60,AA105))),$BA$5:$BA$60),IF(AB105="Other","Excluded","Unmapped")))</f>
        <v/>
      </c>
      <c r="AD105" s="7" t="str">
        <f aca="false">IF(AA105="","",IF(AND(AB105&lt;&gt;"Other",OR(AND('KNOWIFY PHASES'!B105="Closed",N('KNOWIFY PHASES'!D105)&gt;=0.5),N('KNOWIFY PHASES'!D105)&gt;=1)),1,0))</f>
        <v/>
      </c>
      <c r="AE105" s="7" t="n">
        <f aca="false">N('KNOWIFY PHASES'!L105)</f>
        <v>0</v>
      </c>
      <c r="AF105" s="7" t="n">
        <f aca="false">N('KNOWIFY PHASES'!K105)</f>
        <v>0</v>
      </c>
      <c r="AG105" s="7" t="n">
        <f aca="false">N('KNOWIFY PHASES'!I105)</f>
        <v>0</v>
      </c>
      <c r="AH105" s="7" t="n">
        <f aca="false">N('KNOWIFY PHASES'!H105)</f>
        <v>0</v>
      </c>
      <c r="AI105" s="7" t="n">
        <f aca="false">N('KNOWIFY PHASES'!O105)</f>
        <v>0</v>
      </c>
      <c r="AJ105" s="7" t="n">
        <f aca="false">N('KNOWIFY PHASES'!N105)</f>
        <v>0</v>
      </c>
      <c r="AK105" s="7" t="n">
        <f aca="false">N('KNOWIFY PHASES'!R105)</f>
        <v>0</v>
      </c>
      <c r="AL105" s="7" t="n">
        <f aca="false">N('KNOWIFY PHASES'!Q105)</f>
        <v>0</v>
      </c>
      <c r="AM105" s="7" t="n">
        <f aca="false">N('KNOWIFY PHASES'!F105)</f>
        <v>0</v>
      </c>
      <c r="AN105" s="7" t="n">
        <f aca="false">N('KNOWIFY PHASES'!E105)</f>
        <v>0</v>
      </c>
      <c r="AO105" s="7" t="n">
        <f aca="false">MAX(AE105,AF105)</f>
        <v>0</v>
      </c>
      <c r="AP105" s="7" t="n">
        <f aca="false">MAX(AG105,AH105)</f>
        <v>0</v>
      </c>
      <c r="AQ105" s="7" t="n">
        <f aca="false">MAX(AI105,AJ105)</f>
        <v>0</v>
      </c>
      <c r="AR105" s="7" t="n">
        <f aca="false">MAX(AK105,AL105)</f>
        <v>0</v>
      </c>
      <c r="AT105" s="7" t="str">
        <f aca="false">IF('KNOWIFY TIME'!B105="","",'KNOWIFY TIME'!B105)</f>
        <v/>
      </c>
      <c r="AU105" s="7" t="n">
        <f aca="false">IF(AT105="",0,IF(ISNUMBER('KNOWIFY TIME'!D105),'KNOWIFY TIME'!D105*24,IFERROR(VALUE(LEFT('KNOWIFY TIME'!D105,FIND(":",'KNOWIFY TIME'!D105)-1))+VALUE(MID('KNOWIFY TIME'!D105,FIND(":",'KNOWIFY TIME'!D105)+1,2))/60,0)))</f>
        <v>0</v>
      </c>
      <c r="AV105" s="7" t="n">
        <f aca="false">N('KNOWIFY TIME'!E105)</f>
        <v>0</v>
      </c>
      <c r="AW105" s="7" t="str">
        <f aca="false">IF(AT105="","",IFERROR(INDEX($BD$5:$BD$60,MATCH(AT105,$BC$5:$BC$60,0)),"Unmapped"))</f>
        <v/>
      </c>
    </row>
    <row r="106" customFormat="false" ht="15" hidden="false" customHeight="false" outlineLevel="0" collapsed="false">
      <c r="AA106" s="7" t="str">
        <f aca="false">IF('KNOWIFY PHASES'!A106="","",'KNOWIFY PHASES'!A106)</f>
        <v/>
      </c>
      <c r="AB106" s="7" t="str">
        <f aca="false">IF(AA106="","",IF(LEFT(AA106,4)="P - ","P",IF(LEFT(AA106,4)="H - ","H",IF(LEFT(AA106,5)="AC - ","AC",IF(OR(LEFT(AA106,4)="V - ",LEFT(AA106,7)="HVAC - "),"V","Other")))))</f>
        <v/>
      </c>
      <c r="AC106" s="7" t="str">
        <f aca="false">IF(AA106="","",IFERROR(LOOKUP(2,1/(($AZ$5:$AZ$60&lt;&gt;"")*ISNUMBER(SEARCH($AZ$5:$AZ$60,AA106))),$BA$5:$BA$60),IF(AB106="Other","Excluded","Unmapped")))</f>
        <v/>
      </c>
      <c r="AD106" s="7" t="str">
        <f aca="false">IF(AA106="","",IF(AND(AB106&lt;&gt;"Other",OR(AND('KNOWIFY PHASES'!B106="Closed",N('KNOWIFY PHASES'!D106)&gt;=0.5),N('KNOWIFY PHASES'!D106)&gt;=1)),1,0))</f>
        <v/>
      </c>
      <c r="AE106" s="7" t="n">
        <f aca="false">N('KNOWIFY PHASES'!L106)</f>
        <v>0</v>
      </c>
      <c r="AF106" s="7" t="n">
        <f aca="false">N('KNOWIFY PHASES'!K106)</f>
        <v>0</v>
      </c>
      <c r="AG106" s="7" t="n">
        <f aca="false">N('KNOWIFY PHASES'!I106)</f>
        <v>0</v>
      </c>
      <c r="AH106" s="7" t="n">
        <f aca="false">N('KNOWIFY PHASES'!H106)</f>
        <v>0</v>
      </c>
      <c r="AI106" s="7" t="n">
        <f aca="false">N('KNOWIFY PHASES'!O106)</f>
        <v>0</v>
      </c>
      <c r="AJ106" s="7" t="n">
        <f aca="false">N('KNOWIFY PHASES'!N106)</f>
        <v>0</v>
      </c>
      <c r="AK106" s="7" t="n">
        <f aca="false">N('KNOWIFY PHASES'!R106)</f>
        <v>0</v>
      </c>
      <c r="AL106" s="7" t="n">
        <f aca="false">N('KNOWIFY PHASES'!Q106)</f>
        <v>0</v>
      </c>
      <c r="AM106" s="7" t="n">
        <f aca="false">N('KNOWIFY PHASES'!F106)</f>
        <v>0</v>
      </c>
      <c r="AN106" s="7" t="n">
        <f aca="false">N('KNOWIFY PHASES'!E106)</f>
        <v>0</v>
      </c>
      <c r="AO106" s="7" t="n">
        <f aca="false">MAX(AE106,AF106)</f>
        <v>0</v>
      </c>
      <c r="AP106" s="7" t="n">
        <f aca="false">MAX(AG106,AH106)</f>
        <v>0</v>
      </c>
      <c r="AQ106" s="7" t="n">
        <f aca="false">MAX(AI106,AJ106)</f>
        <v>0</v>
      </c>
      <c r="AR106" s="7" t="n">
        <f aca="false">MAX(AK106,AL106)</f>
        <v>0</v>
      </c>
      <c r="AT106" s="7" t="str">
        <f aca="false">IF('KNOWIFY TIME'!B106="","",'KNOWIFY TIME'!B106)</f>
        <v/>
      </c>
      <c r="AU106" s="7" t="n">
        <f aca="false">IF(AT106="",0,IF(ISNUMBER('KNOWIFY TIME'!D106),'KNOWIFY TIME'!D106*24,IFERROR(VALUE(LEFT('KNOWIFY TIME'!D106,FIND(":",'KNOWIFY TIME'!D106)-1))+VALUE(MID('KNOWIFY TIME'!D106,FIND(":",'KNOWIFY TIME'!D106)+1,2))/60,0)))</f>
        <v>0</v>
      </c>
      <c r="AV106" s="7" t="n">
        <f aca="false">N('KNOWIFY TIME'!E106)</f>
        <v>0</v>
      </c>
      <c r="AW106" s="7" t="str">
        <f aca="false">IF(AT106="","",IFERROR(INDEX($BD$5:$BD$60,MATCH(AT106,$BC$5:$BC$60,0)),"Unmapped"))</f>
        <v/>
      </c>
    </row>
    <row r="107" customFormat="false" ht="15" hidden="false" customHeight="false" outlineLevel="0" collapsed="false">
      <c r="AA107" s="7" t="str">
        <f aca="false">IF('KNOWIFY PHASES'!A107="","",'KNOWIFY PHASES'!A107)</f>
        <v/>
      </c>
      <c r="AB107" s="7" t="str">
        <f aca="false">IF(AA107="","",IF(LEFT(AA107,4)="P - ","P",IF(LEFT(AA107,4)="H - ","H",IF(LEFT(AA107,5)="AC - ","AC",IF(OR(LEFT(AA107,4)="V - ",LEFT(AA107,7)="HVAC - "),"V","Other")))))</f>
        <v/>
      </c>
      <c r="AC107" s="7" t="str">
        <f aca="false">IF(AA107="","",IFERROR(LOOKUP(2,1/(($AZ$5:$AZ$60&lt;&gt;"")*ISNUMBER(SEARCH($AZ$5:$AZ$60,AA107))),$BA$5:$BA$60),IF(AB107="Other","Excluded","Unmapped")))</f>
        <v/>
      </c>
      <c r="AD107" s="7" t="str">
        <f aca="false">IF(AA107="","",IF(AND(AB107&lt;&gt;"Other",OR(AND('KNOWIFY PHASES'!B107="Closed",N('KNOWIFY PHASES'!D107)&gt;=0.5),N('KNOWIFY PHASES'!D107)&gt;=1)),1,0))</f>
        <v/>
      </c>
      <c r="AE107" s="7" t="n">
        <f aca="false">N('KNOWIFY PHASES'!L107)</f>
        <v>0</v>
      </c>
      <c r="AF107" s="7" t="n">
        <f aca="false">N('KNOWIFY PHASES'!K107)</f>
        <v>0</v>
      </c>
      <c r="AG107" s="7" t="n">
        <f aca="false">N('KNOWIFY PHASES'!I107)</f>
        <v>0</v>
      </c>
      <c r="AH107" s="7" t="n">
        <f aca="false">N('KNOWIFY PHASES'!H107)</f>
        <v>0</v>
      </c>
      <c r="AI107" s="7" t="n">
        <f aca="false">N('KNOWIFY PHASES'!O107)</f>
        <v>0</v>
      </c>
      <c r="AJ107" s="7" t="n">
        <f aca="false">N('KNOWIFY PHASES'!N107)</f>
        <v>0</v>
      </c>
      <c r="AK107" s="7" t="n">
        <f aca="false">N('KNOWIFY PHASES'!R107)</f>
        <v>0</v>
      </c>
      <c r="AL107" s="7" t="n">
        <f aca="false">N('KNOWIFY PHASES'!Q107)</f>
        <v>0</v>
      </c>
      <c r="AM107" s="7" t="n">
        <f aca="false">N('KNOWIFY PHASES'!F107)</f>
        <v>0</v>
      </c>
      <c r="AN107" s="7" t="n">
        <f aca="false">N('KNOWIFY PHASES'!E107)</f>
        <v>0</v>
      </c>
      <c r="AO107" s="7" t="n">
        <f aca="false">MAX(AE107,AF107)</f>
        <v>0</v>
      </c>
      <c r="AP107" s="7" t="n">
        <f aca="false">MAX(AG107,AH107)</f>
        <v>0</v>
      </c>
      <c r="AQ107" s="7" t="n">
        <f aca="false">MAX(AI107,AJ107)</f>
        <v>0</v>
      </c>
      <c r="AR107" s="7" t="n">
        <f aca="false">MAX(AK107,AL107)</f>
        <v>0</v>
      </c>
      <c r="AT107" s="7" t="str">
        <f aca="false">IF('KNOWIFY TIME'!B107="","",'KNOWIFY TIME'!B107)</f>
        <v/>
      </c>
      <c r="AU107" s="7" t="n">
        <f aca="false">IF(AT107="",0,IF(ISNUMBER('KNOWIFY TIME'!D107),'KNOWIFY TIME'!D107*24,IFERROR(VALUE(LEFT('KNOWIFY TIME'!D107,FIND(":",'KNOWIFY TIME'!D107)-1))+VALUE(MID('KNOWIFY TIME'!D107,FIND(":",'KNOWIFY TIME'!D107)+1,2))/60,0)))</f>
        <v>0</v>
      </c>
      <c r="AV107" s="7" t="n">
        <f aca="false">N('KNOWIFY TIME'!E107)</f>
        <v>0</v>
      </c>
      <c r="AW107" s="7" t="str">
        <f aca="false">IF(AT107="","",IFERROR(INDEX($BD$5:$BD$60,MATCH(AT107,$BC$5:$BC$60,0)),"Unmapped"))</f>
        <v/>
      </c>
    </row>
    <row r="108" customFormat="false" ht="15" hidden="false" customHeight="false" outlineLevel="0" collapsed="false">
      <c r="AA108" s="7" t="str">
        <f aca="false">IF('KNOWIFY PHASES'!A108="","",'KNOWIFY PHASES'!A108)</f>
        <v/>
      </c>
      <c r="AB108" s="7" t="str">
        <f aca="false">IF(AA108="","",IF(LEFT(AA108,4)="P - ","P",IF(LEFT(AA108,4)="H - ","H",IF(LEFT(AA108,5)="AC - ","AC",IF(OR(LEFT(AA108,4)="V - ",LEFT(AA108,7)="HVAC - "),"V","Other")))))</f>
        <v/>
      </c>
      <c r="AC108" s="7" t="str">
        <f aca="false">IF(AA108="","",IFERROR(LOOKUP(2,1/(($AZ$5:$AZ$60&lt;&gt;"")*ISNUMBER(SEARCH($AZ$5:$AZ$60,AA108))),$BA$5:$BA$60),IF(AB108="Other","Excluded","Unmapped")))</f>
        <v/>
      </c>
      <c r="AD108" s="7" t="str">
        <f aca="false">IF(AA108="","",IF(AND(AB108&lt;&gt;"Other",OR(AND('KNOWIFY PHASES'!B108="Closed",N('KNOWIFY PHASES'!D108)&gt;=0.5),N('KNOWIFY PHASES'!D108)&gt;=1)),1,0))</f>
        <v/>
      </c>
      <c r="AE108" s="7" t="n">
        <f aca="false">N('KNOWIFY PHASES'!L108)</f>
        <v>0</v>
      </c>
      <c r="AF108" s="7" t="n">
        <f aca="false">N('KNOWIFY PHASES'!K108)</f>
        <v>0</v>
      </c>
      <c r="AG108" s="7" t="n">
        <f aca="false">N('KNOWIFY PHASES'!I108)</f>
        <v>0</v>
      </c>
      <c r="AH108" s="7" t="n">
        <f aca="false">N('KNOWIFY PHASES'!H108)</f>
        <v>0</v>
      </c>
      <c r="AI108" s="7" t="n">
        <f aca="false">N('KNOWIFY PHASES'!O108)</f>
        <v>0</v>
      </c>
      <c r="AJ108" s="7" t="n">
        <f aca="false">N('KNOWIFY PHASES'!N108)</f>
        <v>0</v>
      </c>
      <c r="AK108" s="7" t="n">
        <f aca="false">N('KNOWIFY PHASES'!R108)</f>
        <v>0</v>
      </c>
      <c r="AL108" s="7" t="n">
        <f aca="false">N('KNOWIFY PHASES'!Q108)</f>
        <v>0</v>
      </c>
      <c r="AM108" s="7" t="n">
        <f aca="false">N('KNOWIFY PHASES'!F108)</f>
        <v>0</v>
      </c>
      <c r="AN108" s="7" t="n">
        <f aca="false">N('KNOWIFY PHASES'!E108)</f>
        <v>0</v>
      </c>
      <c r="AO108" s="7" t="n">
        <f aca="false">MAX(AE108,AF108)</f>
        <v>0</v>
      </c>
      <c r="AP108" s="7" t="n">
        <f aca="false">MAX(AG108,AH108)</f>
        <v>0</v>
      </c>
      <c r="AQ108" s="7" t="n">
        <f aca="false">MAX(AI108,AJ108)</f>
        <v>0</v>
      </c>
      <c r="AR108" s="7" t="n">
        <f aca="false">MAX(AK108,AL108)</f>
        <v>0</v>
      </c>
      <c r="AT108" s="7" t="str">
        <f aca="false">IF('KNOWIFY TIME'!B108="","",'KNOWIFY TIME'!B108)</f>
        <v/>
      </c>
      <c r="AU108" s="7" t="n">
        <f aca="false">IF(AT108="",0,IF(ISNUMBER('KNOWIFY TIME'!D108),'KNOWIFY TIME'!D108*24,IFERROR(VALUE(LEFT('KNOWIFY TIME'!D108,FIND(":",'KNOWIFY TIME'!D108)-1))+VALUE(MID('KNOWIFY TIME'!D108,FIND(":",'KNOWIFY TIME'!D108)+1,2))/60,0)))</f>
        <v>0</v>
      </c>
      <c r="AV108" s="7" t="n">
        <f aca="false">N('KNOWIFY TIME'!E108)</f>
        <v>0</v>
      </c>
      <c r="AW108" s="7" t="str">
        <f aca="false">IF(AT108="","",IFERROR(INDEX($BD$5:$BD$60,MATCH(AT108,$BC$5:$BC$60,0)),"Unmapped"))</f>
        <v/>
      </c>
    </row>
    <row r="109" customFormat="false" ht="15" hidden="false" customHeight="false" outlineLevel="0" collapsed="false">
      <c r="AA109" s="7" t="str">
        <f aca="false">IF('KNOWIFY PHASES'!A109="","",'KNOWIFY PHASES'!A109)</f>
        <v/>
      </c>
      <c r="AB109" s="7" t="str">
        <f aca="false">IF(AA109="","",IF(LEFT(AA109,4)="P - ","P",IF(LEFT(AA109,4)="H - ","H",IF(LEFT(AA109,5)="AC - ","AC",IF(OR(LEFT(AA109,4)="V - ",LEFT(AA109,7)="HVAC - "),"V","Other")))))</f>
        <v/>
      </c>
      <c r="AC109" s="7" t="str">
        <f aca="false">IF(AA109="","",IFERROR(LOOKUP(2,1/(($AZ$5:$AZ$60&lt;&gt;"")*ISNUMBER(SEARCH($AZ$5:$AZ$60,AA109))),$BA$5:$BA$60),IF(AB109="Other","Excluded","Unmapped")))</f>
        <v/>
      </c>
      <c r="AD109" s="7" t="str">
        <f aca="false">IF(AA109="","",IF(AND(AB109&lt;&gt;"Other",OR(AND('KNOWIFY PHASES'!B109="Closed",N('KNOWIFY PHASES'!D109)&gt;=0.5),N('KNOWIFY PHASES'!D109)&gt;=1)),1,0))</f>
        <v/>
      </c>
      <c r="AE109" s="7" t="n">
        <f aca="false">N('KNOWIFY PHASES'!L109)</f>
        <v>0</v>
      </c>
      <c r="AF109" s="7" t="n">
        <f aca="false">N('KNOWIFY PHASES'!K109)</f>
        <v>0</v>
      </c>
      <c r="AG109" s="7" t="n">
        <f aca="false">N('KNOWIFY PHASES'!I109)</f>
        <v>0</v>
      </c>
      <c r="AH109" s="7" t="n">
        <f aca="false">N('KNOWIFY PHASES'!H109)</f>
        <v>0</v>
      </c>
      <c r="AI109" s="7" t="n">
        <f aca="false">N('KNOWIFY PHASES'!O109)</f>
        <v>0</v>
      </c>
      <c r="AJ109" s="7" t="n">
        <f aca="false">N('KNOWIFY PHASES'!N109)</f>
        <v>0</v>
      </c>
      <c r="AK109" s="7" t="n">
        <f aca="false">N('KNOWIFY PHASES'!R109)</f>
        <v>0</v>
      </c>
      <c r="AL109" s="7" t="n">
        <f aca="false">N('KNOWIFY PHASES'!Q109)</f>
        <v>0</v>
      </c>
      <c r="AM109" s="7" t="n">
        <f aca="false">N('KNOWIFY PHASES'!F109)</f>
        <v>0</v>
      </c>
      <c r="AN109" s="7" t="n">
        <f aca="false">N('KNOWIFY PHASES'!E109)</f>
        <v>0</v>
      </c>
      <c r="AO109" s="7" t="n">
        <f aca="false">MAX(AE109,AF109)</f>
        <v>0</v>
      </c>
      <c r="AP109" s="7" t="n">
        <f aca="false">MAX(AG109,AH109)</f>
        <v>0</v>
      </c>
      <c r="AQ109" s="7" t="n">
        <f aca="false">MAX(AI109,AJ109)</f>
        <v>0</v>
      </c>
      <c r="AR109" s="7" t="n">
        <f aca="false">MAX(AK109,AL109)</f>
        <v>0</v>
      </c>
      <c r="AT109" s="7" t="str">
        <f aca="false">IF('KNOWIFY TIME'!B109="","",'KNOWIFY TIME'!B109)</f>
        <v/>
      </c>
      <c r="AU109" s="7" t="n">
        <f aca="false">IF(AT109="",0,IF(ISNUMBER('KNOWIFY TIME'!D109),'KNOWIFY TIME'!D109*24,IFERROR(VALUE(LEFT('KNOWIFY TIME'!D109,FIND(":",'KNOWIFY TIME'!D109)-1))+VALUE(MID('KNOWIFY TIME'!D109,FIND(":",'KNOWIFY TIME'!D109)+1,2))/60,0)))</f>
        <v>0</v>
      </c>
      <c r="AV109" s="7" t="n">
        <f aca="false">N('KNOWIFY TIME'!E109)</f>
        <v>0</v>
      </c>
      <c r="AW109" s="7" t="str">
        <f aca="false">IF(AT109="","",IFERROR(INDEX($BD$5:$BD$60,MATCH(AT109,$BC$5:$BC$60,0)),"Unmapped"))</f>
        <v/>
      </c>
    </row>
    <row r="110" customFormat="false" ht="15" hidden="false" customHeight="false" outlineLevel="0" collapsed="false">
      <c r="AA110" s="7" t="str">
        <f aca="false">IF('KNOWIFY PHASES'!A110="","",'KNOWIFY PHASES'!A110)</f>
        <v/>
      </c>
      <c r="AB110" s="7" t="str">
        <f aca="false">IF(AA110="","",IF(LEFT(AA110,4)="P - ","P",IF(LEFT(AA110,4)="H - ","H",IF(LEFT(AA110,5)="AC - ","AC",IF(OR(LEFT(AA110,4)="V - ",LEFT(AA110,7)="HVAC - "),"V","Other")))))</f>
        <v/>
      </c>
      <c r="AC110" s="7" t="str">
        <f aca="false">IF(AA110="","",IFERROR(LOOKUP(2,1/(($AZ$5:$AZ$60&lt;&gt;"")*ISNUMBER(SEARCH($AZ$5:$AZ$60,AA110))),$BA$5:$BA$60),IF(AB110="Other","Excluded","Unmapped")))</f>
        <v/>
      </c>
      <c r="AD110" s="7" t="str">
        <f aca="false">IF(AA110="","",IF(AND(AB110&lt;&gt;"Other",OR(AND('KNOWIFY PHASES'!B110="Closed",N('KNOWIFY PHASES'!D110)&gt;=0.5),N('KNOWIFY PHASES'!D110)&gt;=1)),1,0))</f>
        <v/>
      </c>
      <c r="AE110" s="7" t="n">
        <f aca="false">N('KNOWIFY PHASES'!L110)</f>
        <v>0</v>
      </c>
      <c r="AF110" s="7" t="n">
        <f aca="false">N('KNOWIFY PHASES'!K110)</f>
        <v>0</v>
      </c>
      <c r="AG110" s="7" t="n">
        <f aca="false">N('KNOWIFY PHASES'!I110)</f>
        <v>0</v>
      </c>
      <c r="AH110" s="7" t="n">
        <f aca="false">N('KNOWIFY PHASES'!H110)</f>
        <v>0</v>
      </c>
      <c r="AI110" s="7" t="n">
        <f aca="false">N('KNOWIFY PHASES'!O110)</f>
        <v>0</v>
      </c>
      <c r="AJ110" s="7" t="n">
        <f aca="false">N('KNOWIFY PHASES'!N110)</f>
        <v>0</v>
      </c>
      <c r="AK110" s="7" t="n">
        <f aca="false">N('KNOWIFY PHASES'!R110)</f>
        <v>0</v>
      </c>
      <c r="AL110" s="7" t="n">
        <f aca="false">N('KNOWIFY PHASES'!Q110)</f>
        <v>0</v>
      </c>
      <c r="AM110" s="7" t="n">
        <f aca="false">N('KNOWIFY PHASES'!F110)</f>
        <v>0</v>
      </c>
      <c r="AN110" s="7" t="n">
        <f aca="false">N('KNOWIFY PHASES'!E110)</f>
        <v>0</v>
      </c>
      <c r="AO110" s="7" t="n">
        <f aca="false">MAX(AE110,AF110)</f>
        <v>0</v>
      </c>
      <c r="AP110" s="7" t="n">
        <f aca="false">MAX(AG110,AH110)</f>
        <v>0</v>
      </c>
      <c r="AQ110" s="7" t="n">
        <f aca="false">MAX(AI110,AJ110)</f>
        <v>0</v>
      </c>
      <c r="AR110" s="7" t="n">
        <f aca="false">MAX(AK110,AL110)</f>
        <v>0</v>
      </c>
      <c r="AT110" s="7" t="str">
        <f aca="false">IF('KNOWIFY TIME'!B110="","",'KNOWIFY TIME'!B110)</f>
        <v/>
      </c>
      <c r="AU110" s="7" t="n">
        <f aca="false">IF(AT110="",0,IF(ISNUMBER('KNOWIFY TIME'!D110),'KNOWIFY TIME'!D110*24,IFERROR(VALUE(LEFT('KNOWIFY TIME'!D110,FIND(":",'KNOWIFY TIME'!D110)-1))+VALUE(MID('KNOWIFY TIME'!D110,FIND(":",'KNOWIFY TIME'!D110)+1,2))/60,0)))</f>
        <v>0</v>
      </c>
      <c r="AV110" s="7" t="n">
        <f aca="false">N('KNOWIFY TIME'!E110)</f>
        <v>0</v>
      </c>
      <c r="AW110" s="7" t="str">
        <f aca="false">IF(AT110="","",IFERROR(INDEX($BD$5:$BD$60,MATCH(AT110,$BC$5:$BC$60,0)),"Unmapped"))</f>
        <v/>
      </c>
    </row>
    <row r="111" customFormat="false" ht="15" hidden="false" customHeight="false" outlineLevel="0" collapsed="false">
      <c r="AA111" s="7" t="str">
        <f aca="false">IF('KNOWIFY PHASES'!A111="","",'KNOWIFY PHASES'!A111)</f>
        <v/>
      </c>
      <c r="AB111" s="7" t="str">
        <f aca="false">IF(AA111="","",IF(LEFT(AA111,4)="P - ","P",IF(LEFT(AA111,4)="H - ","H",IF(LEFT(AA111,5)="AC - ","AC",IF(OR(LEFT(AA111,4)="V - ",LEFT(AA111,7)="HVAC - "),"V","Other")))))</f>
        <v/>
      </c>
      <c r="AC111" s="7" t="str">
        <f aca="false">IF(AA111="","",IFERROR(LOOKUP(2,1/(($AZ$5:$AZ$60&lt;&gt;"")*ISNUMBER(SEARCH($AZ$5:$AZ$60,AA111))),$BA$5:$BA$60),IF(AB111="Other","Excluded","Unmapped")))</f>
        <v/>
      </c>
      <c r="AD111" s="7" t="str">
        <f aca="false">IF(AA111="","",IF(AND(AB111&lt;&gt;"Other",OR(AND('KNOWIFY PHASES'!B111="Closed",N('KNOWIFY PHASES'!D111)&gt;=0.5),N('KNOWIFY PHASES'!D111)&gt;=1)),1,0))</f>
        <v/>
      </c>
      <c r="AE111" s="7" t="n">
        <f aca="false">N('KNOWIFY PHASES'!L111)</f>
        <v>0</v>
      </c>
      <c r="AF111" s="7" t="n">
        <f aca="false">N('KNOWIFY PHASES'!K111)</f>
        <v>0</v>
      </c>
      <c r="AG111" s="7" t="n">
        <f aca="false">N('KNOWIFY PHASES'!I111)</f>
        <v>0</v>
      </c>
      <c r="AH111" s="7" t="n">
        <f aca="false">N('KNOWIFY PHASES'!H111)</f>
        <v>0</v>
      </c>
      <c r="AI111" s="7" t="n">
        <f aca="false">N('KNOWIFY PHASES'!O111)</f>
        <v>0</v>
      </c>
      <c r="AJ111" s="7" t="n">
        <f aca="false">N('KNOWIFY PHASES'!N111)</f>
        <v>0</v>
      </c>
      <c r="AK111" s="7" t="n">
        <f aca="false">N('KNOWIFY PHASES'!R111)</f>
        <v>0</v>
      </c>
      <c r="AL111" s="7" t="n">
        <f aca="false">N('KNOWIFY PHASES'!Q111)</f>
        <v>0</v>
      </c>
      <c r="AM111" s="7" t="n">
        <f aca="false">N('KNOWIFY PHASES'!F111)</f>
        <v>0</v>
      </c>
      <c r="AN111" s="7" t="n">
        <f aca="false">N('KNOWIFY PHASES'!E111)</f>
        <v>0</v>
      </c>
      <c r="AO111" s="7" t="n">
        <f aca="false">MAX(AE111,AF111)</f>
        <v>0</v>
      </c>
      <c r="AP111" s="7" t="n">
        <f aca="false">MAX(AG111,AH111)</f>
        <v>0</v>
      </c>
      <c r="AQ111" s="7" t="n">
        <f aca="false">MAX(AI111,AJ111)</f>
        <v>0</v>
      </c>
      <c r="AR111" s="7" t="n">
        <f aca="false">MAX(AK111,AL111)</f>
        <v>0</v>
      </c>
      <c r="AT111" s="7" t="str">
        <f aca="false">IF('KNOWIFY TIME'!B111="","",'KNOWIFY TIME'!B111)</f>
        <v/>
      </c>
      <c r="AU111" s="7" t="n">
        <f aca="false">IF(AT111="",0,IF(ISNUMBER('KNOWIFY TIME'!D111),'KNOWIFY TIME'!D111*24,IFERROR(VALUE(LEFT('KNOWIFY TIME'!D111,FIND(":",'KNOWIFY TIME'!D111)-1))+VALUE(MID('KNOWIFY TIME'!D111,FIND(":",'KNOWIFY TIME'!D111)+1,2))/60,0)))</f>
        <v>0</v>
      </c>
      <c r="AV111" s="7" t="n">
        <f aca="false">N('KNOWIFY TIME'!E111)</f>
        <v>0</v>
      </c>
      <c r="AW111" s="7" t="str">
        <f aca="false">IF(AT111="","",IFERROR(INDEX($BD$5:$BD$60,MATCH(AT111,$BC$5:$BC$60,0)),"Unmapped"))</f>
        <v/>
      </c>
    </row>
    <row r="112" customFormat="false" ht="15" hidden="false" customHeight="false" outlineLevel="0" collapsed="false">
      <c r="AA112" s="7" t="str">
        <f aca="false">IF('KNOWIFY PHASES'!A112="","",'KNOWIFY PHASES'!A112)</f>
        <v/>
      </c>
      <c r="AB112" s="7" t="str">
        <f aca="false">IF(AA112="","",IF(LEFT(AA112,4)="P - ","P",IF(LEFT(AA112,4)="H - ","H",IF(LEFT(AA112,5)="AC - ","AC",IF(OR(LEFT(AA112,4)="V - ",LEFT(AA112,7)="HVAC - "),"V","Other")))))</f>
        <v/>
      </c>
      <c r="AC112" s="7" t="str">
        <f aca="false">IF(AA112="","",IFERROR(LOOKUP(2,1/(($AZ$5:$AZ$60&lt;&gt;"")*ISNUMBER(SEARCH($AZ$5:$AZ$60,AA112))),$BA$5:$BA$60),IF(AB112="Other","Excluded","Unmapped")))</f>
        <v/>
      </c>
      <c r="AD112" s="7" t="str">
        <f aca="false">IF(AA112="","",IF(AND(AB112&lt;&gt;"Other",OR(AND('KNOWIFY PHASES'!B112="Closed",N('KNOWIFY PHASES'!D112)&gt;=0.5),N('KNOWIFY PHASES'!D112)&gt;=1)),1,0))</f>
        <v/>
      </c>
      <c r="AE112" s="7" t="n">
        <f aca="false">N('KNOWIFY PHASES'!L112)</f>
        <v>0</v>
      </c>
      <c r="AF112" s="7" t="n">
        <f aca="false">N('KNOWIFY PHASES'!K112)</f>
        <v>0</v>
      </c>
      <c r="AG112" s="7" t="n">
        <f aca="false">N('KNOWIFY PHASES'!I112)</f>
        <v>0</v>
      </c>
      <c r="AH112" s="7" t="n">
        <f aca="false">N('KNOWIFY PHASES'!H112)</f>
        <v>0</v>
      </c>
      <c r="AI112" s="7" t="n">
        <f aca="false">N('KNOWIFY PHASES'!O112)</f>
        <v>0</v>
      </c>
      <c r="AJ112" s="7" t="n">
        <f aca="false">N('KNOWIFY PHASES'!N112)</f>
        <v>0</v>
      </c>
      <c r="AK112" s="7" t="n">
        <f aca="false">N('KNOWIFY PHASES'!R112)</f>
        <v>0</v>
      </c>
      <c r="AL112" s="7" t="n">
        <f aca="false">N('KNOWIFY PHASES'!Q112)</f>
        <v>0</v>
      </c>
      <c r="AM112" s="7" t="n">
        <f aca="false">N('KNOWIFY PHASES'!F112)</f>
        <v>0</v>
      </c>
      <c r="AN112" s="7" t="n">
        <f aca="false">N('KNOWIFY PHASES'!E112)</f>
        <v>0</v>
      </c>
      <c r="AO112" s="7" t="n">
        <f aca="false">MAX(AE112,AF112)</f>
        <v>0</v>
      </c>
      <c r="AP112" s="7" t="n">
        <f aca="false">MAX(AG112,AH112)</f>
        <v>0</v>
      </c>
      <c r="AQ112" s="7" t="n">
        <f aca="false">MAX(AI112,AJ112)</f>
        <v>0</v>
      </c>
      <c r="AR112" s="7" t="n">
        <f aca="false">MAX(AK112,AL112)</f>
        <v>0</v>
      </c>
      <c r="AT112" s="7" t="str">
        <f aca="false">IF('KNOWIFY TIME'!B112="","",'KNOWIFY TIME'!B112)</f>
        <v/>
      </c>
      <c r="AU112" s="7" t="n">
        <f aca="false">IF(AT112="",0,IF(ISNUMBER('KNOWIFY TIME'!D112),'KNOWIFY TIME'!D112*24,IFERROR(VALUE(LEFT('KNOWIFY TIME'!D112,FIND(":",'KNOWIFY TIME'!D112)-1))+VALUE(MID('KNOWIFY TIME'!D112,FIND(":",'KNOWIFY TIME'!D112)+1,2))/60,0)))</f>
        <v>0</v>
      </c>
      <c r="AV112" s="7" t="n">
        <f aca="false">N('KNOWIFY TIME'!E112)</f>
        <v>0</v>
      </c>
      <c r="AW112" s="7" t="str">
        <f aca="false">IF(AT112="","",IFERROR(INDEX($BD$5:$BD$60,MATCH(AT112,$BC$5:$BC$60,0)),"Unmapped"))</f>
        <v/>
      </c>
    </row>
    <row r="113" customFormat="false" ht="15" hidden="false" customHeight="false" outlineLevel="0" collapsed="false">
      <c r="AA113" s="7" t="str">
        <f aca="false">IF('KNOWIFY PHASES'!A113="","",'KNOWIFY PHASES'!A113)</f>
        <v/>
      </c>
      <c r="AB113" s="7" t="str">
        <f aca="false">IF(AA113="","",IF(LEFT(AA113,4)="P - ","P",IF(LEFT(AA113,4)="H - ","H",IF(LEFT(AA113,5)="AC - ","AC",IF(OR(LEFT(AA113,4)="V - ",LEFT(AA113,7)="HVAC - "),"V","Other")))))</f>
        <v/>
      </c>
      <c r="AC113" s="7" t="str">
        <f aca="false">IF(AA113="","",IFERROR(LOOKUP(2,1/(($AZ$5:$AZ$60&lt;&gt;"")*ISNUMBER(SEARCH($AZ$5:$AZ$60,AA113))),$BA$5:$BA$60),IF(AB113="Other","Excluded","Unmapped")))</f>
        <v/>
      </c>
      <c r="AD113" s="7" t="str">
        <f aca="false">IF(AA113="","",IF(AND(AB113&lt;&gt;"Other",OR(AND('KNOWIFY PHASES'!B113="Closed",N('KNOWIFY PHASES'!D113)&gt;=0.5),N('KNOWIFY PHASES'!D113)&gt;=1)),1,0))</f>
        <v/>
      </c>
      <c r="AE113" s="7" t="n">
        <f aca="false">N('KNOWIFY PHASES'!L113)</f>
        <v>0</v>
      </c>
      <c r="AF113" s="7" t="n">
        <f aca="false">N('KNOWIFY PHASES'!K113)</f>
        <v>0</v>
      </c>
      <c r="AG113" s="7" t="n">
        <f aca="false">N('KNOWIFY PHASES'!I113)</f>
        <v>0</v>
      </c>
      <c r="AH113" s="7" t="n">
        <f aca="false">N('KNOWIFY PHASES'!H113)</f>
        <v>0</v>
      </c>
      <c r="AI113" s="7" t="n">
        <f aca="false">N('KNOWIFY PHASES'!O113)</f>
        <v>0</v>
      </c>
      <c r="AJ113" s="7" t="n">
        <f aca="false">N('KNOWIFY PHASES'!N113)</f>
        <v>0</v>
      </c>
      <c r="AK113" s="7" t="n">
        <f aca="false">N('KNOWIFY PHASES'!R113)</f>
        <v>0</v>
      </c>
      <c r="AL113" s="7" t="n">
        <f aca="false">N('KNOWIFY PHASES'!Q113)</f>
        <v>0</v>
      </c>
      <c r="AM113" s="7" t="n">
        <f aca="false">N('KNOWIFY PHASES'!F113)</f>
        <v>0</v>
      </c>
      <c r="AN113" s="7" t="n">
        <f aca="false">N('KNOWIFY PHASES'!E113)</f>
        <v>0</v>
      </c>
      <c r="AO113" s="7" t="n">
        <f aca="false">MAX(AE113,AF113)</f>
        <v>0</v>
      </c>
      <c r="AP113" s="7" t="n">
        <f aca="false">MAX(AG113,AH113)</f>
        <v>0</v>
      </c>
      <c r="AQ113" s="7" t="n">
        <f aca="false">MAX(AI113,AJ113)</f>
        <v>0</v>
      </c>
      <c r="AR113" s="7" t="n">
        <f aca="false">MAX(AK113,AL113)</f>
        <v>0</v>
      </c>
      <c r="AT113" s="7" t="str">
        <f aca="false">IF('KNOWIFY TIME'!B113="","",'KNOWIFY TIME'!B113)</f>
        <v/>
      </c>
      <c r="AU113" s="7" t="n">
        <f aca="false">IF(AT113="",0,IF(ISNUMBER('KNOWIFY TIME'!D113),'KNOWIFY TIME'!D113*24,IFERROR(VALUE(LEFT('KNOWIFY TIME'!D113,FIND(":",'KNOWIFY TIME'!D113)-1))+VALUE(MID('KNOWIFY TIME'!D113,FIND(":",'KNOWIFY TIME'!D113)+1,2))/60,0)))</f>
        <v>0</v>
      </c>
      <c r="AV113" s="7" t="n">
        <f aca="false">N('KNOWIFY TIME'!E113)</f>
        <v>0</v>
      </c>
      <c r="AW113" s="7" t="str">
        <f aca="false">IF(AT113="","",IFERROR(INDEX($BD$5:$BD$60,MATCH(AT113,$BC$5:$BC$60,0)),"Unmapped"))</f>
        <v/>
      </c>
    </row>
    <row r="114" customFormat="false" ht="15" hidden="false" customHeight="false" outlineLevel="0" collapsed="false">
      <c r="AA114" s="7" t="str">
        <f aca="false">IF('KNOWIFY PHASES'!A114="","",'KNOWIFY PHASES'!A114)</f>
        <v/>
      </c>
      <c r="AB114" s="7" t="str">
        <f aca="false">IF(AA114="","",IF(LEFT(AA114,4)="P - ","P",IF(LEFT(AA114,4)="H - ","H",IF(LEFT(AA114,5)="AC - ","AC",IF(OR(LEFT(AA114,4)="V - ",LEFT(AA114,7)="HVAC - "),"V","Other")))))</f>
        <v/>
      </c>
      <c r="AC114" s="7" t="str">
        <f aca="false">IF(AA114="","",IFERROR(LOOKUP(2,1/(($AZ$5:$AZ$60&lt;&gt;"")*ISNUMBER(SEARCH($AZ$5:$AZ$60,AA114))),$BA$5:$BA$60),IF(AB114="Other","Excluded","Unmapped")))</f>
        <v/>
      </c>
      <c r="AD114" s="7" t="str">
        <f aca="false">IF(AA114="","",IF(AND(AB114&lt;&gt;"Other",OR(AND('KNOWIFY PHASES'!B114="Closed",N('KNOWIFY PHASES'!D114)&gt;=0.5),N('KNOWIFY PHASES'!D114)&gt;=1)),1,0))</f>
        <v/>
      </c>
      <c r="AE114" s="7" t="n">
        <f aca="false">N('KNOWIFY PHASES'!L114)</f>
        <v>0</v>
      </c>
      <c r="AF114" s="7" t="n">
        <f aca="false">N('KNOWIFY PHASES'!K114)</f>
        <v>0</v>
      </c>
      <c r="AG114" s="7" t="n">
        <f aca="false">N('KNOWIFY PHASES'!I114)</f>
        <v>0</v>
      </c>
      <c r="AH114" s="7" t="n">
        <f aca="false">N('KNOWIFY PHASES'!H114)</f>
        <v>0</v>
      </c>
      <c r="AI114" s="7" t="n">
        <f aca="false">N('KNOWIFY PHASES'!O114)</f>
        <v>0</v>
      </c>
      <c r="AJ114" s="7" t="n">
        <f aca="false">N('KNOWIFY PHASES'!N114)</f>
        <v>0</v>
      </c>
      <c r="AK114" s="7" t="n">
        <f aca="false">N('KNOWIFY PHASES'!R114)</f>
        <v>0</v>
      </c>
      <c r="AL114" s="7" t="n">
        <f aca="false">N('KNOWIFY PHASES'!Q114)</f>
        <v>0</v>
      </c>
      <c r="AM114" s="7" t="n">
        <f aca="false">N('KNOWIFY PHASES'!F114)</f>
        <v>0</v>
      </c>
      <c r="AN114" s="7" t="n">
        <f aca="false">N('KNOWIFY PHASES'!E114)</f>
        <v>0</v>
      </c>
      <c r="AO114" s="7" t="n">
        <f aca="false">MAX(AE114,AF114)</f>
        <v>0</v>
      </c>
      <c r="AP114" s="7" t="n">
        <f aca="false">MAX(AG114,AH114)</f>
        <v>0</v>
      </c>
      <c r="AQ114" s="7" t="n">
        <f aca="false">MAX(AI114,AJ114)</f>
        <v>0</v>
      </c>
      <c r="AR114" s="7" t="n">
        <f aca="false">MAX(AK114,AL114)</f>
        <v>0</v>
      </c>
      <c r="AT114" s="7" t="str">
        <f aca="false">IF('KNOWIFY TIME'!B114="","",'KNOWIFY TIME'!B114)</f>
        <v/>
      </c>
      <c r="AU114" s="7" t="n">
        <f aca="false">IF(AT114="",0,IF(ISNUMBER('KNOWIFY TIME'!D114),'KNOWIFY TIME'!D114*24,IFERROR(VALUE(LEFT('KNOWIFY TIME'!D114,FIND(":",'KNOWIFY TIME'!D114)-1))+VALUE(MID('KNOWIFY TIME'!D114,FIND(":",'KNOWIFY TIME'!D114)+1,2))/60,0)))</f>
        <v>0</v>
      </c>
      <c r="AV114" s="7" t="n">
        <f aca="false">N('KNOWIFY TIME'!E114)</f>
        <v>0</v>
      </c>
      <c r="AW114" s="7" t="str">
        <f aca="false">IF(AT114="","",IFERROR(INDEX($BD$5:$BD$60,MATCH(AT114,$BC$5:$BC$60,0)),"Unmapped"))</f>
        <v/>
      </c>
    </row>
    <row r="115" customFormat="false" ht="15" hidden="false" customHeight="false" outlineLevel="0" collapsed="false">
      <c r="AA115" s="7" t="str">
        <f aca="false">IF('KNOWIFY PHASES'!A115="","",'KNOWIFY PHASES'!A115)</f>
        <v/>
      </c>
      <c r="AB115" s="7" t="str">
        <f aca="false">IF(AA115="","",IF(LEFT(AA115,4)="P - ","P",IF(LEFT(AA115,4)="H - ","H",IF(LEFT(AA115,5)="AC - ","AC",IF(OR(LEFT(AA115,4)="V - ",LEFT(AA115,7)="HVAC - "),"V","Other")))))</f>
        <v/>
      </c>
      <c r="AC115" s="7" t="str">
        <f aca="false">IF(AA115="","",IFERROR(LOOKUP(2,1/(($AZ$5:$AZ$60&lt;&gt;"")*ISNUMBER(SEARCH($AZ$5:$AZ$60,AA115))),$BA$5:$BA$60),IF(AB115="Other","Excluded","Unmapped")))</f>
        <v/>
      </c>
      <c r="AD115" s="7" t="str">
        <f aca="false">IF(AA115="","",IF(AND(AB115&lt;&gt;"Other",OR(AND('KNOWIFY PHASES'!B115="Closed",N('KNOWIFY PHASES'!D115)&gt;=0.5),N('KNOWIFY PHASES'!D115)&gt;=1)),1,0))</f>
        <v/>
      </c>
      <c r="AE115" s="7" t="n">
        <f aca="false">N('KNOWIFY PHASES'!L115)</f>
        <v>0</v>
      </c>
      <c r="AF115" s="7" t="n">
        <f aca="false">N('KNOWIFY PHASES'!K115)</f>
        <v>0</v>
      </c>
      <c r="AG115" s="7" t="n">
        <f aca="false">N('KNOWIFY PHASES'!I115)</f>
        <v>0</v>
      </c>
      <c r="AH115" s="7" t="n">
        <f aca="false">N('KNOWIFY PHASES'!H115)</f>
        <v>0</v>
      </c>
      <c r="AI115" s="7" t="n">
        <f aca="false">N('KNOWIFY PHASES'!O115)</f>
        <v>0</v>
      </c>
      <c r="AJ115" s="7" t="n">
        <f aca="false">N('KNOWIFY PHASES'!N115)</f>
        <v>0</v>
      </c>
      <c r="AK115" s="7" t="n">
        <f aca="false">N('KNOWIFY PHASES'!R115)</f>
        <v>0</v>
      </c>
      <c r="AL115" s="7" t="n">
        <f aca="false">N('KNOWIFY PHASES'!Q115)</f>
        <v>0</v>
      </c>
      <c r="AM115" s="7" t="n">
        <f aca="false">N('KNOWIFY PHASES'!F115)</f>
        <v>0</v>
      </c>
      <c r="AN115" s="7" t="n">
        <f aca="false">N('KNOWIFY PHASES'!E115)</f>
        <v>0</v>
      </c>
      <c r="AO115" s="7" t="n">
        <f aca="false">MAX(AE115,AF115)</f>
        <v>0</v>
      </c>
      <c r="AP115" s="7" t="n">
        <f aca="false">MAX(AG115,AH115)</f>
        <v>0</v>
      </c>
      <c r="AQ115" s="7" t="n">
        <f aca="false">MAX(AI115,AJ115)</f>
        <v>0</v>
      </c>
      <c r="AR115" s="7" t="n">
        <f aca="false">MAX(AK115,AL115)</f>
        <v>0</v>
      </c>
      <c r="AT115" s="7" t="str">
        <f aca="false">IF('KNOWIFY TIME'!B115="","",'KNOWIFY TIME'!B115)</f>
        <v/>
      </c>
      <c r="AU115" s="7" t="n">
        <f aca="false">IF(AT115="",0,IF(ISNUMBER('KNOWIFY TIME'!D115),'KNOWIFY TIME'!D115*24,IFERROR(VALUE(LEFT('KNOWIFY TIME'!D115,FIND(":",'KNOWIFY TIME'!D115)-1))+VALUE(MID('KNOWIFY TIME'!D115,FIND(":",'KNOWIFY TIME'!D115)+1,2))/60,0)))</f>
        <v>0</v>
      </c>
      <c r="AV115" s="7" t="n">
        <f aca="false">N('KNOWIFY TIME'!E115)</f>
        <v>0</v>
      </c>
      <c r="AW115" s="7" t="str">
        <f aca="false">IF(AT115="","",IFERROR(INDEX($BD$5:$BD$60,MATCH(AT115,$BC$5:$BC$60,0)),"Unmapped"))</f>
        <v/>
      </c>
    </row>
    <row r="116" customFormat="false" ht="15" hidden="false" customHeight="false" outlineLevel="0" collapsed="false">
      <c r="AA116" s="7" t="str">
        <f aca="false">IF('KNOWIFY PHASES'!A116="","",'KNOWIFY PHASES'!A116)</f>
        <v/>
      </c>
      <c r="AB116" s="7" t="str">
        <f aca="false">IF(AA116="","",IF(LEFT(AA116,4)="P - ","P",IF(LEFT(AA116,4)="H - ","H",IF(LEFT(AA116,5)="AC - ","AC",IF(OR(LEFT(AA116,4)="V - ",LEFT(AA116,7)="HVAC - "),"V","Other")))))</f>
        <v/>
      </c>
      <c r="AC116" s="7" t="str">
        <f aca="false">IF(AA116="","",IFERROR(LOOKUP(2,1/(($AZ$5:$AZ$60&lt;&gt;"")*ISNUMBER(SEARCH($AZ$5:$AZ$60,AA116))),$BA$5:$BA$60),IF(AB116="Other","Excluded","Unmapped")))</f>
        <v/>
      </c>
      <c r="AD116" s="7" t="str">
        <f aca="false">IF(AA116="","",IF(AND(AB116&lt;&gt;"Other",OR(AND('KNOWIFY PHASES'!B116="Closed",N('KNOWIFY PHASES'!D116)&gt;=0.5),N('KNOWIFY PHASES'!D116)&gt;=1)),1,0))</f>
        <v/>
      </c>
      <c r="AE116" s="7" t="n">
        <f aca="false">N('KNOWIFY PHASES'!L116)</f>
        <v>0</v>
      </c>
      <c r="AF116" s="7" t="n">
        <f aca="false">N('KNOWIFY PHASES'!K116)</f>
        <v>0</v>
      </c>
      <c r="AG116" s="7" t="n">
        <f aca="false">N('KNOWIFY PHASES'!I116)</f>
        <v>0</v>
      </c>
      <c r="AH116" s="7" t="n">
        <f aca="false">N('KNOWIFY PHASES'!H116)</f>
        <v>0</v>
      </c>
      <c r="AI116" s="7" t="n">
        <f aca="false">N('KNOWIFY PHASES'!O116)</f>
        <v>0</v>
      </c>
      <c r="AJ116" s="7" t="n">
        <f aca="false">N('KNOWIFY PHASES'!N116)</f>
        <v>0</v>
      </c>
      <c r="AK116" s="7" t="n">
        <f aca="false">N('KNOWIFY PHASES'!R116)</f>
        <v>0</v>
      </c>
      <c r="AL116" s="7" t="n">
        <f aca="false">N('KNOWIFY PHASES'!Q116)</f>
        <v>0</v>
      </c>
      <c r="AM116" s="7" t="n">
        <f aca="false">N('KNOWIFY PHASES'!F116)</f>
        <v>0</v>
      </c>
      <c r="AN116" s="7" t="n">
        <f aca="false">N('KNOWIFY PHASES'!E116)</f>
        <v>0</v>
      </c>
      <c r="AO116" s="7" t="n">
        <f aca="false">MAX(AE116,AF116)</f>
        <v>0</v>
      </c>
      <c r="AP116" s="7" t="n">
        <f aca="false">MAX(AG116,AH116)</f>
        <v>0</v>
      </c>
      <c r="AQ116" s="7" t="n">
        <f aca="false">MAX(AI116,AJ116)</f>
        <v>0</v>
      </c>
      <c r="AR116" s="7" t="n">
        <f aca="false">MAX(AK116,AL116)</f>
        <v>0</v>
      </c>
      <c r="AT116" s="7" t="str">
        <f aca="false">IF('KNOWIFY TIME'!B116="","",'KNOWIFY TIME'!B116)</f>
        <v/>
      </c>
      <c r="AU116" s="7" t="n">
        <f aca="false">IF(AT116="",0,IF(ISNUMBER('KNOWIFY TIME'!D116),'KNOWIFY TIME'!D116*24,IFERROR(VALUE(LEFT('KNOWIFY TIME'!D116,FIND(":",'KNOWIFY TIME'!D116)-1))+VALUE(MID('KNOWIFY TIME'!D116,FIND(":",'KNOWIFY TIME'!D116)+1,2))/60,0)))</f>
        <v>0</v>
      </c>
      <c r="AV116" s="7" t="n">
        <f aca="false">N('KNOWIFY TIME'!E116)</f>
        <v>0</v>
      </c>
      <c r="AW116" s="7" t="str">
        <f aca="false">IF(AT116="","",IFERROR(INDEX($BD$5:$BD$60,MATCH(AT116,$BC$5:$BC$60,0)),"Unmapped"))</f>
        <v/>
      </c>
    </row>
    <row r="117" customFormat="false" ht="15" hidden="false" customHeight="false" outlineLevel="0" collapsed="false">
      <c r="AA117" s="7" t="str">
        <f aca="false">IF('KNOWIFY PHASES'!A117="","",'KNOWIFY PHASES'!A117)</f>
        <v/>
      </c>
      <c r="AB117" s="7" t="str">
        <f aca="false">IF(AA117="","",IF(LEFT(AA117,4)="P - ","P",IF(LEFT(AA117,4)="H - ","H",IF(LEFT(AA117,5)="AC - ","AC",IF(OR(LEFT(AA117,4)="V - ",LEFT(AA117,7)="HVAC - "),"V","Other")))))</f>
        <v/>
      </c>
      <c r="AC117" s="7" t="str">
        <f aca="false">IF(AA117="","",IFERROR(LOOKUP(2,1/(($AZ$5:$AZ$60&lt;&gt;"")*ISNUMBER(SEARCH($AZ$5:$AZ$60,AA117))),$BA$5:$BA$60),IF(AB117="Other","Excluded","Unmapped")))</f>
        <v/>
      </c>
      <c r="AD117" s="7" t="str">
        <f aca="false">IF(AA117="","",IF(AND(AB117&lt;&gt;"Other",OR(AND('KNOWIFY PHASES'!B117="Closed",N('KNOWIFY PHASES'!D117)&gt;=0.5),N('KNOWIFY PHASES'!D117)&gt;=1)),1,0))</f>
        <v/>
      </c>
      <c r="AE117" s="7" t="n">
        <f aca="false">N('KNOWIFY PHASES'!L117)</f>
        <v>0</v>
      </c>
      <c r="AF117" s="7" t="n">
        <f aca="false">N('KNOWIFY PHASES'!K117)</f>
        <v>0</v>
      </c>
      <c r="AG117" s="7" t="n">
        <f aca="false">N('KNOWIFY PHASES'!I117)</f>
        <v>0</v>
      </c>
      <c r="AH117" s="7" t="n">
        <f aca="false">N('KNOWIFY PHASES'!H117)</f>
        <v>0</v>
      </c>
      <c r="AI117" s="7" t="n">
        <f aca="false">N('KNOWIFY PHASES'!O117)</f>
        <v>0</v>
      </c>
      <c r="AJ117" s="7" t="n">
        <f aca="false">N('KNOWIFY PHASES'!N117)</f>
        <v>0</v>
      </c>
      <c r="AK117" s="7" t="n">
        <f aca="false">N('KNOWIFY PHASES'!R117)</f>
        <v>0</v>
      </c>
      <c r="AL117" s="7" t="n">
        <f aca="false">N('KNOWIFY PHASES'!Q117)</f>
        <v>0</v>
      </c>
      <c r="AM117" s="7" t="n">
        <f aca="false">N('KNOWIFY PHASES'!F117)</f>
        <v>0</v>
      </c>
      <c r="AN117" s="7" t="n">
        <f aca="false">N('KNOWIFY PHASES'!E117)</f>
        <v>0</v>
      </c>
      <c r="AO117" s="7" t="n">
        <f aca="false">MAX(AE117,AF117)</f>
        <v>0</v>
      </c>
      <c r="AP117" s="7" t="n">
        <f aca="false">MAX(AG117,AH117)</f>
        <v>0</v>
      </c>
      <c r="AQ117" s="7" t="n">
        <f aca="false">MAX(AI117,AJ117)</f>
        <v>0</v>
      </c>
      <c r="AR117" s="7" t="n">
        <f aca="false">MAX(AK117,AL117)</f>
        <v>0</v>
      </c>
      <c r="AT117" s="7" t="str">
        <f aca="false">IF('KNOWIFY TIME'!B117="","",'KNOWIFY TIME'!B117)</f>
        <v/>
      </c>
      <c r="AU117" s="7" t="n">
        <f aca="false">IF(AT117="",0,IF(ISNUMBER('KNOWIFY TIME'!D117),'KNOWIFY TIME'!D117*24,IFERROR(VALUE(LEFT('KNOWIFY TIME'!D117,FIND(":",'KNOWIFY TIME'!D117)-1))+VALUE(MID('KNOWIFY TIME'!D117,FIND(":",'KNOWIFY TIME'!D117)+1,2))/60,0)))</f>
        <v>0</v>
      </c>
      <c r="AV117" s="7" t="n">
        <f aca="false">N('KNOWIFY TIME'!E117)</f>
        <v>0</v>
      </c>
      <c r="AW117" s="7" t="str">
        <f aca="false">IF(AT117="","",IFERROR(INDEX($BD$5:$BD$60,MATCH(AT117,$BC$5:$BC$60,0)),"Unmapped"))</f>
        <v/>
      </c>
    </row>
    <row r="118" customFormat="false" ht="15" hidden="false" customHeight="false" outlineLevel="0" collapsed="false">
      <c r="AA118" s="7" t="str">
        <f aca="false">IF('KNOWIFY PHASES'!A118="","",'KNOWIFY PHASES'!A118)</f>
        <v/>
      </c>
      <c r="AB118" s="7" t="str">
        <f aca="false">IF(AA118="","",IF(LEFT(AA118,4)="P - ","P",IF(LEFT(AA118,4)="H - ","H",IF(LEFT(AA118,5)="AC - ","AC",IF(OR(LEFT(AA118,4)="V - ",LEFT(AA118,7)="HVAC - "),"V","Other")))))</f>
        <v/>
      </c>
      <c r="AC118" s="7" t="str">
        <f aca="false">IF(AA118="","",IFERROR(LOOKUP(2,1/(($AZ$5:$AZ$60&lt;&gt;"")*ISNUMBER(SEARCH($AZ$5:$AZ$60,AA118))),$BA$5:$BA$60),IF(AB118="Other","Excluded","Unmapped")))</f>
        <v/>
      </c>
      <c r="AD118" s="7" t="str">
        <f aca="false">IF(AA118="","",IF(AND(AB118&lt;&gt;"Other",OR(AND('KNOWIFY PHASES'!B118="Closed",N('KNOWIFY PHASES'!D118)&gt;=0.5),N('KNOWIFY PHASES'!D118)&gt;=1)),1,0))</f>
        <v/>
      </c>
      <c r="AE118" s="7" t="n">
        <f aca="false">N('KNOWIFY PHASES'!L118)</f>
        <v>0</v>
      </c>
      <c r="AF118" s="7" t="n">
        <f aca="false">N('KNOWIFY PHASES'!K118)</f>
        <v>0</v>
      </c>
      <c r="AG118" s="7" t="n">
        <f aca="false">N('KNOWIFY PHASES'!I118)</f>
        <v>0</v>
      </c>
      <c r="AH118" s="7" t="n">
        <f aca="false">N('KNOWIFY PHASES'!H118)</f>
        <v>0</v>
      </c>
      <c r="AI118" s="7" t="n">
        <f aca="false">N('KNOWIFY PHASES'!O118)</f>
        <v>0</v>
      </c>
      <c r="AJ118" s="7" t="n">
        <f aca="false">N('KNOWIFY PHASES'!N118)</f>
        <v>0</v>
      </c>
      <c r="AK118" s="7" t="n">
        <f aca="false">N('KNOWIFY PHASES'!R118)</f>
        <v>0</v>
      </c>
      <c r="AL118" s="7" t="n">
        <f aca="false">N('KNOWIFY PHASES'!Q118)</f>
        <v>0</v>
      </c>
      <c r="AM118" s="7" t="n">
        <f aca="false">N('KNOWIFY PHASES'!F118)</f>
        <v>0</v>
      </c>
      <c r="AN118" s="7" t="n">
        <f aca="false">N('KNOWIFY PHASES'!E118)</f>
        <v>0</v>
      </c>
      <c r="AO118" s="7" t="n">
        <f aca="false">MAX(AE118,AF118)</f>
        <v>0</v>
      </c>
      <c r="AP118" s="7" t="n">
        <f aca="false">MAX(AG118,AH118)</f>
        <v>0</v>
      </c>
      <c r="AQ118" s="7" t="n">
        <f aca="false">MAX(AI118,AJ118)</f>
        <v>0</v>
      </c>
      <c r="AR118" s="7" t="n">
        <f aca="false">MAX(AK118,AL118)</f>
        <v>0</v>
      </c>
      <c r="AT118" s="7" t="str">
        <f aca="false">IF('KNOWIFY TIME'!B118="","",'KNOWIFY TIME'!B118)</f>
        <v/>
      </c>
      <c r="AU118" s="7" t="n">
        <f aca="false">IF(AT118="",0,IF(ISNUMBER('KNOWIFY TIME'!D118),'KNOWIFY TIME'!D118*24,IFERROR(VALUE(LEFT('KNOWIFY TIME'!D118,FIND(":",'KNOWIFY TIME'!D118)-1))+VALUE(MID('KNOWIFY TIME'!D118,FIND(":",'KNOWIFY TIME'!D118)+1,2))/60,0)))</f>
        <v>0</v>
      </c>
      <c r="AV118" s="7" t="n">
        <f aca="false">N('KNOWIFY TIME'!E118)</f>
        <v>0</v>
      </c>
      <c r="AW118" s="7" t="str">
        <f aca="false">IF(AT118="","",IFERROR(INDEX($BD$5:$BD$60,MATCH(AT118,$BC$5:$BC$60,0)),"Unmapped"))</f>
        <v/>
      </c>
    </row>
    <row r="119" customFormat="false" ht="15" hidden="false" customHeight="false" outlineLevel="0" collapsed="false">
      <c r="AA119" s="7" t="str">
        <f aca="false">IF('KNOWIFY PHASES'!A119="","",'KNOWIFY PHASES'!A119)</f>
        <v/>
      </c>
      <c r="AB119" s="7" t="str">
        <f aca="false">IF(AA119="","",IF(LEFT(AA119,4)="P - ","P",IF(LEFT(AA119,4)="H - ","H",IF(LEFT(AA119,5)="AC - ","AC",IF(OR(LEFT(AA119,4)="V - ",LEFT(AA119,7)="HVAC - "),"V","Other")))))</f>
        <v/>
      </c>
      <c r="AC119" s="7" t="str">
        <f aca="false">IF(AA119="","",IFERROR(LOOKUP(2,1/(($AZ$5:$AZ$60&lt;&gt;"")*ISNUMBER(SEARCH($AZ$5:$AZ$60,AA119))),$BA$5:$BA$60),IF(AB119="Other","Excluded","Unmapped")))</f>
        <v/>
      </c>
      <c r="AD119" s="7" t="str">
        <f aca="false">IF(AA119="","",IF(AND(AB119&lt;&gt;"Other",OR(AND('KNOWIFY PHASES'!B119="Closed",N('KNOWIFY PHASES'!D119)&gt;=0.5),N('KNOWIFY PHASES'!D119)&gt;=1)),1,0))</f>
        <v/>
      </c>
      <c r="AE119" s="7" t="n">
        <f aca="false">N('KNOWIFY PHASES'!L119)</f>
        <v>0</v>
      </c>
      <c r="AF119" s="7" t="n">
        <f aca="false">N('KNOWIFY PHASES'!K119)</f>
        <v>0</v>
      </c>
      <c r="AG119" s="7" t="n">
        <f aca="false">N('KNOWIFY PHASES'!I119)</f>
        <v>0</v>
      </c>
      <c r="AH119" s="7" t="n">
        <f aca="false">N('KNOWIFY PHASES'!H119)</f>
        <v>0</v>
      </c>
      <c r="AI119" s="7" t="n">
        <f aca="false">N('KNOWIFY PHASES'!O119)</f>
        <v>0</v>
      </c>
      <c r="AJ119" s="7" t="n">
        <f aca="false">N('KNOWIFY PHASES'!N119)</f>
        <v>0</v>
      </c>
      <c r="AK119" s="7" t="n">
        <f aca="false">N('KNOWIFY PHASES'!R119)</f>
        <v>0</v>
      </c>
      <c r="AL119" s="7" t="n">
        <f aca="false">N('KNOWIFY PHASES'!Q119)</f>
        <v>0</v>
      </c>
      <c r="AM119" s="7" t="n">
        <f aca="false">N('KNOWIFY PHASES'!F119)</f>
        <v>0</v>
      </c>
      <c r="AN119" s="7" t="n">
        <f aca="false">N('KNOWIFY PHASES'!E119)</f>
        <v>0</v>
      </c>
      <c r="AO119" s="7" t="n">
        <f aca="false">MAX(AE119,AF119)</f>
        <v>0</v>
      </c>
      <c r="AP119" s="7" t="n">
        <f aca="false">MAX(AG119,AH119)</f>
        <v>0</v>
      </c>
      <c r="AQ119" s="7" t="n">
        <f aca="false">MAX(AI119,AJ119)</f>
        <v>0</v>
      </c>
      <c r="AR119" s="7" t="n">
        <f aca="false">MAX(AK119,AL119)</f>
        <v>0</v>
      </c>
      <c r="AT119" s="7" t="str">
        <f aca="false">IF('KNOWIFY TIME'!B119="","",'KNOWIFY TIME'!B119)</f>
        <v/>
      </c>
      <c r="AU119" s="7" t="n">
        <f aca="false">IF(AT119="",0,IF(ISNUMBER('KNOWIFY TIME'!D119),'KNOWIFY TIME'!D119*24,IFERROR(VALUE(LEFT('KNOWIFY TIME'!D119,FIND(":",'KNOWIFY TIME'!D119)-1))+VALUE(MID('KNOWIFY TIME'!D119,FIND(":",'KNOWIFY TIME'!D119)+1,2))/60,0)))</f>
        <v>0</v>
      </c>
      <c r="AV119" s="7" t="n">
        <f aca="false">N('KNOWIFY TIME'!E119)</f>
        <v>0</v>
      </c>
      <c r="AW119" s="7" t="str">
        <f aca="false">IF(AT119="","",IFERROR(INDEX($BD$5:$BD$60,MATCH(AT119,$BC$5:$BC$60,0)),"Unmapped"))</f>
        <v/>
      </c>
    </row>
    <row r="120" customFormat="false" ht="15" hidden="false" customHeight="false" outlineLevel="0" collapsed="false">
      <c r="AA120" s="7" t="str">
        <f aca="false">IF('KNOWIFY PHASES'!A120="","",'KNOWIFY PHASES'!A120)</f>
        <v/>
      </c>
      <c r="AB120" s="7" t="str">
        <f aca="false">IF(AA120="","",IF(LEFT(AA120,4)="P - ","P",IF(LEFT(AA120,4)="H - ","H",IF(LEFT(AA120,5)="AC - ","AC",IF(OR(LEFT(AA120,4)="V - ",LEFT(AA120,7)="HVAC - "),"V","Other")))))</f>
        <v/>
      </c>
      <c r="AC120" s="7" t="str">
        <f aca="false">IF(AA120="","",IFERROR(LOOKUP(2,1/(($AZ$5:$AZ$60&lt;&gt;"")*ISNUMBER(SEARCH($AZ$5:$AZ$60,AA120))),$BA$5:$BA$60),IF(AB120="Other","Excluded","Unmapped")))</f>
        <v/>
      </c>
      <c r="AD120" s="7" t="str">
        <f aca="false">IF(AA120="","",IF(AND(AB120&lt;&gt;"Other",OR(AND('KNOWIFY PHASES'!B120="Closed",N('KNOWIFY PHASES'!D120)&gt;=0.5),N('KNOWIFY PHASES'!D120)&gt;=1)),1,0))</f>
        <v/>
      </c>
      <c r="AE120" s="7" t="n">
        <f aca="false">N('KNOWIFY PHASES'!L120)</f>
        <v>0</v>
      </c>
      <c r="AF120" s="7" t="n">
        <f aca="false">N('KNOWIFY PHASES'!K120)</f>
        <v>0</v>
      </c>
      <c r="AG120" s="7" t="n">
        <f aca="false">N('KNOWIFY PHASES'!I120)</f>
        <v>0</v>
      </c>
      <c r="AH120" s="7" t="n">
        <f aca="false">N('KNOWIFY PHASES'!H120)</f>
        <v>0</v>
      </c>
      <c r="AI120" s="7" t="n">
        <f aca="false">N('KNOWIFY PHASES'!O120)</f>
        <v>0</v>
      </c>
      <c r="AJ120" s="7" t="n">
        <f aca="false">N('KNOWIFY PHASES'!N120)</f>
        <v>0</v>
      </c>
      <c r="AK120" s="7" t="n">
        <f aca="false">N('KNOWIFY PHASES'!R120)</f>
        <v>0</v>
      </c>
      <c r="AL120" s="7" t="n">
        <f aca="false">N('KNOWIFY PHASES'!Q120)</f>
        <v>0</v>
      </c>
      <c r="AM120" s="7" t="n">
        <f aca="false">N('KNOWIFY PHASES'!F120)</f>
        <v>0</v>
      </c>
      <c r="AN120" s="7" t="n">
        <f aca="false">N('KNOWIFY PHASES'!E120)</f>
        <v>0</v>
      </c>
      <c r="AO120" s="7" t="n">
        <f aca="false">MAX(AE120,AF120)</f>
        <v>0</v>
      </c>
      <c r="AP120" s="7" t="n">
        <f aca="false">MAX(AG120,AH120)</f>
        <v>0</v>
      </c>
      <c r="AQ120" s="7" t="n">
        <f aca="false">MAX(AI120,AJ120)</f>
        <v>0</v>
      </c>
      <c r="AR120" s="7" t="n">
        <f aca="false">MAX(AK120,AL120)</f>
        <v>0</v>
      </c>
      <c r="AT120" s="7" t="str">
        <f aca="false">IF('KNOWIFY TIME'!B120="","",'KNOWIFY TIME'!B120)</f>
        <v/>
      </c>
      <c r="AU120" s="7" t="n">
        <f aca="false">IF(AT120="",0,IF(ISNUMBER('KNOWIFY TIME'!D120),'KNOWIFY TIME'!D120*24,IFERROR(VALUE(LEFT('KNOWIFY TIME'!D120,FIND(":",'KNOWIFY TIME'!D120)-1))+VALUE(MID('KNOWIFY TIME'!D120,FIND(":",'KNOWIFY TIME'!D120)+1,2))/60,0)))</f>
        <v>0</v>
      </c>
      <c r="AV120" s="7" t="n">
        <f aca="false">N('KNOWIFY TIME'!E120)</f>
        <v>0</v>
      </c>
      <c r="AW120" s="7" t="str">
        <f aca="false">IF(AT120="","",IFERROR(INDEX($BD$5:$BD$60,MATCH(AT120,$BC$5:$BC$60,0)),"Unmapped"))</f>
        <v/>
      </c>
    </row>
    <row r="121" customFormat="false" ht="15" hidden="false" customHeight="false" outlineLevel="0" collapsed="false">
      <c r="AA121" s="7" t="str">
        <f aca="false">IF('KNOWIFY PHASES'!A121="","",'KNOWIFY PHASES'!A121)</f>
        <v/>
      </c>
      <c r="AB121" s="7" t="str">
        <f aca="false">IF(AA121="","",IF(LEFT(AA121,4)="P - ","P",IF(LEFT(AA121,4)="H - ","H",IF(LEFT(AA121,5)="AC - ","AC",IF(OR(LEFT(AA121,4)="V - ",LEFT(AA121,7)="HVAC - "),"V","Other")))))</f>
        <v/>
      </c>
      <c r="AC121" s="7" t="str">
        <f aca="false">IF(AA121="","",IFERROR(LOOKUP(2,1/(($AZ$5:$AZ$60&lt;&gt;"")*ISNUMBER(SEARCH($AZ$5:$AZ$60,AA121))),$BA$5:$BA$60),IF(AB121="Other","Excluded","Unmapped")))</f>
        <v/>
      </c>
      <c r="AD121" s="7" t="str">
        <f aca="false">IF(AA121="","",IF(AND(AB121&lt;&gt;"Other",OR(AND('KNOWIFY PHASES'!B121="Closed",N('KNOWIFY PHASES'!D121)&gt;=0.5),N('KNOWIFY PHASES'!D121)&gt;=1)),1,0))</f>
        <v/>
      </c>
      <c r="AE121" s="7" t="n">
        <f aca="false">N('KNOWIFY PHASES'!L121)</f>
        <v>0</v>
      </c>
      <c r="AF121" s="7" t="n">
        <f aca="false">N('KNOWIFY PHASES'!K121)</f>
        <v>0</v>
      </c>
      <c r="AG121" s="7" t="n">
        <f aca="false">N('KNOWIFY PHASES'!I121)</f>
        <v>0</v>
      </c>
      <c r="AH121" s="7" t="n">
        <f aca="false">N('KNOWIFY PHASES'!H121)</f>
        <v>0</v>
      </c>
      <c r="AI121" s="7" t="n">
        <f aca="false">N('KNOWIFY PHASES'!O121)</f>
        <v>0</v>
      </c>
      <c r="AJ121" s="7" t="n">
        <f aca="false">N('KNOWIFY PHASES'!N121)</f>
        <v>0</v>
      </c>
      <c r="AK121" s="7" t="n">
        <f aca="false">N('KNOWIFY PHASES'!R121)</f>
        <v>0</v>
      </c>
      <c r="AL121" s="7" t="n">
        <f aca="false">N('KNOWIFY PHASES'!Q121)</f>
        <v>0</v>
      </c>
      <c r="AM121" s="7" t="n">
        <f aca="false">N('KNOWIFY PHASES'!F121)</f>
        <v>0</v>
      </c>
      <c r="AN121" s="7" t="n">
        <f aca="false">N('KNOWIFY PHASES'!E121)</f>
        <v>0</v>
      </c>
      <c r="AO121" s="7" t="n">
        <f aca="false">MAX(AE121,AF121)</f>
        <v>0</v>
      </c>
      <c r="AP121" s="7" t="n">
        <f aca="false">MAX(AG121,AH121)</f>
        <v>0</v>
      </c>
      <c r="AQ121" s="7" t="n">
        <f aca="false">MAX(AI121,AJ121)</f>
        <v>0</v>
      </c>
      <c r="AR121" s="7" t="n">
        <f aca="false">MAX(AK121,AL121)</f>
        <v>0</v>
      </c>
      <c r="AT121" s="7" t="str">
        <f aca="false">IF('KNOWIFY TIME'!B121="","",'KNOWIFY TIME'!B121)</f>
        <v/>
      </c>
      <c r="AU121" s="7" t="n">
        <f aca="false">IF(AT121="",0,IF(ISNUMBER('KNOWIFY TIME'!D121),'KNOWIFY TIME'!D121*24,IFERROR(VALUE(LEFT('KNOWIFY TIME'!D121,FIND(":",'KNOWIFY TIME'!D121)-1))+VALUE(MID('KNOWIFY TIME'!D121,FIND(":",'KNOWIFY TIME'!D121)+1,2))/60,0)))</f>
        <v>0</v>
      </c>
      <c r="AV121" s="7" t="n">
        <f aca="false">N('KNOWIFY TIME'!E121)</f>
        <v>0</v>
      </c>
      <c r="AW121" s="7" t="str">
        <f aca="false">IF(AT121="","",IFERROR(INDEX($BD$5:$BD$60,MATCH(AT121,$BC$5:$BC$60,0)),"Unmapped"))</f>
        <v/>
      </c>
    </row>
    <row r="122" customFormat="false" ht="15" hidden="false" customHeight="false" outlineLevel="0" collapsed="false">
      <c r="AA122" s="7" t="str">
        <f aca="false">IF('KNOWIFY PHASES'!A122="","",'KNOWIFY PHASES'!A122)</f>
        <v/>
      </c>
      <c r="AB122" s="7" t="str">
        <f aca="false">IF(AA122="","",IF(LEFT(AA122,4)="P - ","P",IF(LEFT(AA122,4)="H - ","H",IF(LEFT(AA122,5)="AC - ","AC",IF(OR(LEFT(AA122,4)="V - ",LEFT(AA122,7)="HVAC - "),"V","Other")))))</f>
        <v/>
      </c>
      <c r="AC122" s="7" t="str">
        <f aca="false">IF(AA122="","",IFERROR(LOOKUP(2,1/(($AZ$5:$AZ$60&lt;&gt;"")*ISNUMBER(SEARCH($AZ$5:$AZ$60,AA122))),$BA$5:$BA$60),IF(AB122="Other","Excluded","Unmapped")))</f>
        <v/>
      </c>
      <c r="AD122" s="7" t="str">
        <f aca="false">IF(AA122="","",IF(AND(AB122&lt;&gt;"Other",OR(AND('KNOWIFY PHASES'!B122="Closed",N('KNOWIFY PHASES'!D122)&gt;=0.5),N('KNOWIFY PHASES'!D122)&gt;=1)),1,0))</f>
        <v/>
      </c>
      <c r="AE122" s="7" t="n">
        <f aca="false">N('KNOWIFY PHASES'!L122)</f>
        <v>0</v>
      </c>
      <c r="AF122" s="7" t="n">
        <f aca="false">N('KNOWIFY PHASES'!K122)</f>
        <v>0</v>
      </c>
      <c r="AG122" s="7" t="n">
        <f aca="false">N('KNOWIFY PHASES'!I122)</f>
        <v>0</v>
      </c>
      <c r="AH122" s="7" t="n">
        <f aca="false">N('KNOWIFY PHASES'!H122)</f>
        <v>0</v>
      </c>
      <c r="AI122" s="7" t="n">
        <f aca="false">N('KNOWIFY PHASES'!O122)</f>
        <v>0</v>
      </c>
      <c r="AJ122" s="7" t="n">
        <f aca="false">N('KNOWIFY PHASES'!N122)</f>
        <v>0</v>
      </c>
      <c r="AK122" s="7" t="n">
        <f aca="false">N('KNOWIFY PHASES'!R122)</f>
        <v>0</v>
      </c>
      <c r="AL122" s="7" t="n">
        <f aca="false">N('KNOWIFY PHASES'!Q122)</f>
        <v>0</v>
      </c>
      <c r="AM122" s="7" t="n">
        <f aca="false">N('KNOWIFY PHASES'!F122)</f>
        <v>0</v>
      </c>
      <c r="AN122" s="7" t="n">
        <f aca="false">N('KNOWIFY PHASES'!E122)</f>
        <v>0</v>
      </c>
      <c r="AO122" s="7" t="n">
        <f aca="false">MAX(AE122,AF122)</f>
        <v>0</v>
      </c>
      <c r="AP122" s="7" t="n">
        <f aca="false">MAX(AG122,AH122)</f>
        <v>0</v>
      </c>
      <c r="AQ122" s="7" t="n">
        <f aca="false">MAX(AI122,AJ122)</f>
        <v>0</v>
      </c>
      <c r="AR122" s="7" t="n">
        <f aca="false">MAX(AK122,AL122)</f>
        <v>0</v>
      </c>
      <c r="AT122" s="7" t="str">
        <f aca="false">IF('KNOWIFY TIME'!B122="","",'KNOWIFY TIME'!B122)</f>
        <v/>
      </c>
      <c r="AU122" s="7" t="n">
        <f aca="false">IF(AT122="",0,IF(ISNUMBER('KNOWIFY TIME'!D122),'KNOWIFY TIME'!D122*24,IFERROR(VALUE(LEFT('KNOWIFY TIME'!D122,FIND(":",'KNOWIFY TIME'!D122)-1))+VALUE(MID('KNOWIFY TIME'!D122,FIND(":",'KNOWIFY TIME'!D122)+1,2))/60,0)))</f>
        <v>0</v>
      </c>
      <c r="AV122" s="7" t="n">
        <f aca="false">N('KNOWIFY TIME'!E122)</f>
        <v>0</v>
      </c>
      <c r="AW122" s="7" t="str">
        <f aca="false">IF(AT122="","",IFERROR(INDEX($BD$5:$BD$60,MATCH(AT122,$BC$5:$BC$60,0)),"Unmapped"))</f>
        <v/>
      </c>
    </row>
    <row r="123" customFormat="false" ht="15" hidden="false" customHeight="false" outlineLevel="0" collapsed="false">
      <c r="AA123" s="7" t="str">
        <f aca="false">IF('KNOWIFY PHASES'!A123="","",'KNOWIFY PHASES'!A123)</f>
        <v/>
      </c>
      <c r="AB123" s="7" t="str">
        <f aca="false">IF(AA123="","",IF(LEFT(AA123,4)="P - ","P",IF(LEFT(AA123,4)="H - ","H",IF(LEFT(AA123,5)="AC - ","AC",IF(OR(LEFT(AA123,4)="V - ",LEFT(AA123,7)="HVAC - "),"V","Other")))))</f>
        <v/>
      </c>
      <c r="AC123" s="7" t="str">
        <f aca="false">IF(AA123="","",IFERROR(LOOKUP(2,1/(($AZ$5:$AZ$60&lt;&gt;"")*ISNUMBER(SEARCH($AZ$5:$AZ$60,AA123))),$BA$5:$BA$60),IF(AB123="Other","Excluded","Unmapped")))</f>
        <v/>
      </c>
      <c r="AD123" s="7" t="str">
        <f aca="false">IF(AA123="","",IF(AND(AB123&lt;&gt;"Other",OR(AND('KNOWIFY PHASES'!B123="Closed",N('KNOWIFY PHASES'!D123)&gt;=0.5),N('KNOWIFY PHASES'!D123)&gt;=1)),1,0))</f>
        <v/>
      </c>
      <c r="AE123" s="7" t="n">
        <f aca="false">N('KNOWIFY PHASES'!L123)</f>
        <v>0</v>
      </c>
      <c r="AF123" s="7" t="n">
        <f aca="false">N('KNOWIFY PHASES'!K123)</f>
        <v>0</v>
      </c>
      <c r="AG123" s="7" t="n">
        <f aca="false">N('KNOWIFY PHASES'!I123)</f>
        <v>0</v>
      </c>
      <c r="AH123" s="7" t="n">
        <f aca="false">N('KNOWIFY PHASES'!H123)</f>
        <v>0</v>
      </c>
      <c r="AI123" s="7" t="n">
        <f aca="false">N('KNOWIFY PHASES'!O123)</f>
        <v>0</v>
      </c>
      <c r="AJ123" s="7" t="n">
        <f aca="false">N('KNOWIFY PHASES'!N123)</f>
        <v>0</v>
      </c>
      <c r="AK123" s="7" t="n">
        <f aca="false">N('KNOWIFY PHASES'!R123)</f>
        <v>0</v>
      </c>
      <c r="AL123" s="7" t="n">
        <f aca="false">N('KNOWIFY PHASES'!Q123)</f>
        <v>0</v>
      </c>
      <c r="AM123" s="7" t="n">
        <f aca="false">N('KNOWIFY PHASES'!F123)</f>
        <v>0</v>
      </c>
      <c r="AN123" s="7" t="n">
        <f aca="false">N('KNOWIFY PHASES'!E123)</f>
        <v>0</v>
      </c>
      <c r="AO123" s="7" t="n">
        <f aca="false">MAX(AE123,AF123)</f>
        <v>0</v>
      </c>
      <c r="AP123" s="7" t="n">
        <f aca="false">MAX(AG123,AH123)</f>
        <v>0</v>
      </c>
      <c r="AQ123" s="7" t="n">
        <f aca="false">MAX(AI123,AJ123)</f>
        <v>0</v>
      </c>
      <c r="AR123" s="7" t="n">
        <f aca="false">MAX(AK123,AL123)</f>
        <v>0</v>
      </c>
      <c r="AT123" s="7" t="str">
        <f aca="false">IF('KNOWIFY TIME'!B123="","",'KNOWIFY TIME'!B123)</f>
        <v/>
      </c>
      <c r="AU123" s="7" t="n">
        <f aca="false">IF(AT123="",0,IF(ISNUMBER('KNOWIFY TIME'!D123),'KNOWIFY TIME'!D123*24,IFERROR(VALUE(LEFT('KNOWIFY TIME'!D123,FIND(":",'KNOWIFY TIME'!D123)-1))+VALUE(MID('KNOWIFY TIME'!D123,FIND(":",'KNOWIFY TIME'!D123)+1,2))/60,0)))</f>
        <v>0</v>
      </c>
      <c r="AV123" s="7" t="n">
        <f aca="false">N('KNOWIFY TIME'!E123)</f>
        <v>0</v>
      </c>
      <c r="AW123" s="7" t="str">
        <f aca="false">IF(AT123="","",IFERROR(INDEX($BD$5:$BD$60,MATCH(AT123,$BC$5:$BC$60,0)),"Unmapped"))</f>
        <v/>
      </c>
    </row>
    <row r="124" customFormat="false" ht="15" hidden="false" customHeight="false" outlineLevel="0" collapsed="false">
      <c r="AA124" s="7" t="str">
        <f aca="false">IF('KNOWIFY PHASES'!A124="","",'KNOWIFY PHASES'!A124)</f>
        <v/>
      </c>
      <c r="AB124" s="7" t="str">
        <f aca="false">IF(AA124="","",IF(LEFT(AA124,4)="P - ","P",IF(LEFT(AA124,4)="H - ","H",IF(LEFT(AA124,5)="AC - ","AC",IF(OR(LEFT(AA124,4)="V - ",LEFT(AA124,7)="HVAC - "),"V","Other")))))</f>
        <v/>
      </c>
      <c r="AC124" s="7" t="str">
        <f aca="false">IF(AA124="","",IFERROR(LOOKUP(2,1/(($AZ$5:$AZ$60&lt;&gt;"")*ISNUMBER(SEARCH($AZ$5:$AZ$60,AA124))),$BA$5:$BA$60),IF(AB124="Other","Excluded","Unmapped")))</f>
        <v/>
      </c>
      <c r="AD124" s="7" t="str">
        <f aca="false">IF(AA124="","",IF(AND(AB124&lt;&gt;"Other",OR(AND('KNOWIFY PHASES'!B124="Closed",N('KNOWIFY PHASES'!D124)&gt;=0.5),N('KNOWIFY PHASES'!D124)&gt;=1)),1,0))</f>
        <v/>
      </c>
      <c r="AE124" s="7" t="n">
        <f aca="false">N('KNOWIFY PHASES'!L124)</f>
        <v>0</v>
      </c>
      <c r="AF124" s="7" t="n">
        <f aca="false">N('KNOWIFY PHASES'!K124)</f>
        <v>0</v>
      </c>
      <c r="AG124" s="7" t="n">
        <f aca="false">N('KNOWIFY PHASES'!I124)</f>
        <v>0</v>
      </c>
      <c r="AH124" s="7" t="n">
        <f aca="false">N('KNOWIFY PHASES'!H124)</f>
        <v>0</v>
      </c>
      <c r="AI124" s="7" t="n">
        <f aca="false">N('KNOWIFY PHASES'!O124)</f>
        <v>0</v>
      </c>
      <c r="AJ124" s="7" t="n">
        <f aca="false">N('KNOWIFY PHASES'!N124)</f>
        <v>0</v>
      </c>
      <c r="AK124" s="7" t="n">
        <f aca="false">N('KNOWIFY PHASES'!R124)</f>
        <v>0</v>
      </c>
      <c r="AL124" s="7" t="n">
        <f aca="false">N('KNOWIFY PHASES'!Q124)</f>
        <v>0</v>
      </c>
      <c r="AM124" s="7" t="n">
        <f aca="false">N('KNOWIFY PHASES'!F124)</f>
        <v>0</v>
      </c>
      <c r="AN124" s="7" t="n">
        <f aca="false">N('KNOWIFY PHASES'!E124)</f>
        <v>0</v>
      </c>
      <c r="AO124" s="7" t="n">
        <f aca="false">MAX(AE124,AF124)</f>
        <v>0</v>
      </c>
      <c r="AP124" s="7" t="n">
        <f aca="false">MAX(AG124,AH124)</f>
        <v>0</v>
      </c>
      <c r="AQ124" s="7" t="n">
        <f aca="false">MAX(AI124,AJ124)</f>
        <v>0</v>
      </c>
      <c r="AR124" s="7" t="n">
        <f aca="false">MAX(AK124,AL124)</f>
        <v>0</v>
      </c>
      <c r="AT124" s="7" t="str">
        <f aca="false">IF('KNOWIFY TIME'!B124="","",'KNOWIFY TIME'!B124)</f>
        <v/>
      </c>
      <c r="AU124" s="7" t="n">
        <f aca="false">IF(AT124="",0,IF(ISNUMBER('KNOWIFY TIME'!D124),'KNOWIFY TIME'!D124*24,IFERROR(VALUE(LEFT('KNOWIFY TIME'!D124,FIND(":",'KNOWIFY TIME'!D124)-1))+VALUE(MID('KNOWIFY TIME'!D124,FIND(":",'KNOWIFY TIME'!D124)+1,2))/60,0)))</f>
        <v>0</v>
      </c>
      <c r="AV124" s="7" t="n">
        <f aca="false">N('KNOWIFY TIME'!E124)</f>
        <v>0</v>
      </c>
      <c r="AW124" s="7" t="str">
        <f aca="false">IF(AT124="","",IFERROR(INDEX($BD$5:$BD$60,MATCH(AT124,$BC$5:$BC$60,0)),"Unmapped"))</f>
        <v/>
      </c>
    </row>
    <row r="125" customFormat="false" ht="15" hidden="false" customHeight="false" outlineLevel="0" collapsed="false">
      <c r="AA125" s="7" t="str">
        <f aca="false">IF('KNOWIFY PHASES'!A125="","",'KNOWIFY PHASES'!A125)</f>
        <v/>
      </c>
      <c r="AB125" s="7" t="str">
        <f aca="false">IF(AA125="","",IF(LEFT(AA125,4)="P - ","P",IF(LEFT(AA125,4)="H - ","H",IF(LEFT(AA125,5)="AC - ","AC",IF(OR(LEFT(AA125,4)="V - ",LEFT(AA125,7)="HVAC - "),"V","Other")))))</f>
        <v/>
      </c>
      <c r="AC125" s="7" t="str">
        <f aca="false">IF(AA125="","",IFERROR(LOOKUP(2,1/(($AZ$5:$AZ$60&lt;&gt;"")*ISNUMBER(SEARCH($AZ$5:$AZ$60,AA125))),$BA$5:$BA$60),IF(AB125="Other","Excluded","Unmapped")))</f>
        <v/>
      </c>
      <c r="AD125" s="7" t="str">
        <f aca="false">IF(AA125="","",IF(AND(AB125&lt;&gt;"Other",OR(AND('KNOWIFY PHASES'!B125="Closed",N('KNOWIFY PHASES'!D125)&gt;=0.5),N('KNOWIFY PHASES'!D125)&gt;=1)),1,0))</f>
        <v/>
      </c>
      <c r="AE125" s="7" t="n">
        <f aca="false">N('KNOWIFY PHASES'!L125)</f>
        <v>0</v>
      </c>
      <c r="AF125" s="7" t="n">
        <f aca="false">N('KNOWIFY PHASES'!K125)</f>
        <v>0</v>
      </c>
      <c r="AG125" s="7" t="n">
        <f aca="false">N('KNOWIFY PHASES'!I125)</f>
        <v>0</v>
      </c>
      <c r="AH125" s="7" t="n">
        <f aca="false">N('KNOWIFY PHASES'!H125)</f>
        <v>0</v>
      </c>
      <c r="AI125" s="7" t="n">
        <f aca="false">N('KNOWIFY PHASES'!O125)</f>
        <v>0</v>
      </c>
      <c r="AJ125" s="7" t="n">
        <f aca="false">N('KNOWIFY PHASES'!N125)</f>
        <v>0</v>
      </c>
      <c r="AK125" s="7" t="n">
        <f aca="false">N('KNOWIFY PHASES'!R125)</f>
        <v>0</v>
      </c>
      <c r="AL125" s="7" t="n">
        <f aca="false">N('KNOWIFY PHASES'!Q125)</f>
        <v>0</v>
      </c>
      <c r="AM125" s="7" t="n">
        <f aca="false">N('KNOWIFY PHASES'!F125)</f>
        <v>0</v>
      </c>
      <c r="AN125" s="7" t="n">
        <f aca="false">N('KNOWIFY PHASES'!E125)</f>
        <v>0</v>
      </c>
      <c r="AO125" s="7" t="n">
        <f aca="false">MAX(AE125,AF125)</f>
        <v>0</v>
      </c>
      <c r="AP125" s="7" t="n">
        <f aca="false">MAX(AG125,AH125)</f>
        <v>0</v>
      </c>
      <c r="AQ125" s="7" t="n">
        <f aca="false">MAX(AI125,AJ125)</f>
        <v>0</v>
      </c>
      <c r="AR125" s="7" t="n">
        <f aca="false">MAX(AK125,AL125)</f>
        <v>0</v>
      </c>
      <c r="AT125" s="7" t="str">
        <f aca="false">IF('KNOWIFY TIME'!B125="","",'KNOWIFY TIME'!B125)</f>
        <v/>
      </c>
      <c r="AU125" s="7" t="n">
        <f aca="false">IF(AT125="",0,IF(ISNUMBER('KNOWIFY TIME'!D125),'KNOWIFY TIME'!D125*24,IFERROR(VALUE(LEFT('KNOWIFY TIME'!D125,FIND(":",'KNOWIFY TIME'!D125)-1))+VALUE(MID('KNOWIFY TIME'!D125,FIND(":",'KNOWIFY TIME'!D125)+1,2))/60,0)))</f>
        <v>0</v>
      </c>
      <c r="AV125" s="7" t="n">
        <f aca="false">N('KNOWIFY TIME'!E125)</f>
        <v>0</v>
      </c>
      <c r="AW125" s="7" t="str">
        <f aca="false">IF(AT125="","",IFERROR(INDEX($BD$5:$BD$60,MATCH(AT125,$BC$5:$BC$60,0)),"Unmapped"))</f>
        <v/>
      </c>
    </row>
    <row r="126" customFormat="false" ht="15" hidden="false" customHeight="false" outlineLevel="0" collapsed="false">
      <c r="AA126" s="7" t="str">
        <f aca="false">IF('KNOWIFY PHASES'!A126="","",'KNOWIFY PHASES'!A126)</f>
        <v/>
      </c>
      <c r="AB126" s="7" t="str">
        <f aca="false">IF(AA126="","",IF(LEFT(AA126,4)="P - ","P",IF(LEFT(AA126,4)="H - ","H",IF(LEFT(AA126,5)="AC - ","AC",IF(OR(LEFT(AA126,4)="V - ",LEFT(AA126,7)="HVAC - "),"V","Other")))))</f>
        <v/>
      </c>
      <c r="AC126" s="7" t="str">
        <f aca="false">IF(AA126="","",IFERROR(LOOKUP(2,1/(($AZ$5:$AZ$60&lt;&gt;"")*ISNUMBER(SEARCH($AZ$5:$AZ$60,AA126))),$BA$5:$BA$60),IF(AB126="Other","Excluded","Unmapped")))</f>
        <v/>
      </c>
      <c r="AD126" s="7" t="str">
        <f aca="false">IF(AA126="","",IF(AND(AB126&lt;&gt;"Other",OR(AND('KNOWIFY PHASES'!B126="Closed",N('KNOWIFY PHASES'!D126)&gt;=0.5),N('KNOWIFY PHASES'!D126)&gt;=1)),1,0))</f>
        <v/>
      </c>
      <c r="AE126" s="7" t="n">
        <f aca="false">N('KNOWIFY PHASES'!L126)</f>
        <v>0</v>
      </c>
      <c r="AF126" s="7" t="n">
        <f aca="false">N('KNOWIFY PHASES'!K126)</f>
        <v>0</v>
      </c>
      <c r="AG126" s="7" t="n">
        <f aca="false">N('KNOWIFY PHASES'!I126)</f>
        <v>0</v>
      </c>
      <c r="AH126" s="7" t="n">
        <f aca="false">N('KNOWIFY PHASES'!H126)</f>
        <v>0</v>
      </c>
      <c r="AI126" s="7" t="n">
        <f aca="false">N('KNOWIFY PHASES'!O126)</f>
        <v>0</v>
      </c>
      <c r="AJ126" s="7" t="n">
        <f aca="false">N('KNOWIFY PHASES'!N126)</f>
        <v>0</v>
      </c>
      <c r="AK126" s="7" t="n">
        <f aca="false">N('KNOWIFY PHASES'!R126)</f>
        <v>0</v>
      </c>
      <c r="AL126" s="7" t="n">
        <f aca="false">N('KNOWIFY PHASES'!Q126)</f>
        <v>0</v>
      </c>
      <c r="AM126" s="7" t="n">
        <f aca="false">N('KNOWIFY PHASES'!F126)</f>
        <v>0</v>
      </c>
      <c r="AN126" s="7" t="n">
        <f aca="false">N('KNOWIFY PHASES'!E126)</f>
        <v>0</v>
      </c>
      <c r="AO126" s="7" t="n">
        <f aca="false">MAX(AE126,AF126)</f>
        <v>0</v>
      </c>
      <c r="AP126" s="7" t="n">
        <f aca="false">MAX(AG126,AH126)</f>
        <v>0</v>
      </c>
      <c r="AQ126" s="7" t="n">
        <f aca="false">MAX(AI126,AJ126)</f>
        <v>0</v>
      </c>
      <c r="AR126" s="7" t="n">
        <f aca="false">MAX(AK126,AL126)</f>
        <v>0</v>
      </c>
      <c r="AT126" s="7" t="str">
        <f aca="false">IF('KNOWIFY TIME'!B126="","",'KNOWIFY TIME'!B126)</f>
        <v/>
      </c>
      <c r="AU126" s="7" t="n">
        <f aca="false">IF(AT126="",0,IF(ISNUMBER('KNOWIFY TIME'!D126),'KNOWIFY TIME'!D126*24,IFERROR(VALUE(LEFT('KNOWIFY TIME'!D126,FIND(":",'KNOWIFY TIME'!D126)-1))+VALUE(MID('KNOWIFY TIME'!D126,FIND(":",'KNOWIFY TIME'!D126)+1,2))/60,0)))</f>
        <v>0</v>
      </c>
      <c r="AV126" s="7" t="n">
        <f aca="false">N('KNOWIFY TIME'!E126)</f>
        <v>0</v>
      </c>
      <c r="AW126" s="7" t="str">
        <f aca="false">IF(AT126="","",IFERROR(INDEX($BD$5:$BD$60,MATCH(AT126,$BC$5:$BC$60,0)),"Unmapped"))</f>
        <v/>
      </c>
    </row>
    <row r="127" customFormat="false" ht="15" hidden="false" customHeight="false" outlineLevel="0" collapsed="false">
      <c r="AA127" s="7" t="str">
        <f aca="false">IF('KNOWIFY PHASES'!A127="","",'KNOWIFY PHASES'!A127)</f>
        <v/>
      </c>
      <c r="AB127" s="7" t="str">
        <f aca="false">IF(AA127="","",IF(LEFT(AA127,4)="P - ","P",IF(LEFT(AA127,4)="H - ","H",IF(LEFT(AA127,5)="AC - ","AC",IF(OR(LEFT(AA127,4)="V - ",LEFT(AA127,7)="HVAC - "),"V","Other")))))</f>
        <v/>
      </c>
      <c r="AC127" s="7" t="str">
        <f aca="false">IF(AA127="","",IFERROR(LOOKUP(2,1/(($AZ$5:$AZ$60&lt;&gt;"")*ISNUMBER(SEARCH($AZ$5:$AZ$60,AA127))),$BA$5:$BA$60),IF(AB127="Other","Excluded","Unmapped")))</f>
        <v/>
      </c>
      <c r="AD127" s="7" t="str">
        <f aca="false">IF(AA127="","",IF(AND(AB127&lt;&gt;"Other",OR(AND('KNOWIFY PHASES'!B127="Closed",N('KNOWIFY PHASES'!D127)&gt;=0.5),N('KNOWIFY PHASES'!D127)&gt;=1)),1,0))</f>
        <v/>
      </c>
      <c r="AE127" s="7" t="n">
        <f aca="false">N('KNOWIFY PHASES'!L127)</f>
        <v>0</v>
      </c>
      <c r="AF127" s="7" t="n">
        <f aca="false">N('KNOWIFY PHASES'!K127)</f>
        <v>0</v>
      </c>
      <c r="AG127" s="7" t="n">
        <f aca="false">N('KNOWIFY PHASES'!I127)</f>
        <v>0</v>
      </c>
      <c r="AH127" s="7" t="n">
        <f aca="false">N('KNOWIFY PHASES'!H127)</f>
        <v>0</v>
      </c>
      <c r="AI127" s="7" t="n">
        <f aca="false">N('KNOWIFY PHASES'!O127)</f>
        <v>0</v>
      </c>
      <c r="AJ127" s="7" t="n">
        <f aca="false">N('KNOWIFY PHASES'!N127)</f>
        <v>0</v>
      </c>
      <c r="AK127" s="7" t="n">
        <f aca="false">N('KNOWIFY PHASES'!R127)</f>
        <v>0</v>
      </c>
      <c r="AL127" s="7" t="n">
        <f aca="false">N('KNOWIFY PHASES'!Q127)</f>
        <v>0</v>
      </c>
      <c r="AM127" s="7" t="n">
        <f aca="false">N('KNOWIFY PHASES'!F127)</f>
        <v>0</v>
      </c>
      <c r="AN127" s="7" t="n">
        <f aca="false">N('KNOWIFY PHASES'!E127)</f>
        <v>0</v>
      </c>
      <c r="AO127" s="7" t="n">
        <f aca="false">MAX(AE127,AF127)</f>
        <v>0</v>
      </c>
      <c r="AP127" s="7" t="n">
        <f aca="false">MAX(AG127,AH127)</f>
        <v>0</v>
      </c>
      <c r="AQ127" s="7" t="n">
        <f aca="false">MAX(AI127,AJ127)</f>
        <v>0</v>
      </c>
      <c r="AR127" s="7" t="n">
        <f aca="false">MAX(AK127,AL127)</f>
        <v>0</v>
      </c>
      <c r="AT127" s="7" t="str">
        <f aca="false">IF('KNOWIFY TIME'!B127="","",'KNOWIFY TIME'!B127)</f>
        <v/>
      </c>
      <c r="AU127" s="7" t="n">
        <f aca="false">IF(AT127="",0,IF(ISNUMBER('KNOWIFY TIME'!D127),'KNOWIFY TIME'!D127*24,IFERROR(VALUE(LEFT('KNOWIFY TIME'!D127,FIND(":",'KNOWIFY TIME'!D127)-1))+VALUE(MID('KNOWIFY TIME'!D127,FIND(":",'KNOWIFY TIME'!D127)+1,2))/60,0)))</f>
        <v>0</v>
      </c>
      <c r="AV127" s="7" t="n">
        <f aca="false">N('KNOWIFY TIME'!E127)</f>
        <v>0</v>
      </c>
      <c r="AW127" s="7" t="str">
        <f aca="false">IF(AT127="","",IFERROR(INDEX($BD$5:$BD$60,MATCH(AT127,$BC$5:$BC$60,0)),"Unmapped"))</f>
        <v/>
      </c>
    </row>
    <row r="128" customFormat="false" ht="15" hidden="false" customHeight="false" outlineLevel="0" collapsed="false">
      <c r="AA128" s="7" t="str">
        <f aca="false">IF('KNOWIFY PHASES'!A128="","",'KNOWIFY PHASES'!A128)</f>
        <v/>
      </c>
      <c r="AB128" s="7" t="str">
        <f aca="false">IF(AA128="","",IF(LEFT(AA128,4)="P - ","P",IF(LEFT(AA128,4)="H - ","H",IF(LEFT(AA128,5)="AC - ","AC",IF(OR(LEFT(AA128,4)="V - ",LEFT(AA128,7)="HVAC - "),"V","Other")))))</f>
        <v/>
      </c>
      <c r="AC128" s="7" t="str">
        <f aca="false">IF(AA128="","",IFERROR(LOOKUP(2,1/(($AZ$5:$AZ$60&lt;&gt;"")*ISNUMBER(SEARCH($AZ$5:$AZ$60,AA128))),$BA$5:$BA$60),IF(AB128="Other","Excluded","Unmapped")))</f>
        <v/>
      </c>
      <c r="AD128" s="7" t="str">
        <f aca="false">IF(AA128="","",IF(AND(AB128&lt;&gt;"Other",OR(AND('KNOWIFY PHASES'!B128="Closed",N('KNOWIFY PHASES'!D128)&gt;=0.5),N('KNOWIFY PHASES'!D128)&gt;=1)),1,0))</f>
        <v/>
      </c>
      <c r="AE128" s="7" t="n">
        <f aca="false">N('KNOWIFY PHASES'!L128)</f>
        <v>0</v>
      </c>
      <c r="AF128" s="7" t="n">
        <f aca="false">N('KNOWIFY PHASES'!K128)</f>
        <v>0</v>
      </c>
      <c r="AG128" s="7" t="n">
        <f aca="false">N('KNOWIFY PHASES'!I128)</f>
        <v>0</v>
      </c>
      <c r="AH128" s="7" t="n">
        <f aca="false">N('KNOWIFY PHASES'!H128)</f>
        <v>0</v>
      </c>
      <c r="AI128" s="7" t="n">
        <f aca="false">N('KNOWIFY PHASES'!O128)</f>
        <v>0</v>
      </c>
      <c r="AJ128" s="7" t="n">
        <f aca="false">N('KNOWIFY PHASES'!N128)</f>
        <v>0</v>
      </c>
      <c r="AK128" s="7" t="n">
        <f aca="false">N('KNOWIFY PHASES'!R128)</f>
        <v>0</v>
      </c>
      <c r="AL128" s="7" t="n">
        <f aca="false">N('KNOWIFY PHASES'!Q128)</f>
        <v>0</v>
      </c>
      <c r="AM128" s="7" t="n">
        <f aca="false">N('KNOWIFY PHASES'!F128)</f>
        <v>0</v>
      </c>
      <c r="AN128" s="7" t="n">
        <f aca="false">N('KNOWIFY PHASES'!E128)</f>
        <v>0</v>
      </c>
      <c r="AO128" s="7" t="n">
        <f aca="false">MAX(AE128,AF128)</f>
        <v>0</v>
      </c>
      <c r="AP128" s="7" t="n">
        <f aca="false">MAX(AG128,AH128)</f>
        <v>0</v>
      </c>
      <c r="AQ128" s="7" t="n">
        <f aca="false">MAX(AI128,AJ128)</f>
        <v>0</v>
      </c>
      <c r="AR128" s="7" t="n">
        <f aca="false">MAX(AK128,AL128)</f>
        <v>0</v>
      </c>
      <c r="AT128" s="7" t="str">
        <f aca="false">IF('KNOWIFY TIME'!B128="","",'KNOWIFY TIME'!B128)</f>
        <v/>
      </c>
      <c r="AU128" s="7" t="n">
        <f aca="false">IF(AT128="",0,IF(ISNUMBER('KNOWIFY TIME'!D128),'KNOWIFY TIME'!D128*24,IFERROR(VALUE(LEFT('KNOWIFY TIME'!D128,FIND(":",'KNOWIFY TIME'!D128)-1))+VALUE(MID('KNOWIFY TIME'!D128,FIND(":",'KNOWIFY TIME'!D128)+1,2))/60,0)))</f>
        <v>0</v>
      </c>
      <c r="AV128" s="7" t="n">
        <f aca="false">N('KNOWIFY TIME'!E128)</f>
        <v>0</v>
      </c>
      <c r="AW128" s="7" t="str">
        <f aca="false">IF(AT128="","",IFERROR(INDEX($BD$5:$BD$60,MATCH(AT128,$BC$5:$BC$60,0)),"Unmapped"))</f>
        <v/>
      </c>
    </row>
    <row r="129" customFormat="false" ht="15" hidden="false" customHeight="false" outlineLevel="0" collapsed="false">
      <c r="AA129" s="7" t="str">
        <f aca="false">IF('KNOWIFY PHASES'!A129="","",'KNOWIFY PHASES'!A129)</f>
        <v/>
      </c>
      <c r="AB129" s="7" t="str">
        <f aca="false">IF(AA129="","",IF(LEFT(AA129,4)="P - ","P",IF(LEFT(AA129,4)="H - ","H",IF(LEFT(AA129,5)="AC - ","AC",IF(OR(LEFT(AA129,4)="V - ",LEFT(AA129,7)="HVAC - "),"V","Other")))))</f>
        <v/>
      </c>
      <c r="AC129" s="7" t="str">
        <f aca="false">IF(AA129="","",IFERROR(LOOKUP(2,1/(($AZ$5:$AZ$60&lt;&gt;"")*ISNUMBER(SEARCH($AZ$5:$AZ$60,AA129))),$BA$5:$BA$60),IF(AB129="Other","Excluded","Unmapped")))</f>
        <v/>
      </c>
      <c r="AD129" s="7" t="str">
        <f aca="false">IF(AA129="","",IF(AND(AB129&lt;&gt;"Other",OR(AND('KNOWIFY PHASES'!B129="Closed",N('KNOWIFY PHASES'!D129)&gt;=0.5),N('KNOWIFY PHASES'!D129)&gt;=1)),1,0))</f>
        <v/>
      </c>
      <c r="AE129" s="7" t="n">
        <f aca="false">N('KNOWIFY PHASES'!L129)</f>
        <v>0</v>
      </c>
      <c r="AF129" s="7" t="n">
        <f aca="false">N('KNOWIFY PHASES'!K129)</f>
        <v>0</v>
      </c>
      <c r="AG129" s="7" t="n">
        <f aca="false">N('KNOWIFY PHASES'!I129)</f>
        <v>0</v>
      </c>
      <c r="AH129" s="7" t="n">
        <f aca="false">N('KNOWIFY PHASES'!H129)</f>
        <v>0</v>
      </c>
      <c r="AI129" s="7" t="n">
        <f aca="false">N('KNOWIFY PHASES'!O129)</f>
        <v>0</v>
      </c>
      <c r="AJ129" s="7" t="n">
        <f aca="false">N('KNOWIFY PHASES'!N129)</f>
        <v>0</v>
      </c>
      <c r="AK129" s="7" t="n">
        <f aca="false">N('KNOWIFY PHASES'!R129)</f>
        <v>0</v>
      </c>
      <c r="AL129" s="7" t="n">
        <f aca="false">N('KNOWIFY PHASES'!Q129)</f>
        <v>0</v>
      </c>
      <c r="AM129" s="7" t="n">
        <f aca="false">N('KNOWIFY PHASES'!F129)</f>
        <v>0</v>
      </c>
      <c r="AN129" s="7" t="n">
        <f aca="false">N('KNOWIFY PHASES'!E129)</f>
        <v>0</v>
      </c>
      <c r="AO129" s="7" t="n">
        <f aca="false">MAX(AE129,AF129)</f>
        <v>0</v>
      </c>
      <c r="AP129" s="7" t="n">
        <f aca="false">MAX(AG129,AH129)</f>
        <v>0</v>
      </c>
      <c r="AQ129" s="7" t="n">
        <f aca="false">MAX(AI129,AJ129)</f>
        <v>0</v>
      </c>
      <c r="AR129" s="7" t="n">
        <f aca="false">MAX(AK129,AL129)</f>
        <v>0</v>
      </c>
      <c r="AT129" s="7" t="str">
        <f aca="false">IF('KNOWIFY TIME'!B129="","",'KNOWIFY TIME'!B129)</f>
        <v/>
      </c>
      <c r="AU129" s="7" t="n">
        <f aca="false">IF(AT129="",0,IF(ISNUMBER('KNOWIFY TIME'!D129),'KNOWIFY TIME'!D129*24,IFERROR(VALUE(LEFT('KNOWIFY TIME'!D129,FIND(":",'KNOWIFY TIME'!D129)-1))+VALUE(MID('KNOWIFY TIME'!D129,FIND(":",'KNOWIFY TIME'!D129)+1,2))/60,0)))</f>
        <v>0</v>
      </c>
      <c r="AV129" s="7" t="n">
        <f aca="false">N('KNOWIFY TIME'!E129)</f>
        <v>0</v>
      </c>
      <c r="AW129" s="7" t="str">
        <f aca="false">IF(AT129="","",IFERROR(INDEX($BD$5:$BD$60,MATCH(AT129,$BC$5:$BC$60,0)),"Unmapped"))</f>
        <v/>
      </c>
    </row>
    <row r="130" customFormat="false" ht="15" hidden="false" customHeight="false" outlineLevel="0" collapsed="false">
      <c r="AA130" s="7" t="str">
        <f aca="false">IF('KNOWIFY PHASES'!A130="","",'KNOWIFY PHASES'!A130)</f>
        <v/>
      </c>
      <c r="AB130" s="7" t="str">
        <f aca="false">IF(AA130="","",IF(LEFT(AA130,4)="P - ","P",IF(LEFT(AA130,4)="H - ","H",IF(LEFT(AA130,5)="AC - ","AC",IF(OR(LEFT(AA130,4)="V - ",LEFT(AA130,7)="HVAC - "),"V","Other")))))</f>
        <v/>
      </c>
      <c r="AC130" s="7" t="str">
        <f aca="false">IF(AA130="","",IFERROR(LOOKUP(2,1/(($AZ$5:$AZ$60&lt;&gt;"")*ISNUMBER(SEARCH($AZ$5:$AZ$60,AA130))),$BA$5:$BA$60),IF(AB130="Other","Excluded","Unmapped")))</f>
        <v/>
      </c>
      <c r="AD130" s="7" t="str">
        <f aca="false">IF(AA130="","",IF(AND(AB130&lt;&gt;"Other",OR(AND('KNOWIFY PHASES'!B130="Closed",N('KNOWIFY PHASES'!D130)&gt;=0.5),N('KNOWIFY PHASES'!D130)&gt;=1)),1,0))</f>
        <v/>
      </c>
      <c r="AE130" s="7" t="n">
        <f aca="false">N('KNOWIFY PHASES'!L130)</f>
        <v>0</v>
      </c>
      <c r="AF130" s="7" t="n">
        <f aca="false">N('KNOWIFY PHASES'!K130)</f>
        <v>0</v>
      </c>
      <c r="AG130" s="7" t="n">
        <f aca="false">N('KNOWIFY PHASES'!I130)</f>
        <v>0</v>
      </c>
      <c r="AH130" s="7" t="n">
        <f aca="false">N('KNOWIFY PHASES'!H130)</f>
        <v>0</v>
      </c>
      <c r="AI130" s="7" t="n">
        <f aca="false">N('KNOWIFY PHASES'!O130)</f>
        <v>0</v>
      </c>
      <c r="AJ130" s="7" t="n">
        <f aca="false">N('KNOWIFY PHASES'!N130)</f>
        <v>0</v>
      </c>
      <c r="AK130" s="7" t="n">
        <f aca="false">N('KNOWIFY PHASES'!R130)</f>
        <v>0</v>
      </c>
      <c r="AL130" s="7" t="n">
        <f aca="false">N('KNOWIFY PHASES'!Q130)</f>
        <v>0</v>
      </c>
      <c r="AM130" s="7" t="n">
        <f aca="false">N('KNOWIFY PHASES'!F130)</f>
        <v>0</v>
      </c>
      <c r="AN130" s="7" t="n">
        <f aca="false">N('KNOWIFY PHASES'!E130)</f>
        <v>0</v>
      </c>
      <c r="AO130" s="7" t="n">
        <f aca="false">MAX(AE130,AF130)</f>
        <v>0</v>
      </c>
      <c r="AP130" s="7" t="n">
        <f aca="false">MAX(AG130,AH130)</f>
        <v>0</v>
      </c>
      <c r="AQ130" s="7" t="n">
        <f aca="false">MAX(AI130,AJ130)</f>
        <v>0</v>
      </c>
      <c r="AR130" s="7" t="n">
        <f aca="false">MAX(AK130,AL130)</f>
        <v>0</v>
      </c>
      <c r="AT130" s="7" t="str">
        <f aca="false">IF('KNOWIFY TIME'!B130="","",'KNOWIFY TIME'!B130)</f>
        <v/>
      </c>
      <c r="AU130" s="7" t="n">
        <f aca="false">IF(AT130="",0,IF(ISNUMBER('KNOWIFY TIME'!D130),'KNOWIFY TIME'!D130*24,IFERROR(VALUE(LEFT('KNOWIFY TIME'!D130,FIND(":",'KNOWIFY TIME'!D130)-1))+VALUE(MID('KNOWIFY TIME'!D130,FIND(":",'KNOWIFY TIME'!D130)+1,2))/60,0)))</f>
        <v>0</v>
      </c>
      <c r="AV130" s="7" t="n">
        <f aca="false">N('KNOWIFY TIME'!E130)</f>
        <v>0</v>
      </c>
      <c r="AW130" s="7" t="str">
        <f aca="false">IF(AT130="","",IFERROR(INDEX($BD$5:$BD$60,MATCH(AT130,$BC$5:$BC$60,0)),"Unmapped"))</f>
        <v/>
      </c>
    </row>
    <row r="131" customFormat="false" ht="15" hidden="false" customHeight="false" outlineLevel="0" collapsed="false">
      <c r="AA131" s="7" t="str">
        <f aca="false">IF('KNOWIFY PHASES'!A131="","",'KNOWIFY PHASES'!A131)</f>
        <v/>
      </c>
      <c r="AB131" s="7" t="str">
        <f aca="false">IF(AA131="","",IF(LEFT(AA131,4)="P - ","P",IF(LEFT(AA131,4)="H - ","H",IF(LEFT(AA131,5)="AC - ","AC",IF(OR(LEFT(AA131,4)="V - ",LEFT(AA131,7)="HVAC - "),"V","Other")))))</f>
        <v/>
      </c>
      <c r="AC131" s="7" t="str">
        <f aca="false">IF(AA131="","",IFERROR(LOOKUP(2,1/(($AZ$5:$AZ$60&lt;&gt;"")*ISNUMBER(SEARCH($AZ$5:$AZ$60,AA131))),$BA$5:$BA$60),IF(AB131="Other","Excluded","Unmapped")))</f>
        <v/>
      </c>
      <c r="AD131" s="7" t="str">
        <f aca="false">IF(AA131="","",IF(AND(AB131&lt;&gt;"Other",OR(AND('KNOWIFY PHASES'!B131="Closed",N('KNOWIFY PHASES'!D131)&gt;=0.5),N('KNOWIFY PHASES'!D131)&gt;=1)),1,0))</f>
        <v/>
      </c>
      <c r="AE131" s="7" t="n">
        <f aca="false">N('KNOWIFY PHASES'!L131)</f>
        <v>0</v>
      </c>
      <c r="AF131" s="7" t="n">
        <f aca="false">N('KNOWIFY PHASES'!K131)</f>
        <v>0</v>
      </c>
      <c r="AG131" s="7" t="n">
        <f aca="false">N('KNOWIFY PHASES'!I131)</f>
        <v>0</v>
      </c>
      <c r="AH131" s="7" t="n">
        <f aca="false">N('KNOWIFY PHASES'!H131)</f>
        <v>0</v>
      </c>
      <c r="AI131" s="7" t="n">
        <f aca="false">N('KNOWIFY PHASES'!O131)</f>
        <v>0</v>
      </c>
      <c r="AJ131" s="7" t="n">
        <f aca="false">N('KNOWIFY PHASES'!N131)</f>
        <v>0</v>
      </c>
      <c r="AK131" s="7" t="n">
        <f aca="false">N('KNOWIFY PHASES'!R131)</f>
        <v>0</v>
      </c>
      <c r="AL131" s="7" t="n">
        <f aca="false">N('KNOWIFY PHASES'!Q131)</f>
        <v>0</v>
      </c>
      <c r="AM131" s="7" t="n">
        <f aca="false">N('KNOWIFY PHASES'!F131)</f>
        <v>0</v>
      </c>
      <c r="AN131" s="7" t="n">
        <f aca="false">N('KNOWIFY PHASES'!E131)</f>
        <v>0</v>
      </c>
      <c r="AO131" s="7" t="n">
        <f aca="false">MAX(AE131,AF131)</f>
        <v>0</v>
      </c>
      <c r="AP131" s="7" t="n">
        <f aca="false">MAX(AG131,AH131)</f>
        <v>0</v>
      </c>
      <c r="AQ131" s="7" t="n">
        <f aca="false">MAX(AI131,AJ131)</f>
        <v>0</v>
      </c>
      <c r="AR131" s="7" t="n">
        <f aca="false">MAX(AK131,AL131)</f>
        <v>0</v>
      </c>
      <c r="AT131" s="7" t="str">
        <f aca="false">IF('KNOWIFY TIME'!B131="","",'KNOWIFY TIME'!B131)</f>
        <v/>
      </c>
      <c r="AU131" s="7" t="n">
        <f aca="false">IF(AT131="",0,IF(ISNUMBER('KNOWIFY TIME'!D131),'KNOWIFY TIME'!D131*24,IFERROR(VALUE(LEFT('KNOWIFY TIME'!D131,FIND(":",'KNOWIFY TIME'!D131)-1))+VALUE(MID('KNOWIFY TIME'!D131,FIND(":",'KNOWIFY TIME'!D131)+1,2))/60,0)))</f>
        <v>0</v>
      </c>
      <c r="AV131" s="7" t="n">
        <f aca="false">N('KNOWIFY TIME'!E131)</f>
        <v>0</v>
      </c>
      <c r="AW131" s="7" t="str">
        <f aca="false">IF(AT131="","",IFERROR(INDEX($BD$5:$BD$60,MATCH(AT131,$BC$5:$BC$60,0)),"Unmapped"))</f>
        <v/>
      </c>
    </row>
    <row r="132" customFormat="false" ht="15" hidden="false" customHeight="false" outlineLevel="0" collapsed="false">
      <c r="AA132" s="7" t="str">
        <f aca="false">IF('KNOWIFY PHASES'!A132="","",'KNOWIFY PHASES'!A132)</f>
        <v/>
      </c>
      <c r="AB132" s="7" t="str">
        <f aca="false">IF(AA132="","",IF(LEFT(AA132,4)="P - ","P",IF(LEFT(AA132,4)="H - ","H",IF(LEFT(AA132,5)="AC - ","AC",IF(OR(LEFT(AA132,4)="V - ",LEFT(AA132,7)="HVAC - "),"V","Other")))))</f>
        <v/>
      </c>
      <c r="AC132" s="7" t="str">
        <f aca="false">IF(AA132="","",IFERROR(LOOKUP(2,1/(($AZ$5:$AZ$60&lt;&gt;"")*ISNUMBER(SEARCH($AZ$5:$AZ$60,AA132))),$BA$5:$BA$60),IF(AB132="Other","Excluded","Unmapped")))</f>
        <v/>
      </c>
      <c r="AD132" s="7" t="str">
        <f aca="false">IF(AA132="","",IF(AND(AB132&lt;&gt;"Other",OR(AND('KNOWIFY PHASES'!B132="Closed",N('KNOWIFY PHASES'!D132)&gt;=0.5),N('KNOWIFY PHASES'!D132)&gt;=1)),1,0))</f>
        <v/>
      </c>
      <c r="AE132" s="7" t="n">
        <f aca="false">N('KNOWIFY PHASES'!L132)</f>
        <v>0</v>
      </c>
      <c r="AF132" s="7" t="n">
        <f aca="false">N('KNOWIFY PHASES'!K132)</f>
        <v>0</v>
      </c>
      <c r="AG132" s="7" t="n">
        <f aca="false">N('KNOWIFY PHASES'!I132)</f>
        <v>0</v>
      </c>
      <c r="AH132" s="7" t="n">
        <f aca="false">N('KNOWIFY PHASES'!H132)</f>
        <v>0</v>
      </c>
      <c r="AI132" s="7" t="n">
        <f aca="false">N('KNOWIFY PHASES'!O132)</f>
        <v>0</v>
      </c>
      <c r="AJ132" s="7" t="n">
        <f aca="false">N('KNOWIFY PHASES'!N132)</f>
        <v>0</v>
      </c>
      <c r="AK132" s="7" t="n">
        <f aca="false">N('KNOWIFY PHASES'!R132)</f>
        <v>0</v>
      </c>
      <c r="AL132" s="7" t="n">
        <f aca="false">N('KNOWIFY PHASES'!Q132)</f>
        <v>0</v>
      </c>
      <c r="AM132" s="7" t="n">
        <f aca="false">N('KNOWIFY PHASES'!F132)</f>
        <v>0</v>
      </c>
      <c r="AN132" s="7" t="n">
        <f aca="false">N('KNOWIFY PHASES'!E132)</f>
        <v>0</v>
      </c>
      <c r="AO132" s="7" t="n">
        <f aca="false">MAX(AE132,AF132)</f>
        <v>0</v>
      </c>
      <c r="AP132" s="7" t="n">
        <f aca="false">MAX(AG132,AH132)</f>
        <v>0</v>
      </c>
      <c r="AQ132" s="7" t="n">
        <f aca="false">MAX(AI132,AJ132)</f>
        <v>0</v>
      </c>
      <c r="AR132" s="7" t="n">
        <f aca="false">MAX(AK132,AL132)</f>
        <v>0</v>
      </c>
      <c r="AT132" s="7" t="str">
        <f aca="false">IF('KNOWIFY TIME'!B132="","",'KNOWIFY TIME'!B132)</f>
        <v/>
      </c>
      <c r="AU132" s="7" t="n">
        <f aca="false">IF(AT132="",0,IF(ISNUMBER('KNOWIFY TIME'!D132),'KNOWIFY TIME'!D132*24,IFERROR(VALUE(LEFT('KNOWIFY TIME'!D132,FIND(":",'KNOWIFY TIME'!D132)-1))+VALUE(MID('KNOWIFY TIME'!D132,FIND(":",'KNOWIFY TIME'!D132)+1,2))/60,0)))</f>
        <v>0</v>
      </c>
      <c r="AV132" s="7" t="n">
        <f aca="false">N('KNOWIFY TIME'!E132)</f>
        <v>0</v>
      </c>
      <c r="AW132" s="7" t="str">
        <f aca="false">IF(AT132="","",IFERROR(INDEX($BD$5:$BD$60,MATCH(AT132,$BC$5:$BC$60,0)),"Unmapped"))</f>
        <v/>
      </c>
    </row>
    <row r="133" customFormat="false" ht="15" hidden="false" customHeight="false" outlineLevel="0" collapsed="false">
      <c r="AA133" s="7" t="str">
        <f aca="false">IF('KNOWIFY PHASES'!A133="","",'KNOWIFY PHASES'!A133)</f>
        <v/>
      </c>
      <c r="AB133" s="7" t="str">
        <f aca="false">IF(AA133="","",IF(LEFT(AA133,4)="P - ","P",IF(LEFT(AA133,4)="H - ","H",IF(LEFT(AA133,5)="AC - ","AC",IF(OR(LEFT(AA133,4)="V - ",LEFT(AA133,7)="HVAC - "),"V","Other")))))</f>
        <v/>
      </c>
      <c r="AC133" s="7" t="str">
        <f aca="false">IF(AA133="","",IFERROR(LOOKUP(2,1/(($AZ$5:$AZ$60&lt;&gt;"")*ISNUMBER(SEARCH($AZ$5:$AZ$60,AA133))),$BA$5:$BA$60),IF(AB133="Other","Excluded","Unmapped")))</f>
        <v/>
      </c>
      <c r="AD133" s="7" t="str">
        <f aca="false">IF(AA133="","",IF(AND(AB133&lt;&gt;"Other",OR(AND('KNOWIFY PHASES'!B133="Closed",N('KNOWIFY PHASES'!D133)&gt;=0.5),N('KNOWIFY PHASES'!D133)&gt;=1)),1,0))</f>
        <v/>
      </c>
      <c r="AE133" s="7" t="n">
        <f aca="false">N('KNOWIFY PHASES'!L133)</f>
        <v>0</v>
      </c>
      <c r="AF133" s="7" t="n">
        <f aca="false">N('KNOWIFY PHASES'!K133)</f>
        <v>0</v>
      </c>
      <c r="AG133" s="7" t="n">
        <f aca="false">N('KNOWIFY PHASES'!I133)</f>
        <v>0</v>
      </c>
      <c r="AH133" s="7" t="n">
        <f aca="false">N('KNOWIFY PHASES'!H133)</f>
        <v>0</v>
      </c>
      <c r="AI133" s="7" t="n">
        <f aca="false">N('KNOWIFY PHASES'!O133)</f>
        <v>0</v>
      </c>
      <c r="AJ133" s="7" t="n">
        <f aca="false">N('KNOWIFY PHASES'!N133)</f>
        <v>0</v>
      </c>
      <c r="AK133" s="7" t="n">
        <f aca="false">N('KNOWIFY PHASES'!R133)</f>
        <v>0</v>
      </c>
      <c r="AL133" s="7" t="n">
        <f aca="false">N('KNOWIFY PHASES'!Q133)</f>
        <v>0</v>
      </c>
      <c r="AM133" s="7" t="n">
        <f aca="false">N('KNOWIFY PHASES'!F133)</f>
        <v>0</v>
      </c>
      <c r="AN133" s="7" t="n">
        <f aca="false">N('KNOWIFY PHASES'!E133)</f>
        <v>0</v>
      </c>
      <c r="AO133" s="7" t="n">
        <f aca="false">MAX(AE133,AF133)</f>
        <v>0</v>
      </c>
      <c r="AP133" s="7" t="n">
        <f aca="false">MAX(AG133,AH133)</f>
        <v>0</v>
      </c>
      <c r="AQ133" s="7" t="n">
        <f aca="false">MAX(AI133,AJ133)</f>
        <v>0</v>
      </c>
      <c r="AR133" s="7" t="n">
        <f aca="false">MAX(AK133,AL133)</f>
        <v>0</v>
      </c>
      <c r="AT133" s="7" t="str">
        <f aca="false">IF('KNOWIFY TIME'!B133="","",'KNOWIFY TIME'!B133)</f>
        <v/>
      </c>
      <c r="AU133" s="7" t="n">
        <f aca="false">IF(AT133="",0,IF(ISNUMBER('KNOWIFY TIME'!D133),'KNOWIFY TIME'!D133*24,IFERROR(VALUE(LEFT('KNOWIFY TIME'!D133,FIND(":",'KNOWIFY TIME'!D133)-1))+VALUE(MID('KNOWIFY TIME'!D133,FIND(":",'KNOWIFY TIME'!D133)+1,2))/60,0)))</f>
        <v>0</v>
      </c>
      <c r="AV133" s="7" t="n">
        <f aca="false">N('KNOWIFY TIME'!E133)</f>
        <v>0</v>
      </c>
      <c r="AW133" s="7" t="str">
        <f aca="false">IF(AT133="","",IFERROR(INDEX($BD$5:$BD$60,MATCH(AT133,$BC$5:$BC$60,0)),"Unmapped"))</f>
        <v/>
      </c>
    </row>
    <row r="134" customFormat="false" ht="15" hidden="false" customHeight="false" outlineLevel="0" collapsed="false">
      <c r="AA134" s="7" t="str">
        <f aca="false">IF('KNOWIFY PHASES'!A134="","",'KNOWIFY PHASES'!A134)</f>
        <v/>
      </c>
      <c r="AB134" s="7" t="str">
        <f aca="false">IF(AA134="","",IF(LEFT(AA134,4)="P - ","P",IF(LEFT(AA134,4)="H - ","H",IF(LEFT(AA134,5)="AC - ","AC",IF(OR(LEFT(AA134,4)="V - ",LEFT(AA134,7)="HVAC - "),"V","Other")))))</f>
        <v/>
      </c>
      <c r="AC134" s="7" t="str">
        <f aca="false">IF(AA134="","",IFERROR(LOOKUP(2,1/(($AZ$5:$AZ$60&lt;&gt;"")*ISNUMBER(SEARCH($AZ$5:$AZ$60,AA134))),$BA$5:$BA$60),IF(AB134="Other","Excluded","Unmapped")))</f>
        <v/>
      </c>
      <c r="AD134" s="7" t="str">
        <f aca="false">IF(AA134="","",IF(AND(AB134&lt;&gt;"Other",OR(AND('KNOWIFY PHASES'!B134="Closed",N('KNOWIFY PHASES'!D134)&gt;=0.5),N('KNOWIFY PHASES'!D134)&gt;=1)),1,0))</f>
        <v/>
      </c>
      <c r="AE134" s="7" t="n">
        <f aca="false">N('KNOWIFY PHASES'!L134)</f>
        <v>0</v>
      </c>
      <c r="AF134" s="7" t="n">
        <f aca="false">N('KNOWIFY PHASES'!K134)</f>
        <v>0</v>
      </c>
      <c r="AG134" s="7" t="n">
        <f aca="false">N('KNOWIFY PHASES'!I134)</f>
        <v>0</v>
      </c>
      <c r="AH134" s="7" t="n">
        <f aca="false">N('KNOWIFY PHASES'!H134)</f>
        <v>0</v>
      </c>
      <c r="AI134" s="7" t="n">
        <f aca="false">N('KNOWIFY PHASES'!O134)</f>
        <v>0</v>
      </c>
      <c r="AJ134" s="7" t="n">
        <f aca="false">N('KNOWIFY PHASES'!N134)</f>
        <v>0</v>
      </c>
      <c r="AK134" s="7" t="n">
        <f aca="false">N('KNOWIFY PHASES'!R134)</f>
        <v>0</v>
      </c>
      <c r="AL134" s="7" t="n">
        <f aca="false">N('KNOWIFY PHASES'!Q134)</f>
        <v>0</v>
      </c>
      <c r="AM134" s="7" t="n">
        <f aca="false">N('KNOWIFY PHASES'!F134)</f>
        <v>0</v>
      </c>
      <c r="AN134" s="7" t="n">
        <f aca="false">N('KNOWIFY PHASES'!E134)</f>
        <v>0</v>
      </c>
      <c r="AO134" s="7" t="n">
        <f aca="false">MAX(AE134,AF134)</f>
        <v>0</v>
      </c>
      <c r="AP134" s="7" t="n">
        <f aca="false">MAX(AG134,AH134)</f>
        <v>0</v>
      </c>
      <c r="AQ134" s="7" t="n">
        <f aca="false">MAX(AI134,AJ134)</f>
        <v>0</v>
      </c>
      <c r="AR134" s="7" t="n">
        <f aca="false">MAX(AK134,AL134)</f>
        <v>0</v>
      </c>
      <c r="AT134" s="7" t="str">
        <f aca="false">IF('KNOWIFY TIME'!B134="","",'KNOWIFY TIME'!B134)</f>
        <v/>
      </c>
      <c r="AU134" s="7" t="n">
        <f aca="false">IF(AT134="",0,IF(ISNUMBER('KNOWIFY TIME'!D134),'KNOWIFY TIME'!D134*24,IFERROR(VALUE(LEFT('KNOWIFY TIME'!D134,FIND(":",'KNOWIFY TIME'!D134)-1))+VALUE(MID('KNOWIFY TIME'!D134,FIND(":",'KNOWIFY TIME'!D134)+1,2))/60,0)))</f>
        <v>0</v>
      </c>
      <c r="AV134" s="7" t="n">
        <f aca="false">N('KNOWIFY TIME'!E134)</f>
        <v>0</v>
      </c>
      <c r="AW134" s="7" t="str">
        <f aca="false">IF(AT134="","",IFERROR(INDEX($BD$5:$BD$60,MATCH(AT134,$BC$5:$BC$60,0)),"Unmapped"))</f>
        <v/>
      </c>
    </row>
    <row r="135" customFormat="false" ht="15" hidden="false" customHeight="false" outlineLevel="0" collapsed="false">
      <c r="AA135" s="7" t="str">
        <f aca="false">IF('KNOWIFY PHASES'!A135="","",'KNOWIFY PHASES'!A135)</f>
        <v/>
      </c>
      <c r="AB135" s="7" t="str">
        <f aca="false">IF(AA135="","",IF(LEFT(AA135,4)="P - ","P",IF(LEFT(AA135,4)="H - ","H",IF(LEFT(AA135,5)="AC - ","AC",IF(OR(LEFT(AA135,4)="V - ",LEFT(AA135,7)="HVAC - "),"V","Other")))))</f>
        <v/>
      </c>
      <c r="AC135" s="7" t="str">
        <f aca="false">IF(AA135="","",IFERROR(LOOKUP(2,1/(($AZ$5:$AZ$60&lt;&gt;"")*ISNUMBER(SEARCH($AZ$5:$AZ$60,AA135))),$BA$5:$BA$60),IF(AB135="Other","Excluded","Unmapped")))</f>
        <v/>
      </c>
      <c r="AD135" s="7" t="str">
        <f aca="false">IF(AA135="","",IF(AND(AB135&lt;&gt;"Other",OR(AND('KNOWIFY PHASES'!B135="Closed",N('KNOWIFY PHASES'!D135)&gt;=0.5),N('KNOWIFY PHASES'!D135)&gt;=1)),1,0))</f>
        <v/>
      </c>
      <c r="AE135" s="7" t="n">
        <f aca="false">N('KNOWIFY PHASES'!L135)</f>
        <v>0</v>
      </c>
      <c r="AF135" s="7" t="n">
        <f aca="false">N('KNOWIFY PHASES'!K135)</f>
        <v>0</v>
      </c>
      <c r="AG135" s="7" t="n">
        <f aca="false">N('KNOWIFY PHASES'!I135)</f>
        <v>0</v>
      </c>
      <c r="AH135" s="7" t="n">
        <f aca="false">N('KNOWIFY PHASES'!H135)</f>
        <v>0</v>
      </c>
      <c r="AI135" s="7" t="n">
        <f aca="false">N('KNOWIFY PHASES'!O135)</f>
        <v>0</v>
      </c>
      <c r="AJ135" s="7" t="n">
        <f aca="false">N('KNOWIFY PHASES'!N135)</f>
        <v>0</v>
      </c>
      <c r="AK135" s="7" t="n">
        <f aca="false">N('KNOWIFY PHASES'!R135)</f>
        <v>0</v>
      </c>
      <c r="AL135" s="7" t="n">
        <f aca="false">N('KNOWIFY PHASES'!Q135)</f>
        <v>0</v>
      </c>
      <c r="AM135" s="7" t="n">
        <f aca="false">N('KNOWIFY PHASES'!F135)</f>
        <v>0</v>
      </c>
      <c r="AN135" s="7" t="n">
        <f aca="false">N('KNOWIFY PHASES'!E135)</f>
        <v>0</v>
      </c>
      <c r="AO135" s="7" t="n">
        <f aca="false">MAX(AE135,AF135)</f>
        <v>0</v>
      </c>
      <c r="AP135" s="7" t="n">
        <f aca="false">MAX(AG135,AH135)</f>
        <v>0</v>
      </c>
      <c r="AQ135" s="7" t="n">
        <f aca="false">MAX(AI135,AJ135)</f>
        <v>0</v>
      </c>
      <c r="AR135" s="7" t="n">
        <f aca="false">MAX(AK135,AL135)</f>
        <v>0</v>
      </c>
      <c r="AT135" s="7" t="str">
        <f aca="false">IF('KNOWIFY TIME'!B135="","",'KNOWIFY TIME'!B135)</f>
        <v/>
      </c>
      <c r="AU135" s="7" t="n">
        <f aca="false">IF(AT135="",0,IF(ISNUMBER('KNOWIFY TIME'!D135),'KNOWIFY TIME'!D135*24,IFERROR(VALUE(LEFT('KNOWIFY TIME'!D135,FIND(":",'KNOWIFY TIME'!D135)-1))+VALUE(MID('KNOWIFY TIME'!D135,FIND(":",'KNOWIFY TIME'!D135)+1,2))/60,0)))</f>
        <v>0</v>
      </c>
      <c r="AV135" s="7" t="n">
        <f aca="false">N('KNOWIFY TIME'!E135)</f>
        <v>0</v>
      </c>
      <c r="AW135" s="7" t="str">
        <f aca="false">IF(AT135="","",IFERROR(INDEX($BD$5:$BD$60,MATCH(AT135,$BC$5:$BC$60,0)),"Unmapped"))</f>
        <v/>
      </c>
    </row>
    <row r="136" customFormat="false" ht="15" hidden="false" customHeight="false" outlineLevel="0" collapsed="false">
      <c r="AA136" s="7" t="str">
        <f aca="false">IF('KNOWIFY PHASES'!A136="","",'KNOWIFY PHASES'!A136)</f>
        <v/>
      </c>
      <c r="AB136" s="7" t="str">
        <f aca="false">IF(AA136="","",IF(LEFT(AA136,4)="P - ","P",IF(LEFT(AA136,4)="H - ","H",IF(LEFT(AA136,5)="AC - ","AC",IF(OR(LEFT(AA136,4)="V - ",LEFT(AA136,7)="HVAC - "),"V","Other")))))</f>
        <v/>
      </c>
      <c r="AC136" s="7" t="str">
        <f aca="false">IF(AA136="","",IFERROR(LOOKUP(2,1/(($AZ$5:$AZ$60&lt;&gt;"")*ISNUMBER(SEARCH($AZ$5:$AZ$60,AA136))),$BA$5:$BA$60),IF(AB136="Other","Excluded","Unmapped")))</f>
        <v/>
      </c>
      <c r="AD136" s="7" t="str">
        <f aca="false">IF(AA136="","",IF(AND(AB136&lt;&gt;"Other",OR(AND('KNOWIFY PHASES'!B136="Closed",N('KNOWIFY PHASES'!D136)&gt;=0.5),N('KNOWIFY PHASES'!D136)&gt;=1)),1,0))</f>
        <v/>
      </c>
      <c r="AE136" s="7" t="n">
        <f aca="false">N('KNOWIFY PHASES'!L136)</f>
        <v>0</v>
      </c>
      <c r="AF136" s="7" t="n">
        <f aca="false">N('KNOWIFY PHASES'!K136)</f>
        <v>0</v>
      </c>
      <c r="AG136" s="7" t="n">
        <f aca="false">N('KNOWIFY PHASES'!I136)</f>
        <v>0</v>
      </c>
      <c r="AH136" s="7" t="n">
        <f aca="false">N('KNOWIFY PHASES'!H136)</f>
        <v>0</v>
      </c>
      <c r="AI136" s="7" t="n">
        <f aca="false">N('KNOWIFY PHASES'!O136)</f>
        <v>0</v>
      </c>
      <c r="AJ136" s="7" t="n">
        <f aca="false">N('KNOWIFY PHASES'!N136)</f>
        <v>0</v>
      </c>
      <c r="AK136" s="7" t="n">
        <f aca="false">N('KNOWIFY PHASES'!R136)</f>
        <v>0</v>
      </c>
      <c r="AL136" s="7" t="n">
        <f aca="false">N('KNOWIFY PHASES'!Q136)</f>
        <v>0</v>
      </c>
      <c r="AM136" s="7" t="n">
        <f aca="false">N('KNOWIFY PHASES'!F136)</f>
        <v>0</v>
      </c>
      <c r="AN136" s="7" t="n">
        <f aca="false">N('KNOWIFY PHASES'!E136)</f>
        <v>0</v>
      </c>
      <c r="AO136" s="7" t="n">
        <f aca="false">MAX(AE136,AF136)</f>
        <v>0</v>
      </c>
      <c r="AP136" s="7" t="n">
        <f aca="false">MAX(AG136,AH136)</f>
        <v>0</v>
      </c>
      <c r="AQ136" s="7" t="n">
        <f aca="false">MAX(AI136,AJ136)</f>
        <v>0</v>
      </c>
      <c r="AR136" s="7" t="n">
        <f aca="false">MAX(AK136,AL136)</f>
        <v>0</v>
      </c>
      <c r="AT136" s="7" t="str">
        <f aca="false">IF('KNOWIFY TIME'!B136="","",'KNOWIFY TIME'!B136)</f>
        <v/>
      </c>
      <c r="AU136" s="7" t="n">
        <f aca="false">IF(AT136="",0,IF(ISNUMBER('KNOWIFY TIME'!D136),'KNOWIFY TIME'!D136*24,IFERROR(VALUE(LEFT('KNOWIFY TIME'!D136,FIND(":",'KNOWIFY TIME'!D136)-1))+VALUE(MID('KNOWIFY TIME'!D136,FIND(":",'KNOWIFY TIME'!D136)+1,2))/60,0)))</f>
        <v>0</v>
      </c>
      <c r="AV136" s="7" t="n">
        <f aca="false">N('KNOWIFY TIME'!E136)</f>
        <v>0</v>
      </c>
      <c r="AW136" s="7" t="str">
        <f aca="false">IF(AT136="","",IFERROR(INDEX($BD$5:$BD$60,MATCH(AT136,$BC$5:$BC$60,0)),"Unmapped"))</f>
        <v/>
      </c>
    </row>
    <row r="137" customFormat="false" ht="15" hidden="false" customHeight="false" outlineLevel="0" collapsed="false">
      <c r="AA137" s="7" t="str">
        <f aca="false">IF('KNOWIFY PHASES'!A137="","",'KNOWIFY PHASES'!A137)</f>
        <v/>
      </c>
      <c r="AB137" s="7" t="str">
        <f aca="false">IF(AA137="","",IF(LEFT(AA137,4)="P - ","P",IF(LEFT(AA137,4)="H - ","H",IF(LEFT(AA137,5)="AC - ","AC",IF(OR(LEFT(AA137,4)="V - ",LEFT(AA137,7)="HVAC - "),"V","Other")))))</f>
        <v/>
      </c>
      <c r="AC137" s="7" t="str">
        <f aca="false">IF(AA137="","",IFERROR(LOOKUP(2,1/(($AZ$5:$AZ$60&lt;&gt;"")*ISNUMBER(SEARCH($AZ$5:$AZ$60,AA137))),$BA$5:$BA$60),IF(AB137="Other","Excluded","Unmapped")))</f>
        <v/>
      </c>
      <c r="AD137" s="7" t="str">
        <f aca="false">IF(AA137="","",IF(AND(AB137&lt;&gt;"Other",OR(AND('KNOWIFY PHASES'!B137="Closed",N('KNOWIFY PHASES'!D137)&gt;=0.5),N('KNOWIFY PHASES'!D137)&gt;=1)),1,0))</f>
        <v/>
      </c>
      <c r="AE137" s="7" t="n">
        <f aca="false">N('KNOWIFY PHASES'!L137)</f>
        <v>0</v>
      </c>
      <c r="AF137" s="7" t="n">
        <f aca="false">N('KNOWIFY PHASES'!K137)</f>
        <v>0</v>
      </c>
      <c r="AG137" s="7" t="n">
        <f aca="false">N('KNOWIFY PHASES'!I137)</f>
        <v>0</v>
      </c>
      <c r="AH137" s="7" t="n">
        <f aca="false">N('KNOWIFY PHASES'!H137)</f>
        <v>0</v>
      </c>
      <c r="AI137" s="7" t="n">
        <f aca="false">N('KNOWIFY PHASES'!O137)</f>
        <v>0</v>
      </c>
      <c r="AJ137" s="7" t="n">
        <f aca="false">N('KNOWIFY PHASES'!N137)</f>
        <v>0</v>
      </c>
      <c r="AK137" s="7" t="n">
        <f aca="false">N('KNOWIFY PHASES'!R137)</f>
        <v>0</v>
      </c>
      <c r="AL137" s="7" t="n">
        <f aca="false">N('KNOWIFY PHASES'!Q137)</f>
        <v>0</v>
      </c>
      <c r="AM137" s="7" t="n">
        <f aca="false">N('KNOWIFY PHASES'!F137)</f>
        <v>0</v>
      </c>
      <c r="AN137" s="7" t="n">
        <f aca="false">N('KNOWIFY PHASES'!E137)</f>
        <v>0</v>
      </c>
      <c r="AO137" s="7" t="n">
        <f aca="false">MAX(AE137,AF137)</f>
        <v>0</v>
      </c>
      <c r="AP137" s="7" t="n">
        <f aca="false">MAX(AG137,AH137)</f>
        <v>0</v>
      </c>
      <c r="AQ137" s="7" t="n">
        <f aca="false">MAX(AI137,AJ137)</f>
        <v>0</v>
      </c>
      <c r="AR137" s="7" t="n">
        <f aca="false">MAX(AK137,AL137)</f>
        <v>0</v>
      </c>
      <c r="AT137" s="7" t="str">
        <f aca="false">IF('KNOWIFY TIME'!B137="","",'KNOWIFY TIME'!B137)</f>
        <v/>
      </c>
      <c r="AU137" s="7" t="n">
        <f aca="false">IF(AT137="",0,IF(ISNUMBER('KNOWIFY TIME'!D137),'KNOWIFY TIME'!D137*24,IFERROR(VALUE(LEFT('KNOWIFY TIME'!D137,FIND(":",'KNOWIFY TIME'!D137)-1))+VALUE(MID('KNOWIFY TIME'!D137,FIND(":",'KNOWIFY TIME'!D137)+1,2))/60,0)))</f>
        <v>0</v>
      </c>
      <c r="AV137" s="7" t="n">
        <f aca="false">N('KNOWIFY TIME'!E137)</f>
        <v>0</v>
      </c>
      <c r="AW137" s="7" t="str">
        <f aca="false">IF(AT137="","",IFERROR(INDEX($BD$5:$BD$60,MATCH(AT137,$BC$5:$BC$60,0)),"Unmapped"))</f>
        <v/>
      </c>
    </row>
    <row r="138" customFormat="false" ht="15" hidden="false" customHeight="false" outlineLevel="0" collapsed="false">
      <c r="AA138" s="7" t="str">
        <f aca="false">IF('KNOWIFY PHASES'!A138="","",'KNOWIFY PHASES'!A138)</f>
        <v/>
      </c>
      <c r="AB138" s="7" t="str">
        <f aca="false">IF(AA138="","",IF(LEFT(AA138,4)="P - ","P",IF(LEFT(AA138,4)="H - ","H",IF(LEFT(AA138,5)="AC - ","AC",IF(OR(LEFT(AA138,4)="V - ",LEFT(AA138,7)="HVAC - "),"V","Other")))))</f>
        <v/>
      </c>
      <c r="AC138" s="7" t="str">
        <f aca="false">IF(AA138="","",IFERROR(LOOKUP(2,1/(($AZ$5:$AZ$60&lt;&gt;"")*ISNUMBER(SEARCH($AZ$5:$AZ$60,AA138))),$BA$5:$BA$60),IF(AB138="Other","Excluded","Unmapped")))</f>
        <v/>
      </c>
      <c r="AD138" s="7" t="str">
        <f aca="false">IF(AA138="","",IF(AND(AB138&lt;&gt;"Other",OR(AND('KNOWIFY PHASES'!B138="Closed",N('KNOWIFY PHASES'!D138)&gt;=0.5),N('KNOWIFY PHASES'!D138)&gt;=1)),1,0))</f>
        <v/>
      </c>
      <c r="AE138" s="7" t="n">
        <f aca="false">N('KNOWIFY PHASES'!L138)</f>
        <v>0</v>
      </c>
      <c r="AF138" s="7" t="n">
        <f aca="false">N('KNOWIFY PHASES'!K138)</f>
        <v>0</v>
      </c>
      <c r="AG138" s="7" t="n">
        <f aca="false">N('KNOWIFY PHASES'!I138)</f>
        <v>0</v>
      </c>
      <c r="AH138" s="7" t="n">
        <f aca="false">N('KNOWIFY PHASES'!H138)</f>
        <v>0</v>
      </c>
      <c r="AI138" s="7" t="n">
        <f aca="false">N('KNOWIFY PHASES'!O138)</f>
        <v>0</v>
      </c>
      <c r="AJ138" s="7" t="n">
        <f aca="false">N('KNOWIFY PHASES'!N138)</f>
        <v>0</v>
      </c>
      <c r="AK138" s="7" t="n">
        <f aca="false">N('KNOWIFY PHASES'!R138)</f>
        <v>0</v>
      </c>
      <c r="AL138" s="7" t="n">
        <f aca="false">N('KNOWIFY PHASES'!Q138)</f>
        <v>0</v>
      </c>
      <c r="AM138" s="7" t="n">
        <f aca="false">N('KNOWIFY PHASES'!F138)</f>
        <v>0</v>
      </c>
      <c r="AN138" s="7" t="n">
        <f aca="false">N('KNOWIFY PHASES'!E138)</f>
        <v>0</v>
      </c>
      <c r="AO138" s="7" t="n">
        <f aca="false">MAX(AE138,AF138)</f>
        <v>0</v>
      </c>
      <c r="AP138" s="7" t="n">
        <f aca="false">MAX(AG138,AH138)</f>
        <v>0</v>
      </c>
      <c r="AQ138" s="7" t="n">
        <f aca="false">MAX(AI138,AJ138)</f>
        <v>0</v>
      </c>
      <c r="AR138" s="7" t="n">
        <f aca="false">MAX(AK138,AL138)</f>
        <v>0</v>
      </c>
      <c r="AT138" s="7" t="str">
        <f aca="false">IF('KNOWIFY TIME'!B138="","",'KNOWIFY TIME'!B138)</f>
        <v/>
      </c>
      <c r="AU138" s="7" t="n">
        <f aca="false">IF(AT138="",0,IF(ISNUMBER('KNOWIFY TIME'!D138),'KNOWIFY TIME'!D138*24,IFERROR(VALUE(LEFT('KNOWIFY TIME'!D138,FIND(":",'KNOWIFY TIME'!D138)-1))+VALUE(MID('KNOWIFY TIME'!D138,FIND(":",'KNOWIFY TIME'!D138)+1,2))/60,0)))</f>
        <v>0</v>
      </c>
      <c r="AV138" s="7" t="n">
        <f aca="false">N('KNOWIFY TIME'!E138)</f>
        <v>0</v>
      </c>
      <c r="AW138" s="7" t="str">
        <f aca="false">IF(AT138="","",IFERROR(INDEX($BD$5:$BD$60,MATCH(AT138,$BC$5:$BC$60,0)),"Unmapped"))</f>
        <v/>
      </c>
    </row>
    <row r="139" customFormat="false" ht="15" hidden="false" customHeight="false" outlineLevel="0" collapsed="false">
      <c r="AA139" s="7" t="str">
        <f aca="false">IF('KNOWIFY PHASES'!A139="","",'KNOWIFY PHASES'!A139)</f>
        <v/>
      </c>
      <c r="AB139" s="7" t="str">
        <f aca="false">IF(AA139="","",IF(LEFT(AA139,4)="P - ","P",IF(LEFT(AA139,4)="H - ","H",IF(LEFT(AA139,5)="AC - ","AC",IF(OR(LEFT(AA139,4)="V - ",LEFT(AA139,7)="HVAC - "),"V","Other")))))</f>
        <v/>
      </c>
      <c r="AC139" s="7" t="str">
        <f aca="false">IF(AA139="","",IFERROR(LOOKUP(2,1/(($AZ$5:$AZ$60&lt;&gt;"")*ISNUMBER(SEARCH($AZ$5:$AZ$60,AA139))),$BA$5:$BA$60),IF(AB139="Other","Excluded","Unmapped")))</f>
        <v/>
      </c>
      <c r="AD139" s="7" t="str">
        <f aca="false">IF(AA139="","",IF(AND(AB139&lt;&gt;"Other",OR(AND('KNOWIFY PHASES'!B139="Closed",N('KNOWIFY PHASES'!D139)&gt;=0.5),N('KNOWIFY PHASES'!D139)&gt;=1)),1,0))</f>
        <v/>
      </c>
      <c r="AE139" s="7" t="n">
        <f aca="false">N('KNOWIFY PHASES'!L139)</f>
        <v>0</v>
      </c>
      <c r="AF139" s="7" t="n">
        <f aca="false">N('KNOWIFY PHASES'!K139)</f>
        <v>0</v>
      </c>
      <c r="AG139" s="7" t="n">
        <f aca="false">N('KNOWIFY PHASES'!I139)</f>
        <v>0</v>
      </c>
      <c r="AH139" s="7" t="n">
        <f aca="false">N('KNOWIFY PHASES'!H139)</f>
        <v>0</v>
      </c>
      <c r="AI139" s="7" t="n">
        <f aca="false">N('KNOWIFY PHASES'!O139)</f>
        <v>0</v>
      </c>
      <c r="AJ139" s="7" t="n">
        <f aca="false">N('KNOWIFY PHASES'!N139)</f>
        <v>0</v>
      </c>
      <c r="AK139" s="7" t="n">
        <f aca="false">N('KNOWIFY PHASES'!R139)</f>
        <v>0</v>
      </c>
      <c r="AL139" s="7" t="n">
        <f aca="false">N('KNOWIFY PHASES'!Q139)</f>
        <v>0</v>
      </c>
      <c r="AM139" s="7" t="n">
        <f aca="false">N('KNOWIFY PHASES'!F139)</f>
        <v>0</v>
      </c>
      <c r="AN139" s="7" t="n">
        <f aca="false">N('KNOWIFY PHASES'!E139)</f>
        <v>0</v>
      </c>
      <c r="AO139" s="7" t="n">
        <f aca="false">MAX(AE139,AF139)</f>
        <v>0</v>
      </c>
      <c r="AP139" s="7" t="n">
        <f aca="false">MAX(AG139,AH139)</f>
        <v>0</v>
      </c>
      <c r="AQ139" s="7" t="n">
        <f aca="false">MAX(AI139,AJ139)</f>
        <v>0</v>
      </c>
      <c r="AR139" s="7" t="n">
        <f aca="false">MAX(AK139,AL139)</f>
        <v>0</v>
      </c>
      <c r="AT139" s="7" t="str">
        <f aca="false">IF('KNOWIFY TIME'!B139="","",'KNOWIFY TIME'!B139)</f>
        <v/>
      </c>
      <c r="AU139" s="7" t="n">
        <f aca="false">IF(AT139="",0,IF(ISNUMBER('KNOWIFY TIME'!D139),'KNOWIFY TIME'!D139*24,IFERROR(VALUE(LEFT('KNOWIFY TIME'!D139,FIND(":",'KNOWIFY TIME'!D139)-1))+VALUE(MID('KNOWIFY TIME'!D139,FIND(":",'KNOWIFY TIME'!D139)+1,2))/60,0)))</f>
        <v>0</v>
      </c>
      <c r="AV139" s="7" t="n">
        <f aca="false">N('KNOWIFY TIME'!E139)</f>
        <v>0</v>
      </c>
      <c r="AW139" s="7" t="str">
        <f aca="false">IF(AT139="","",IFERROR(INDEX($BD$5:$BD$60,MATCH(AT139,$BC$5:$BC$60,0)),"Unmapped"))</f>
        <v/>
      </c>
    </row>
    <row r="140" customFormat="false" ht="15" hidden="false" customHeight="false" outlineLevel="0" collapsed="false">
      <c r="AA140" s="7" t="str">
        <f aca="false">IF('KNOWIFY PHASES'!A140="","",'KNOWIFY PHASES'!A140)</f>
        <v/>
      </c>
      <c r="AB140" s="7" t="str">
        <f aca="false">IF(AA140="","",IF(LEFT(AA140,4)="P - ","P",IF(LEFT(AA140,4)="H - ","H",IF(LEFT(AA140,5)="AC - ","AC",IF(OR(LEFT(AA140,4)="V - ",LEFT(AA140,7)="HVAC - "),"V","Other")))))</f>
        <v/>
      </c>
      <c r="AC140" s="7" t="str">
        <f aca="false">IF(AA140="","",IFERROR(LOOKUP(2,1/(($AZ$5:$AZ$60&lt;&gt;"")*ISNUMBER(SEARCH($AZ$5:$AZ$60,AA140))),$BA$5:$BA$60),IF(AB140="Other","Excluded","Unmapped")))</f>
        <v/>
      </c>
      <c r="AD140" s="7" t="str">
        <f aca="false">IF(AA140="","",IF(AND(AB140&lt;&gt;"Other",OR(AND('KNOWIFY PHASES'!B140="Closed",N('KNOWIFY PHASES'!D140)&gt;=0.5),N('KNOWIFY PHASES'!D140)&gt;=1)),1,0))</f>
        <v/>
      </c>
      <c r="AE140" s="7" t="n">
        <f aca="false">N('KNOWIFY PHASES'!L140)</f>
        <v>0</v>
      </c>
      <c r="AF140" s="7" t="n">
        <f aca="false">N('KNOWIFY PHASES'!K140)</f>
        <v>0</v>
      </c>
      <c r="AG140" s="7" t="n">
        <f aca="false">N('KNOWIFY PHASES'!I140)</f>
        <v>0</v>
      </c>
      <c r="AH140" s="7" t="n">
        <f aca="false">N('KNOWIFY PHASES'!H140)</f>
        <v>0</v>
      </c>
      <c r="AI140" s="7" t="n">
        <f aca="false">N('KNOWIFY PHASES'!O140)</f>
        <v>0</v>
      </c>
      <c r="AJ140" s="7" t="n">
        <f aca="false">N('KNOWIFY PHASES'!N140)</f>
        <v>0</v>
      </c>
      <c r="AK140" s="7" t="n">
        <f aca="false">N('KNOWIFY PHASES'!R140)</f>
        <v>0</v>
      </c>
      <c r="AL140" s="7" t="n">
        <f aca="false">N('KNOWIFY PHASES'!Q140)</f>
        <v>0</v>
      </c>
      <c r="AM140" s="7" t="n">
        <f aca="false">N('KNOWIFY PHASES'!F140)</f>
        <v>0</v>
      </c>
      <c r="AN140" s="7" t="n">
        <f aca="false">N('KNOWIFY PHASES'!E140)</f>
        <v>0</v>
      </c>
      <c r="AO140" s="7" t="n">
        <f aca="false">MAX(AE140,AF140)</f>
        <v>0</v>
      </c>
      <c r="AP140" s="7" t="n">
        <f aca="false">MAX(AG140,AH140)</f>
        <v>0</v>
      </c>
      <c r="AQ140" s="7" t="n">
        <f aca="false">MAX(AI140,AJ140)</f>
        <v>0</v>
      </c>
      <c r="AR140" s="7" t="n">
        <f aca="false">MAX(AK140,AL140)</f>
        <v>0</v>
      </c>
      <c r="AT140" s="7" t="str">
        <f aca="false">IF('KNOWIFY TIME'!B140="","",'KNOWIFY TIME'!B140)</f>
        <v/>
      </c>
      <c r="AU140" s="7" t="n">
        <f aca="false">IF(AT140="",0,IF(ISNUMBER('KNOWIFY TIME'!D140),'KNOWIFY TIME'!D140*24,IFERROR(VALUE(LEFT('KNOWIFY TIME'!D140,FIND(":",'KNOWIFY TIME'!D140)-1))+VALUE(MID('KNOWIFY TIME'!D140,FIND(":",'KNOWIFY TIME'!D140)+1,2))/60,0)))</f>
        <v>0</v>
      </c>
      <c r="AV140" s="7" t="n">
        <f aca="false">N('KNOWIFY TIME'!E140)</f>
        <v>0</v>
      </c>
      <c r="AW140" s="7" t="str">
        <f aca="false">IF(AT140="","",IFERROR(INDEX($BD$5:$BD$60,MATCH(AT140,$BC$5:$BC$60,0)),"Unmapped"))</f>
        <v/>
      </c>
    </row>
    <row r="141" customFormat="false" ht="15" hidden="false" customHeight="false" outlineLevel="0" collapsed="false">
      <c r="AA141" s="7" t="str">
        <f aca="false">IF('KNOWIFY PHASES'!A141="","",'KNOWIFY PHASES'!A141)</f>
        <v/>
      </c>
      <c r="AB141" s="7" t="str">
        <f aca="false">IF(AA141="","",IF(LEFT(AA141,4)="P - ","P",IF(LEFT(AA141,4)="H - ","H",IF(LEFT(AA141,5)="AC - ","AC",IF(OR(LEFT(AA141,4)="V - ",LEFT(AA141,7)="HVAC - "),"V","Other")))))</f>
        <v/>
      </c>
      <c r="AC141" s="7" t="str">
        <f aca="false">IF(AA141="","",IFERROR(LOOKUP(2,1/(($AZ$5:$AZ$60&lt;&gt;"")*ISNUMBER(SEARCH($AZ$5:$AZ$60,AA141))),$BA$5:$BA$60),IF(AB141="Other","Excluded","Unmapped")))</f>
        <v/>
      </c>
      <c r="AD141" s="7" t="str">
        <f aca="false">IF(AA141="","",IF(AND(AB141&lt;&gt;"Other",OR(AND('KNOWIFY PHASES'!B141="Closed",N('KNOWIFY PHASES'!D141)&gt;=0.5),N('KNOWIFY PHASES'!D141)&gt;=1)),1,0))</f>
        <v/>
      </c>
      <c r="AE141" s="7" t="n">
        <f aca="false">N('KNOWIFY PHASES'!L141)</f>
        <v>0</v>
      </c>
      <c r="AF141" s="7" t="n">
        <f aca="false">N('KNOWIFY PHASES'!K141)</f>
        <v>0</v>
      </c>
      <c r="AG141" s="7" t="n">
        <f aca="false">N('KNOWIFY PHASES'!I141)</f>
        <v>0</v>
      </c>
      <c r="AH141" s="7" t="n">
        <f aca="false">N('KNOWIFY PHASES'!H141)</f>
        <v>0</v>
      </c>
      <c r="AI141" s="7" t="n">
        <f aca="false">N('KNOWIFY PHASES'!O141)</f>
        <v>0</v>
      </c>
      <c r="AJ141" s="7" t="n">
        <f aca="false">N('KNOWIFY PHASES'!N141)</f>
        <v>0</v>
      </c>
      <c r="AK141" s="7" t="n">
        <f aca="false">N('KNOWIFY PHASES'!R141)</f>
        <v>0</v>
      </c>
      <c r="AL141" s="7" t="n">
        <f aca="false">N('KNOWIFY PHASES'!Q141)</f>
        <v>0</v>
      </c>
      <c r="AM141" s="7" t="n">
        <f aca="false">N('KNOWIFY PHASES'!F141)</f>
        <v>0</v>
      </c>
      <c r="AN141" s="7" t="n">
        <f aca="false">N('KNOWIFY PHASES'!E141)</f>
        <v>0</v>
      </c>
      <c r="AO141" s="7" t="n">
        <f aca="false">MAX(AE141,AF141)</f>
        <v>0</v>
      </c>
      <c r="AP141" s="7" t="n">
        <f aca="false">MAX(AG141,AH141)</f>
        <v>0</v>
      </c>
      <c r="AQ141" s="7" t="n">
        <f aca="false">MAX(AI141,AJ141)</f>
        <v>0</v>
      </c>
      <c r="AR141" s="7" t="n">
        <f aca="false">MAX(AK141,AL141)</f>
        <v>0</v>
      </c>
      <c r="AT141" s="7" t="str">
        <f aca="false">IF('KNOWIFY TIME'!B141="","",'KNOWIFY TIME'!B141)</f>
        <v/>
      </c>
      <c r="AU141" s="7" t="n">
        <f aca="false">IF(AT141="",0,IF(ISNUMBER('KNOWIFY TIME'!D141),'KNOWIFY TIME'!D141*24,IFERROR(VALUE(LEFT('KNOWIFY TIME'!D141,FIND(":",'KNOWIFY TIME'!D141)-1))+VALUE(MID('KNOWIFY TIME'!D141,FIND(":",'KNOWIFY TIME'!D141)+1,2))/60,0)))</f>
        <v>0</v>
      </c>
      <c r="AV141" s="7" t="n">
        <f aca="false">N('KNOWIFY TIME'!E141)</f>
        <v>0</v>
      </c>
      <c r="AW141" s="7" t="str">
        <f aca="false">IF(AT141="","",IFERROR(INDEX($BD$5:$BD$60,MATCH(AT141,$BC$5:$BC$60,0)),"Unmapped"))</f>
        <v/>
      </c>
    </row>
    <row r="142" customFormat="false" ht="15" hidden="false" customHeight="false" outlineLevel="0" collapsed="false">
      <c r="AA142" s="7" t="str">
        <f aca="false">IF('KNOWIFY PHASES'!A142="","",'KNOWIFY PHASES'!A142)</f>
        <v/>
      </c>
      <c r="AB142" s="7" t="str">
        <f aca="false">IF(AA142="","",IF(LEFT(AA142,4)="P - ","P",IF(LEFT(AA142,4)="H - ","H",IF(LEFT(AA142,5)="AC - ","AC",IF(OR(LEFT(AA142,4)="V - ",LEFT(AA142,7)="HVAC - "),"V","Other")))))</f>
        <v/>
      </c>
      <c r="AC142" s="7" t="str">
        <f aca="false">IF(AA142="","",IFERROR(LOOKUP(2,1/(($AZ$5:$AZ$60&lt;&gt;"")*ISNUMBER(SEARCH($AZ$5:$AZ$60,AA142))),$BA$5:$BA$60),IF(AB142="Other","Excluded","Unmapped")))</f>
        <v/>
      </c>
      <c r="AD142" s="7" t="str">
        <f aca="false">IF(AA142="","",IF(AND(AB142&lt;&gt;"Other",OR(AND('KNOWIFY PHASES'!B142="Closed",N('KNOWIFY PHASES'!D142)&gt;=0.5),N('KNOWIFY PHASES'!D142)&gt;=1)),1,0))</f>
        <v/>
      </c>
      <c r="AE142" s="7" t="n">
        <f aca="false">N('KNOWIFY PHASES'!L142)</f>
        <v>0</v>
      </c>
      <c r="AF142" s="7" t="n">
        <f aca="false">N('KNOWIFY PHASES'!K142)</f>
        <v>0</v>
      </c>
      <c r="AG142" s="7" t="n">
        <f aca="false">N('KNOWIFY PHASES'!I142)</f>
        <v>0</v>
      </c>
      <c r="AH142" s="7" t="n">
        <f aca="false">N('KNOWIFY PHASES'!H142)</f>
        <v>0</v>
      </c>
      <c r="AI142" s="7" t="n">
        <f aca="false">N('KNOWIFY PHASES'!O142)</f>
        <v>0</v>
      </c>
      <c r="AJ142" s="7" t="n">
        <f aca="false">N('KNOWIFY PHASES'!N142)</f>
        <v>0</v>
      </c>
      <c r="AK142" s="7" t="n">
        <f aca="false">N('KNOWIFY PHASES'!R142)</f>
        <v>0</v>
      </c>
      <c r="AL142" s="7" t="n">
        <f aca="false">N('KNOWIFY PHASES'!Q142)</f>
        <v>0</v>
      </c>
      <c r="AM142" s="7" t="n">
        <f aca="false">N('KNOWIFY PHASES'!F142)</f>
        <v>0</v>
      </c>
      <c r="AN142" s="7" t="n">
        <f aca="false">N('KNOWIFY PHASES'!E142)</f>
        <v>0</v>
      </c>
      <c r="AO142" s="7" t="n">
        <f aca="false">MAX(AE142,AF142)</f>
        <v>0</v>
      </c>
      <c r="AP142" s="7" t="n">
        <f aca="false">MAX(AG142,AH142)</f>
        <v>0</v>
      </c>
      <c r="AQ142" s="7" t="n">
        <f aca="false">MAX(AI142,AJ142)</f>
        <v>0</v>
      </c>
      <c r="AR142" s="7" t="n">
        <f aca="false">MAX(AK142,AL142)</f>
        <v>0</v>
      </c>
      <c r="AT142" s="7" t="str">
        <f aca="false">IF('KNOWIFY TIME'!B142="","",'KNOWIFY TIME'!B142)</f>
        <v/>
      </c>
      <c r="AU142" s="7" t="n">
        <f aca="false">IF(AT142="",0,IF(ISNUMBER('KNOWIFY TIME'!D142),'KNOWIFY TIME'!D142*24,IFERROR(VALUE(LEFT('KNOWIFY TIME'!D142,FIND(":",'KNOWIFY TIME'!D142)-1))+VALUE(MID('KNOWIFY TIME'!D142,FIND(":",'KNOWIFY TIME'!D142)+1,2))/60,0)))</f>
        <v>0</v>
      </c>
      <c r="AV142" s="7" t="n">
        <f aca="false">N('KNOWIFY TIME'!E142)</f>
        <v>0</v>
      </c>
      <c r="AW142" s="7" t="str">
        <f aca="false">IF(AT142="","",IFERROR(INDEX($BD$5:$BD$60,MATCH(AT142,$BC$5:$BC$60,0)),"Unmapped"))</f>
        <v/>
      </c>
    </row>
    <row r="143" customFormat="false" ht="15" hidden="false" customHeight="false" outlineLevel="0" collapsed="false">
      <c r="AA143" s="7" t="str">
        <f aca="false">IF('KNOWIFY PHASES'!A143="","",'KNOWIFY PHASES'!A143)</f>
        <v/>
      </c>
      <c r="AB143" s="7" t="str">
        <f aca="false">IF(AA143="","",IF(LEFT(AA143,4)="P - ","P",IF(LEFT(AA143,4)="H - ","H",IF(LEFT(AA143,5)="AC - ","AC",IF(OR(LEFT(AA143,4)="V - ",LEFT(AA143,7)="HVAC - "),"V","Other")))))</f>
        <v/>
      </c>
      <c r="AC143" s="7" t="str">
        <f aca="false">IF(AA143="","",IFERROR(LOOKUP(2,1/(($AZ$5:$AZ$60&lt;&gt;"")*ISNUMBER(SEARCH($AZ$5:$AZ$60,AA143))),$BA$5:$BA$60),IF(AB143="Other","Excluded","Unmapped")))</f>
        <v/>
      </c>
      <c r="AD143" s="7" t="str">
        <f aca="false">IF(AA143="","",IF(AND(AB143&lt;&gt;"Other",OR(AND('KNOWIFY PHASES'!B143="Closed",N('KNOWIFY PHASES'!D143)&gt;=0.5),N('KNOWIFY PHASES'!D143)&gt;=1)),1,0))</f>
        <v/>
      </c>
      <c r="AE143" s="7" t="n">
        <f aca="false">N('KNOWIFY PHASES'!L143)</f>
        <v>0</v>
      </c>
      <c r="AF143" s="7" t="n">
        <f aca="false">N('KNOWIFY PHASES'!K143)</f>
        <v>0</v>
      </c>
      <c r="AG143" s="7" t="n">
        <f aca="false">N('KNOWIFY PHASES'!I143)</f>
        <v>0</v>
      </c>
      <c r="AH143" s="7" t="n">
        <f aca="false">N('KNOWIFY PHASES'!H143)</f>
        <v>0</v>
      </c>
      <c r="AI143" s="7" t="n">
        <f aca="false">N('KNOWIFY PHASES'!O143)</f>
        <v>0</v>
      </c>
      <c r="AJ143" s="7" t="n">
        <f aca="false">N('KNOWIFY PHASES'!N143)</f>
        <v>0</v>
      </c>
      <c r="AK143" s="7" t="n">
        <f aca="false">N('KNOWIFY PHASES'!R143)</f>
        <v>0</v>
      </c>
      <c r="AL143" s="7" t="n">
        <f aca="false">N('KNOWIFY PHASES'!Q143)</f>
        <v>0</v>
      </c>
      <c r="AM143" s="7" t="n">
        <f aca="false">N('KNOWIFY PHASES'!F143)</f>
        <v>0</v>
      </c>
      <c r="AN143" s="7" t="n">
        <f aca="false">N('KNOWIFY PHASES'!E143)</f>
        <v>0</v>
      </c>
      <c r="AO143" s="7" t="n">
        <f aca="false">MAX(AE143,AF143)</f>
        <v>0</v>
      </c>
      <c r="AP143" s="7" t="n">
        <f aca="false">MAX(AG143,AH143)</f>
        <v>0</v>
      </c>
      <c r="AQ143" s="7" t="n">
        <f aca="false">MAX(AI143,AJ143)</f>
        <v>0</v>
      </c>
      <c r="AR143" s="7" t="n">
        <f aca="false">MAX(AK143,AL143)</f>
        <v>0</v>
      </c>
      <c r="AT143" s="7" t="str">
        <f aca="false">IF('KNOWIFY TIME'!B143="","",'KNOWIFY TIME'!B143)</f>
        <v/>
      </c>
      <c r="AU143" s="7" t="n">
        <f aca="false">IF(AT143="",0,IF(ISNUMBER('KNOWIFY TIME'!D143),'KNOWIFY TIME'!D143*24,IFERROR(VALUE(LEFT('KNOWIFY TIME'!D143,FIND(":",'KNOWIFY TIME'!D143)-1))+VALUE(MID('KNOWIFY TIME'!D143,FIND(":",'KNOWIFY TIME'!D143)+1,2))/60,0)))</f>
        <v>0</v>
      </c>
      <c r="AV143" s="7" t="n">
        <f aca="false">N('KNOWIFY TIME'!E143)</f>
        <v>0</v>
      </c>
      <c r="AW143" s="7" t="str">
        <f aca="false">IF(AT143="","",IFERROR(INDEX($BD$5:$BD$60,MATCH(AT143,$BC$5:$BC$60,0)),"Unmapped"))</f>
        <v/>
      </c>
    </row>
    <row r="144" customFormat="false" ht="15" hidden="false" customHeight="false" outlineLevel="0" collapsed="false">
      <c r="AA144" s="7" t="str">
        <f aca="false">IF('KNOWIFY PHASES'!A144="","",'KNOWIFY PHASES'!A144)</f>
        <v/>
      </c>
      <c r="AB144" s="7" t="str">
        <f aca="false">IF(AA144="","",IF(LEFT(AA144,4)="P - ","P",IF(LEFT(AA144,4)="H - ","H",IF(LEFT(AA144,5)="AC - ","AC",IF(OR(LEFT(AA144,4)="V - ",LEFT(AA144,7)="HVAC - "),"V","Other")))))</f>
        <v/>
      </c>
      <c r="AC144" s="7" t="str">
        <f aca="false">IF(AA144="","",IFERROR(LOOKUP(2,1/(($AZ$5:$AZ$60&lt;&gt;"")*ISNUMBER(SEARCH($AZ$5:$AZ$60,AA144))),$BA$5:$BA$60),IF(AB144="Other","Excluded","Unmapped")))</f>
        <v/>
      </c>
      <c r="AD144" s="7" t="str">
        <f aca="false">IF(AA144="","",IF(AND(AB144&lt;&gt;"Other",OR(AND('KNOWIFY PHASES'!B144="Closed",N('KNOWIFY PHASES'!D144)&gt;=0.5),N('KNOWIFY PHASES'!D144)&gt;=1)),1,0))</f>
        <v/>
      </c>
      <c r="AE144" s="7" t="n">
        <f aca="false">N('KNOWIFY PHASES'!L144)</f>
        <v>0</v>
      </c>
      <c r="AF144" s="7" t="n">
        <f aca="false">N('KNOWIFY PHASES'!K144)</f>
        <v>0</v>
      </c>
      <c r="AG144" s="7" t="n">
        <f aca="false">N('KNOWIFY PHASES'!I144)</f>
        <v>0</v>
      </c>
      <c r="AH144" s="7" t="n">
        <f aca="false">N('KNOWIFY PHASES'!H144)</f>
        <v>0</v>
      </c>
      <c r="AI144" s="7" t="n">
        <f aca="false">N('KNOWIFY PHASES'!O144)</f>
        <v>0</v>
      </c>
      <c r="AJ144" s="7" t="n">
        <f aca="false">N('KNOWIFY PHASES'!N144)</f>
        <v>0</v>
      </c>
      <c r="AK144" s="7" t="n">
        <f aca="false">N('KNOWIFY PHASES'!R144)</f>
        <v>0</v>
      </c>
      <c r="AL144" s="7" t="n">
        <f aca="false">N('KNOWIFY PHASES'!Q144)</f>
        <v>0</v>
      </c>
      <c r="AM144" s="7" t="n">
        <f aca="false">N('KNOWIFY PHASES'!F144)</f>
        <v>0</v>
      </c>
      <c r="AN144" s="7" t="n">
        <f aca="false">N('KNOWIFY PHASES'!E144)</f>
        <v>0</v>
      </c>
      <c r="AO144" s="7" t="n">
        <f aca="false">MAX(AE144,AF144)</f>
        <v>0</v>
      </c>
      <c r="AP144" s="7" t="n">
        <f aca="false">MAX(AG144,AH144)</f>
        <v>0</v>
      </c>
      <c r="AQ144" s="7" t="n">
        <f aca="false">MAX(AI144,AJ144)</f>
        <v>0</v>
      </c>
      <c r="AR144" s="7" t="n">
        <f aca="false">MAX(AK144,AL144)</f>
        <v>0</v>
      </c>
      <c r="AT144" s="7" t="str">
        <f aca="false">IF('KNOWIFY TIME'!B144="","",'KNOWIFY TIME'!B144)</f>
        <v/>
      </c>
      <c r="AU144" s="7" t="n">
        <f aca="false">IF(AT144="",0,IF(ISNUMBER('KNOWIFY TIME'!D144),'KNOWIFY TIME'!D144*24,IFERROR(VALUE(LEFT('KNOWIFY TIME'!D144,FIND(":",'KNOWIFY TIME'!D144)-1))+VALUE(MID('KNOWIFY TIME'!D144,FIND(":",'KNOWIFY TIME'!D144)+1,2))/60,0)))</f>
        <v>0</v>
      </c>
      <c r="AV144" s="7" t="n">
        <f aca="false">N('KNOWIFY TIME'!E144)</f>
        <v>0</v>
      </c>
      <c r="AW144" s="7" t="str">
        <f aca="false">IF(AT144="","",IFERROR(INDEX($BD$5:$BD$60,MATCH(AT144,$BC$5:$BC$60,0)),"Unmapped"))</f>
        <v/>
      </c>
    </row>
    <row r="145" customFormat="false" ht="15" hidden="false" customHeight="false" outlineLevel="0" collapsed="false">
      <c r="AA145" s="7" t="str">
        <f aca="false">IF('KNOWIFY PHASES'!A145="","",'KNOWIFY PHASES'!A145)</f>
        <v/>
      </c>
      <c r="AB145" s="7" t="str">
        <f aca="false">IF(AA145="","",IF(LEFT(AA145,4)="P - ","P",IF(LEFT(AA145,4)="H - ","H",IF(LEFT(AA145,5)="AC - ","AC",IF(OR(LEFT(AA145,4)="V - ",LEFT(AA145,7)="HVAC - "),"V","Other")))))</f>
        <v/>
      </c>
      <c r="AC145" s="7" t="str">
        <f aca="false">IF(AA145="","",IFERROR(LOOKUP(2,1/(($AZ$5:$AZ$60&lt;&gt;"")*ISNUMBER(SEARCH($AZ$5:$AZ$60,AA145))),$BA$5:$BA$60),IF(AB145="Other","Excluded","Unmapped")))</f>
        <v/>
      </c>
      <c r="AD145" s="7" t="str">
        <f aca="false">IF(AA145="","",IF(AND(AB145&lt;&gt;"Other",OR(AND('KNOWIFY PHASES'!B145="Closed",N('KNOWIFY PHASES'!D145)&gt;=0.5),N('KNOWIFY PHASES'!D145)&gt;=1)),1,0))</f>
        <v/>
      </c>
      <c r="AE145" s="7" t="n">
        <f aca="false">N('KNOWIFY PHASES'!L145)</f>
        <v>0</v>
      </c>
      <c r="AF145" s="7" t="n">
        <f aca="false">N('KNOWIFY PHASES'!K145)</f>
        <v>0</v>
      </c>
      <c r="AG145" s="7" t="n">
        <f aca="false">N('KNOWIFY PHASES'!I145)</f>
        <v>0</v>
      </c>
      <c r="AH145" s="7" t="n">
        <f aca="false">N('KNOWIFY PHASES'!H145)</f>
        <v>0</v>
      </c>
      <c r="AI145" s="7" t="n">
        <f aca="false">N('KNOWIFY PHASES'!O145)</f>
        <v>0</v>
      </c>
      <c r="AJ145" s="7" t="n">
        <f aca="false">N('KNOWIFY PHASES'!N145)</f>
        <v>0</v>
      </c>
      <c r="AK145" s="7" t="n">
        <f aca="false">N('KNOWIFY PHASES'!R145)</f>
        <v>0</v>
      </c>
      <c r="AL145" s="7" t="n">
        <f aca="false">N('KNOWIFY PHASES'!Q145)</f>
        <v>0</v>
      </c>
      <c r="AM145" s="7" t="n">
        <f aca="false">N('KNOWIFY PHASES'!F145)</f>
        <v>0</v>
      </c>
      <c r="AN145" s="7" t="n">
        <f aca="false">N('KNOWIFY PHASES'!E145)</f>
        <v>0</v>
      </c>
      <c r="AO145" s="7" t="n">
        <f aca="false">MAX(AE145,AF145)</f>
        <v>0</v>
      </c>
      <c r="AP145" s="7" t="n">
        <f aca="false">MAX(AG145,AH145)</f>
        <v>0</v>
      </c>
      <c r="AQ145" s="7" t="n">
        <f aca="false">MAX(AI145,AJ145)</f>
        <v>0</v>
      </c>
      <c r="AR145" s="7" t="n">
        <f aca="false">MAX(AK145,AL145)</f>
        <v>0</v>
      </c>
      <c r="AT145" s="7" t="str">
        <f aca="false">IF('KNOWIFY TIME'!B145="","",'KNOWIFY TIME'!B145)</f>
        <v/>
      </c>
      <c r="AU145" s="7" t="n">
        <f aca="false">IF(AT145="",0,IF(ISNUMBER('KNOWIFY TIME'!D145),'KNOWIFY TIME'!D145*24,IFERROR(VALUE(LEFT('KNOWIFY TIME'!D145,FIND(":",'KNOWIFY TIME'!D145)-1))+VALUE(MID('KNOWIFY TIME'!D145,FIND(":",'KNOWIFY TIME'!D145)+1,2))/60,0)))</f>
        <v>0</v>
      </c>
      <c r="AV145" s="7" t="n">
        <f aca="false">N('KNOWIFY TIME'!E145)</f>
        <v>0</v>
      </c>
      <c r="AW145" s="7" t="str">
        <f aca="false">IF(AT145="","",IFERROR(INDEX($BD$5:$BD$60,MATCH(AT145,$BC$5:$BC$60,0)),"Unmapped"))</f>
        <v/>
      </c>
    </row>
    <row r="146" customFormat="false" ht="15" hidden="false" customHeight="false" outlineLevel="0" collapsed="false">
      <c r="AA146" s="7" t="str">
        <f aca="false">IF('KNOWIFY PHASES'!A146="","",'KNOWIFY PHASES'!A146)</f>
        <v/>
      </c>
      <c r="AB146" s="7" t="str">
        <f aca="false">IF(AA146="","",IF(LEFT(AA146,4)="P - ","P",IF(LEFT(AA146,4)="H - ","H",IF(LEFT(AA146,5)="AC - ","AC",IF(OR(LEFT(AA146,4)="V - ",LEFT(AA146,7)="HVAC - "),"V","Other")))))</f>
        <v/>
      </c>
      <c r="AC146" s="7" t="str">
        <f aca="false">IF(AA146="","",IFERROR(LOOKUP(2,1/(($AZ$5:$AZ$60&lt;&gt;"")*ISNUMBER(SEARCH($AZ$5:$AZ$60,AA146))),$BA$5:$BA$60),IF(AB146="Other","Excluded","Unmapped")))</f>
        <v/>
      </c>
      <c r="AD146" s="7" t="str">
        <f aca="false">IF(AA146="","",IF(AND(AB146&lt;&gt;"Other",OR(AND('KNOWIFY PHASES'!B146="Closed",N('KNOWIFY PHASES'!D146)&gt;=0.5),N('KNOWIFY PHASES'!D146)&gt;=1)),1,0))</f>
        <v/>
      </c>
      <c r="AE146" s="7" t="n">
        <f aca="false">N('KNOWIFY PHASES'!L146)</f>
        <v>0</v>
      </c>
      <c r="AF146" s="7" t="n">
        <f aca="false">N('KNOWIFY PHASES'!K146)</f>
        <v>0</v>
      </c>
      <c r="AG146" s="7" t="n">
        <f aca="false">N('KNOWIFY PHASES'!I146)</f>
        <v>0</v>
      </c>
      <c r="AH146" s="7" t="n">
        <f aca="false">N('KNOWIFY PHASES'!H146)</f>
        <v>0</v>
      </c>
      <c r="AI146" s="7" t="n">
        <f aca="false">N('KNOWIFY PHASES'!O146)</f>
        <v>0</v>
      </c>
      <c r="AJ146" s="7" t="n">
        <f aca="false">N('KNOWIFY PHASES'!N146)</f>
        <v>0</v>
      </c>
      <c r="AK146" s="7" t="n">
        <f aca="false">N('KNOWIFY PHASES'!R146)</f>
        <v>0</v>
      </c>
      <c r="AL146" s="7" t="n">
        <f aca="false">N('KNOWIFY PHASES'!Q146)</f>
        <v>0</v>
      </c>
      <c r="AM146" s="7" t="n">
        <f aca="false">N('KNOWIFY PHASES'!F146)</f>
        <v>0</v>
      </c>
      <c r="AN146" s="7" t="n">
        <f aca="false">N('KNOWIFY PHASES'!E146)</f>
        <v>0</v>
      </c>
      <c r="AO146" s="7" t="n">
        <f aca="false">MAX(AE146,AF146)</f>
        <v>0</v>
      </c>
      <c r="AP146" s="7" t="n">
        <f aca="false">MAX(AG146,AH146)</f>
        <v>0</v>
      </c>
      <c r="AQ146" s="7" t="n">
        <f aca="false">MAX(AI146,AJ146)</f>
        <v>0</v>
      </c>
      <c r="AR146" s="7" t="n">
        <f aca="false">MAX(AK146,AL146)</f>
        <v>0</v>
      </c>
      <c r="AT146" s="7" t="str">
        <f aca="false">IF('KNOWIFY TIME'!B146="","",'KNOWIFY TIME'!B146)</f>
        <v/>
      </c>
      <c r="AU146" s="7" t="n">
        <f aca="false">IF(AT146="",0,IF(ISNUMBER('KNOWIFY TIME'!D146),'KNOWIFY TIME'!D146*24,IFERROR(VALUE(LEFT('KNOWIFY TIME'!D146,FIND(":",'KNOWIFY TIME'!D146)-1))+VALUE(MID('KNOWIFY TIME'!D146,FIND(":",'KNOWIFY TIME'!D146)+1,2))/60,0)))</f>
        <v>0</v>
      </c>
      <c r="AV146" s="7" t="n">
        <f aca="false">N('KNOWIFY TIME'!E146)</f>
        <v>0</v>
      </c>
      <c r="AW146" s="7" t="str">
        <f aca="false">IF(AT146="","",IFERROR(INDEX($BD$5:$BD$60,MATCH(AT146,$BC$5:$BC$60,0)),"Unmapped"))</f>
        <v/>
      </c>
    </row>
    <row r="147" customFormat="false" ht="15" hidden="false" customHeight="false" outlineLevel="0" collapsed="false">
      <c r="AA147" s="7" t="str">
        <f aca="false">IF('KNOWIFY PHASES'!A147="","",'KNOWIFY PHASES'!A147)</f>
        <v/>
      </c>
      <c r="AB147" s="7" t="str">
        <f aca="false">IF(AA147="","",IF(LEFT(AA147,4)="P - ","P",IF(LEFT(AA147,4)="H - ","H",IF(LEFT(AA147,5)="AC - ","AC",IF(OR(LEFT(AA147,4)="V - ",LEFT(AA147,7)="HVAC - "),"V","Other")))))</f>
        <v/>
      </c>
      <c r="AC147" s="7" t="str">
        <f aca="false">IF(AA147="","",IFERROR(LOOKUP(2,1/(($AZ$5:$AZ$60&lt;&gt;"")*ISNUMBER(SEARCH($AZ$5:$AZ$60,AA147))),$BA$5:$BA$60),IF(AB147="Other","Excluded","Unmapped")))</f>
        <v/>
      </c>
      <c r="AD147" s="7" t="str">
        <f aca="false">IF(AA147="","",IF(AND(AB147&lt;&gt;"Other",OR(AND('KNOWIFY PHASES'!B147="Closed",N('KNOWIFY PHASES'!D147)&gt;=0.5),N('KNOWIFY PHASES'!D147)&gt;=1)),1,0))</f>
        <v/>
      </c>
      <c r="AE147" s="7" t="n">
        <f aca="false">N('KNOWIFY PHASES'!L147)</f>
        <v>0</v>
      </c>
      <c r="AF147" s="7" t="n">
        <f aca="false">N('KNOWIFY PHASES'!K147)</f>
        <v>0</v>
      </c>
      <c r="AG147" s="7" t="n">
        <f aca="false">N('KNOWIFY PHASES'!I147)</f>
        <v>0</v>
      </c>
      <c r="AH147" s="7" t="n">
        <f aca="false">N('KNOWIFY PHASES'!H147)</f>
        <v>0</v>
      </c>
      <c r="AI147" s="7" t="n">
        <f aca="false">N('KNOWIFY PHASES'!O147)</f>
        <v>0</v>
      </c>
      <c r="AJ147" s="7" t="n">
        <f aca="false">N('KNOWIFY PHASES'!N147)</f>
        <v>0</v>
      </c>
      <c r="AK147" s="7" t="n">
        <f aca="false">N('KNOWIFY PHASES'!R147)</f>
        <v>0</v>
      </c>
      <c r="AL147" s="7" t="n">
        <f aca="false">N('KNOWIFY PHASES'!Q147)</f>
        <v>0</v>
      </c>
      <c r="AM147" s="7" t="n">
        <f aca="false">N('KNOWIFY PHASES'!F147)</f>
        <v>0</v>
      </c>
      <c r="AN147" s="7" t="n">
        <f aca="false">N('KNOWIFY PHASES'!E147)</f>
        <v>0</v>
      </c>
      <c r="AO147" s="7" t="n">
        <f aca="false">MAX(AE147,AF147)</f>
        <v>0</v>
      </c>
      <c r="AP147" s="7" t="n">
        <f aca="false">MAX(AG147,AH147)</f>
        <v>0</v>
      </c>
      <c r="AQ147" s="7" t="n">
        <f aca="false">MAX(AI147,AJ147)</f>
        <v>0</v>
      </c>
      <c r="AR147" s="7" t="n">
        <f aca="false">MAX(AK147,AL147)</f>
        <v>0</v>
      </c>
      <c r="AT147" s="7" t="str">
        <f aca="false">IF('KNOWIFY TIME'!B147="","",'KNOWIFY TIME'!B147)</f>
        <v/>
      </c>
      <c r="AU147" s="7" t="n">
        <f aca="false">IF(AT147="",0,IF(ISNUMBER('KNOWIFY TIME'!D147),'KNOWIFY TIME'!D147*24,IFERROR(VALUE(LEFT('KNOWIFY TIME'!D147,FIND(":",'KNOWIFY TIME'!D147)-1))+VALUE(MID('KNOWIFY TIME'!D147,FIND(":",'KNOWIFY TIME'!D147)+1,2))/60,0)))</f>
        <v>0</v>
      </c>
      <c r="AV147" s="7" t="n">
        <f aca="false">N('KNOWIFY TIME'!E147)</f>
        <v>0</v>
      </c>
      <c r="AW147" s="7" t="str">
        <f aca="false">IF(AT147="","",IFERROR(INDEX($BD$5:$BD$60,MATCH(AT147,$BC$5:$BC$60,0)),"Unmapped"))</f>
        <v/>
      </c>
    </row>
    <row r="148" customFormat="false" ht="15" hidden="false" customHeight="false" outlineLevel="0" collapsed="false">
      <c r="AA148" s="7" t="str">
        <f aca="false">IF('KNOWIFY PHASES'!A148="","",'KNOWIFY PHASES'!A148)</f>
        <v/>
      </c>
      <c r="AB148" s="7" t="str">
        <f aca="false">IF(AA148="","",IF(LEFT(AA148,4)="P - ","P",IF(LEFT(AA148,4)="H - ","H",IF(LEFT(AA148,5)="AC - ","AC",IF(OR(LEFT(AA148,4)="V - ",LEFT(AA148,7)="HVAC - "),"V","Other")))))</f>
        <v/>
      </c>
      <c r="AC148" s="7" t="str">
        <f aca="false">IF(AA148="","",IFERROR(LOOKUP(2,1/(($AZ$5:$AZ$60&lt;&gt;"")*ISNUMBER(SEARCH($AZ$5:$AZ$60,AA148))),$BA$5:$BA$60),IF(AB148="Other","Excluded","Unmapped")))</f>
        <v/>
      </c>
      <c r="AD148" s="7" t="str">
        <f aca="false">IF(AA148="","",IF(AND(AB148&lt;&gt;"Other",OR(AND('KNOWIFY PHASES'!B148="Closed",N('KNOWIFY PHASES'!D148)&gt;=0.5),N('KNOWIFY PHASES'!D148)&gt;=1)),1,0))</f>
        <v/>
      </c>
      <c r="AE148" s="7" t="n">
        <f aca="false">N('KNOWIFY PHASES'!L148)</f>
        <v>0</v>
      </c>
      <c r="AF148" s="7" t="n">
        <f aca="false">N('KNOWIFY PHASES'!K148)</f>
        <v>0</v>
      </c>
      <c r="AG148" s="7" t="n">
        <f aca="false">N('KNOWIFY PHASES'!I148)</f>
        <v>0</v>
      </c>
      <c r="AH148" s="7" t="n">
        <f aca="false">N('KNOWIFY PHASES'!H148)</f>
        <v>0</v>
      </c>
      <c r="AI148" s="7" t="n">
        <f aca="false">N('KNOWIFY PHASES'!O148)</f>
        <v>0</v>
      </c>
      <c r="AJ148" s="7" t="n">
        <f aca="false">N('KNOWIFY PHASES'!N148)</f>
        <v>0</v>
      </c>
      <c r="AK148" s="7" t="n">
        <f aca="false">N('KNOWIFY PHASES'!R148)</f>
        <v>0</v>
      </c>
      <c r="AL148" s="7" t="n">
        <f aca="false">N('KNOWIFY PHASES'!Q148)</f>
        <v>0</v>
      </c>
      <c r="AM148" s="7" t="n">
        <f aca="false">N('KNOWIFY PHASES'!F148)</f>
        <v>0</v>
      </c>
      <c r="AN148" s="7" t="n">
        <f aca="false">N('KNOWIFY PHASES'!E148)</f>
        <v>0</v>
      </c>
      <c r="AO148" s="7" t="n">
        <f aca="false">MAX(AE148,AF148)</f>
        <v>0</v>
      </c>
      <c r="AP148" s="7" t="n">
        <f aca="false">MAX(AG148,AH148)</f>
        <v>0</v>
      </c>
      <c r="AQ148" s="7" t="n">
        <f aca="false">MAX(AI148,AJ148)</f>
        <v>0</v>
      </c>
      <c r="AR148" s="7" t="n">
        <f aca="false">MAX(AK148,AL148)</f>
        <v>0</v>
      </c>
      <c r="AT148" s="7" t="str">
        <f aca="false">IF('KNOWIFY TIME'!B148="","",'KNOWIFY TIME'!B148)</f>
        <v/>
      </c>
      <c r="AU148" s="7" t="n">
        <f aca="false">IF(AT148="",0,IF(ISNUMBER('KNOWIFY TIME'!D148),'KNOWIFY TIME'!D148*24,IFERROR(VALUE(LEFT('KNOWIFY TIME'!D148,FIND(":",'KNOWIFY TIME'!D148)-1))+VALUE(MID('KNOWIFY TIME'!D148,FIND(":",'KNOWIFY TIME'!D148)+1,2))/60,0)))</f>
        <v>0</v>
      </c>
      <c r="AV148" s="7" t="n">
        <f aca="false">N('KNOWIFY TIME'!E148)</f>
        <v>0</v>
      </c>
      <c r="AW148" s="7" t="str">
        <f aca="false">IF(AT148="","",IFERROR(INDEX($BD$5:$BD$60,MATCH(AT148,$BC$5:$BC$60,0)),"Unmapped"))</f>
        <v/>
      </c>
    </row>
    <row r="149" customFormat="false" ht="15" hidden="false" customHeight="false" outlineLevel="0" collapsed="false">
      <c r="AA149" s="7" t="str">
        <f aca="false">IF('KNOWIFY PHASES'!A149="","",'KNOWIFY PHASES'!A149)</f>
        <v/>
      </c>
      <c r="AB149" s="7" t="str">
        <f aca="false">IF(AA149="","",IF(LEFT(AA149,4)="P - ","P",IF(LEFT(AA149,4)="H - ","H",IF(LEFT(AA149,5)="AC - ","AC",IF(OR(LEFT(AA149,4)="V - ",LEFT(AA149,7)="HVAC - "),"V","Other")))))</f>
        <v/>
      </c>
      <c r="AC149" s="7" t="str">
        <f aca="false">IF(AA149="","",IFERROR(LOOKUP(2,1/(($AZ$5:$AZ$60&lt;&gt;"")*ISNUMBER(SEARCH($AZ$5:$AZ$60,AA149))),$BA$5:$BA$60),IF(AB149="Other","Excluded","Unmapped")))</f>
        <v/>
      </c>
      <c r="AD149" s="7" t="str">
        <f aca="false">IF(AA149="","",IF(AND(AB149&lt;&gt;"Other",OR(AND('KNOWIFY PHASES'!B149="Closed",N('KNOWIFY PHASES'!D149)&gt;=0.5),N('KNOWIFY PHASES'!D149)&gt;=1)),1,0))</f>
        <v/>
      </c>
      <c r="AE149" s="7" t="n">
        <f aca="false">N('KNOWIFY PHASES'!L149)</f>
        <v>0</v>
      </c>
      <c r="AF149" s="7" t="n">
        <f aca="false">N('KNOWIFY PHASES'!K149)</f>
        <v>0</v>
      </c>
      <c r="AG149" s="7" t="n">
        <f aca="false">N('KNOWIFY PHASES'!I149)</f>
        <v>0</v>
      </c>
      <c r="AH149" s="7" t="n">
        <f aca="false">N('KNOWIFY PHASES'!H149)</f>
        <v>0</v>
      </c>
      <c r="AI149" s="7" t="n">
        <f aca="false">N('KNOWIFY PHASES'!O149)</f>
        <v>0</v>
      </c>
      <c r="AJ149" s="7" t="n">
        <f aca="false">N('KNOWIFY PHASES'!N149)</f>
        <v>0</v>
      </c>
      <c r="AK149" s="7" t="n">
        <f aca="false">N('KNOWIFY PHASES'!R149)</f>
        <v>0</v>
      </c>
      <c r="AL149" s="7" t="n">
        <f aca="false">N('KNOWIFY PHASES'!Q149)</f>
        <v>0</v>
      </c>
      <c r="AM149" s="7" t="n">
        <f aca="false">N('KNOWIFY PHASES'!F149)</f>
        <v>0</v>
      </c>
      <c r="AN149" s="7" t="n">
        <f aca="false">N('KNOWIFY PHASES'!E149)</f>
        <v>0</v>
      </c>
      <c r="AO149" s="7" t="n">
        <f aca="false">MAX(AE149,AF149)</f>
        <v>0</v>
      </c>
      <c r="AP149" s="7" t="n">
        <f aca="false">MAX(AG149,AH149)</f>
        <v>0</v>
      </c>
      <c r="AQ149" s="7" t="n">
        <f aca="false">MAX(AI149,AJ149)</f>
        <v>0</v>
      </c>
      <c r="AR149" s="7" t="n">
        <f aca="false">MAX(AK149,AL149)</f>
        <v>0</v>
      </c>
      <c r="AT149" s="7" t="str">
        <f aca="false">IF('KNOWIFY TIME'!B149="","",'KNOWIFY TIME'!B149)</f>
        <v/>
      </c>
      <c r="AU149" s="7" t="n">
        <f aca="false">IF(AT149="",0,IF(ISNUMBER('KNOWIFY TIME'!D149),'KNOWIFY TIME'!D149*24,IFERROR(VALUE(LEFT('KNOWIFY TIME'!D149,FIND(":",'KNOWIFY TIME'!D149)-1))+VALUE(MID('KNOWIFY TIME'!D149,FIND(":",'KNOWIFY TIME'!D149)+1,2))/60,0)))</f>
        <v>0</v>
      </c>
      <c r="AV149" s="7" t="n">
        <f aca="false">N('KNOWIFY TIME'!E149)</f>
        <v>0</v>
      </c>
      <c r="AW149" s="7" t="str">
        <f aca="false">IF(AT149="","",IFERROR(INDEX($BD$5:$BD$60,MATCH(AT149,$BC$5:$BC$60,0)),"Unmapped"))</f>
        <v/>
      </c>
    </row>
    <row r="150" customFormat="false" ht="15" hidden="false" customHeight="false" outlineLevel="0" collapsed="false">
      <c r="AA150" s="7" t="str">
        <f aca="false">IF('KNOWIFY PHASES'!A150="","",'KNOWIFY PHASES'!A150)</f>
        <v/>
      </c>
      <c r="AB150" s="7" t="str">
        <f aca="false">IF(AA150="","",IF(LEFT(AA150,4)="P - ","P",IF(LEFT(AA150,4)="H - ","H",IF(LEFT(AA150,5)="AC - ","AC",IF(OR(LEFT(AA150,4)="V - ",LEFT(AA150,7)="HVAC - "),"V","Other")))))</f>
        <v/>
      </c>
      <c r="AC150" s="7" t="str">
        <f aca="false">IF(AA150="","",IFERROR(LOOKUP(2,1/(($AZ$5:$AZ$60&lt;&gt;"")*ISNUMBER(SEARCH($AZ$5:$AZ$60,AA150))),$BA$5:$BA$60),IF(AB150="Other","Excluded","Unmapped")))</f>
        <v/>
      </c>
      <c r="AD150" s="7" t="str">
        <f aca="false">IF(AA150="","",IF(AND(AB150&lt;&gt;"Other",OR(AND('KNOWIFY PHASES'!B150="Closed",N('KNOWIFY PHASES'!D150)&gt;=0.5),N('KNOWIFY PHASES'!D150)&gt;=1)),1,0))</f>
        <v/>
      </c>
      <c r="AE150" s="7" t="n">
        <f aca="false">N('KNOWIFY PHASES'!L150)</f>
        <v>0</v>
      </c>
      <c r="AF150" s="7" t="n">
        <f aca="false">N('KNOWIFY PHASES'!K150)</f>
        <v>0</v>
      </c>
      <c r="AG150" s="7" t="n">
        <f aca="false">N('KNOWIFY PHASES'!I150)</f>
        <v>0</v>
      </c>
      <c r="AH150" s="7" t="n">
        <f aca="false">N('KNOWIFY PHASES'!H150)</f>
        <v>0</v>
      </c>
      <c r="AI150" s="7" t="n">
        <f aca="false">N('KNOWIFY PHASES'!O150)</f>
        <v>0</v>
      </c>
      <c r="AJ150" s="7" t="n">
        <f aca="false">N('KNOWIFY PHASES'!N150)</f>
        <v>0</v>
      </c>
      <c r="AK150" s="7" t="n">
        <f aca="false">N('KNOWIFY PHASES'!R150)</f>
        <v>0</v>
      </c>
      <c r="AL150" s="7" t="n">
        <f aca="false">N('KNOWIFY PHASES'!Q150)</f>
        <v>0</v>
      </c>
      <c r="AM150" s="7" t="n">
        <f aca="false">N('KNOWIFY PHASES'!F150)</f>
        <v>0</v>
      </c>
      <c r="AN150" s="7" t="n">
        <f aca="false">N('KNOWIFY PHASES'!E150)</f>
        <v>0</v>
      </c>
      <c r="AO150" s="7" t="n">
        <f aca="false">MAX(AE150,AF150)</f>
        <v>0</v>
      </c>
      <c r="AP150" s="7" t="n">
        <f aca="false">MAX(AG150,AH150)</f>
        <v>0</v>
      </c>
      <c r="AQ150" s="7" t="n">
        <f aca="false">MAX(AI150,AJ150)</f>
        <v>0</v>
      </c>
      <c r="AR150" s="7" t="n">
        <f aca="false">MAX(AK150,AL150)</f>
        <v>0</v>
      </c>
      <c r="AT150" s="7" t="str">
        <f aca="false">IF('KNOWIFY TIME'!B150="","",'KNOWIFY TIME'!B150)</f>
        <v/>
      </c>
      <c r="AU150" s="7" t="n">
        <f aca="false">IF(AT150="",0,IF(ISNUMBER('KNOWIFY TIME'!D150),'KNOWIFY TIME'!D150*24,IFERROR(VALUE(LEFT('KNOWIFY TIME'!D150,FIND(":",'KNOWIFY TIME'!D150)-1))+VALUE(MID('KNOWIFY TIME'!D150,FIND(":",'KNOWIFY TIME'!D150)+1,2))/60,0)))</f>
        <v>0</v>
      </c>
      <c r="AV150" s="7" t="n">
        <f aca="false">N('KNOWIFY TIME'!E150)</f>
        <v>0</v>
      </c>
      <c r="AW150" s="7" t="str">
        <f aca="false">IF(AT150="","",IFERROR(INDEX($BD$5:$BD$60,MATCH(AT150,$BC$5:$BC$60,0)),"Unmapped"))</f>
        <v/>
      </c>
    </row>
    <row r="151" customFormat="false" ht="15" hidden="false" customHeight="false" outlineLevel="0" collapsed="false">
      <c r="AA151" s="7" t="str">
        <f aca="false">IF('KNOWIFY PHASES'!A151="","",'KNOWIFY PHASES'!A151)</f>
        <v/>
      </c>
      <c r="AB151" s="7" t="str">
        <f aca="false">IF(AA151="","",IF(LEFT(AA151,4)="P - ","P",IF(LEFT(AA151,4)="H - ","H",IF(LEFT(AA151,5)="AC - ","AC",IF(OR(LEFT(AA151,4)="V - ",LEFT(AA151,7)="HVAC - "),"V","Other")))))</f>
        <v/>
      </c>
      <c r="AC151" s="7" t="str">
        <f aca="false">IF(AA151="","",IFERROR(LOOKUP(2,1/(($AZ$5:$AZ$60&lt;&gt;"")*ISNUMBER(SEARCH($AZ$5:$AZ$60,AA151))),$BA$5:$BA$60),IF(AB151="Other","Excluded","Unmapped")))</f>
        <v/>
      </c>
      <c r="AD151" s="7" t="str">
        <f aca="false">IF(AA151="","",IF(AND(AB151&lt;&gt;"Other",OR(AND('KNOWIFY PHASES'!B151="Closed",N('KNOWIFY PHASES'!D151)&gt;=0.5),N('KNOWIFY PHASES'!D151)&gt;=1)),1,0))</f>
        <v/>
      </c>
      <c r="AE151" s="7" t="n">
        <f aca="false">N('KNOWIFY PHASES'!L151)</f>
        <v>0</v>
      </c>
      <c r="AF151" s="7" t="n">
        <f aca="false">N('KNOWIFY PHASES'!K151)</f>
        <v>0</v>
      </c>
      <c r="AG151" s="7" t="n">
        <f aca="false">N('KNOWIFY PHASES'!I151)</f>
        <v>0</v>
      </c>
      <c r="AH151" s="7" t="n">
        <f aca="false">N('KNOWIFY PHASES'!H151)</f>
        <v>0</v>
      </c>
      <c r="AI151" s="7" t="n">
        <f aca="false">N('KNOWIFY PHASES'!O151)</f>
        <v>0</v>
      </c>
      <c r="AJ151" s="7" t="n">
        <f aca="false">N('KNOWIFY PHASES'!N151)</f>
        <v>0</v>
      </c>
      <c r="AK151" s="7" t="n">
        <f aca="false">N('KNOWIFY PHASES'!R151)</f>
        <v>0</v>
      </c>
      <c r="AL151" s="7" t="n">
        <f aca="false">N('KNOWIFY PHASES'!Q151)</f>
        <v>0</v>
      </c>
      <c r="AM151" s="7" t="n">
        <f aca="false">N('KNOWIFY PHASES'!F151)</f>
        <v>0</v>
      </c>
      <c r="AN151" s="7" t="n">
        <f aca="false">N('KNOWIFY PHASES'!E151)</f>
        <v>0</v>
      </c>
      <c r="AO151" s="7" t="n">
        <f aca="false">MAX(AE151,AF151)</f>
        <v>0</v>
      </c>
      <c r="AP151" s="7" t="n">
        <f aca="false">MAX(AG151,AH151)</f>
        <v>0</v>
      </c>
      <c r="AQ151" s="7" t="n">
        <f aca="false">MAX(AI151,AJ151)</f>
        <v>0</v>
      </c>
      <c r="AR151" s="7" t="n">
        <f aca="false">MAX(AK151,AL151)</f>
        <v>0</v>
      </c>
      <c r="AT151" s="7" t="str">
        <f aca="false">IF('KNOWIFY TIME'!B151="","",'KNOWIFY TIME'!B151)</f>
        <v/>
      </c>
      <c r="AU151" s="7" t="n">
        <f aca="false">IF(AT151="",0,IF(ISNUMBER('KNOWIFY TIME'!D151),'KNOWIFY TIME'!D151*24,IFERROR(VALUE(LEFT('KNOWIFY TIME'!D151,FIND(":",'KNOWIFY TIME'!D151)-1))+VALUE(MID('KNOWIFY TIME'!D151,FIND(":",'KNOWIFY TIME'!D151)+1,2))/60,0)))</f>
        <v>0</v>
      </c>
      <c r="AV151" s="7" t="n">
        <f aca="false">N('KNOWIFY TIME'!E151)</f>
        <v>0</v>
      </c>
      <c r="AW151" s="7" t="str">
        <f aca="false">IF(AT151="","",IFERROR(INDEX($BD$5:$BD$60,MATCH(AT151,$BC$5:$BC$60,0)),"Unmapped"))</f>
        <v/>
      </c>
    </row>
    <row r="152" customFormat="false" ht="15" hidden="false" customHeight="false" outlineLevel="0" collapsed="false">
      <c r="AA152" s="7" t="str">
        <f aca="false">IF('KNOWIFY PHASES'!A152="","",'KNOWIFY PHASES'!A152)</f>
        <v/>
      </c>
      <c r="AB152" s="7" t="str">
        <f aca="false">IF(AA152="","",IF(LEFT(AA152,4)="P - ","P",IF(LEFT(AA152,4)="H - ","H",IF(LEFT(AA152,5)="AC - ","AC",IF(OR(LEFT(AA152,4)="V - ",LEFT(AA152,7)="HVAC - "),"V","Other")))))</f>
        <v/>
      </c>
      <c r="AC152" s="7" t="str">
        <f aca="false">IF(AA152="","",IFERROR(LOOKUP(2,1/(($AZ$5:$AZ$60&lt;&gt;"")*ISNUMBER(SEARCH($AZ$5:$AZ$60,AA152))),$BA$5:$BA$60),IF(AB152="Other","Excluded","Unmapped")))</f>
        <v/>
      </c>
      <c r="AD152" s="7" t="str">
        <f aca="false">IF(AA152="","",IF(AND(AB152&lt;&gt;"Other",OR(AND('KNOWIFY PHASES'!B152="Closed",N('KNOWIFY PHASES'!D152)&gt;=0.5),N('KNOWIFY PHASES'!D152)&gt;=1)),1,0))</f>
        <v/>
      </c>
      <c r="AE152" s="7" t="n">
        <f aca="false">N('KNOWIFY PHASES'!L152)</f>
        <v>0</v>
      </c>
      <c r="AF152" s="7" t="n">
        <f aca="false">N('KNOWIFY PHASES'!K152)</f>
        <v>0</v>
      </c>
      <c r="AG152" s="7" t="n">
        <f aca="false">N('KNOWIFY PHASES'!I152)</f>
        <v>0</v>
      </c>
      <c r="AH152" s="7" t="n">
        <f aca="false">N('KNOWIFY PHASES'!H152)</f>
        <v>0</v>
      </c>
      <c r="AI152" s="7" t="n">
        <f aca="false">N('KNOWIFY PHASES'!O152)</f>
        <v>0</v>
      </c>
      <c r="AJ152" s="7" t="n">
        <f aca="false">N('KNOWIFY PHASES'!N152)</f>
        <v>0</v>
      </c>
      <c r="AK152" s="7" t="n">
        <f aca="false">N('KNOWIFY PHASES'!R152)</f>
        <v>0</v>
      </c>
      <c r="AL152" s="7" t="n">
        <f aca="false">N('KNOWIFY PHASES'!Q152)</f>
        <v>0</v>
      </c>
      <c r="AM152" s="7" t="n">
        <f aca="false">N('KNOWIFY PHASES'!F152)</f>
        <v>0</v>
      </c>
      <c r="AN152" s="7" t="n">
        <f aca="false">N('KNOWIFY PHASES'!E152)</f>
        <v>0</v>
      </c>
      <c r="AO152" s="7" t="n">
        <f aca="false">MAX(AE152,AF152)</f>
        <v>0</v>
      </c>
      <c r="AP152" s="7" t="n">
        <f aca="false">MAX(AG152,AH152)</f>
        <v>0</v>
      </c>
      <c r="AQ152" s="7" t="n">
        <f aca="false">MAX(AI152,AJ152)</f>
        <v>0</v>
      </c>
      <c r="AR152" s="7" t="n">
        <f aca="false">MAX(AK152,AL152)</f>
        <v>0</v>
      </c>
      <c r="AT152" s="7" t="str">
        <f aca="false">IF('KNOWIFY TIME'!B152="","",'KNOWIFY TIME'!B152)</f>
        <v/>
      </c>
      <c r="AU152" s="7" t="n">
        <f aca="false">IF(AT152="",0,IF(ISNUMBER('KNOWIFY TIME'!D152),'KNOWIFY TIME'!D152*24,IFERROR(VALUE(LEFT('KNOWIFY TIME'!D152,FIND(":",'KNOWIFY TIME'!D152)-1))+VALUE(MID('KNOWIFY TIME'!D152,FIND(":",'KNOWIFY TIME'!D152)+1,2))/60,0)))</f>
        <v>0</v>
      </c>
      <c r="AV152" s="7" t="n">
        <f aca="false">N('KNOWIFY TIME'!E152)</f>
        <v>0</v>
      </c>
      <c r="AW152" s="7" t="str">
        <f aca="false">IF(AT152="","",IFERROR(INDEX($BD$5:$BD$60,MATCH(AT152,$BC$5:$BC$60,0)),"Unmapped"))</f>
        <v/>
      </c>
    </row>
    <row r="153" customFormat="false" ht="15" hidden="false" customHeight="false" outlineLevel="0" collapsed="false">
      <c r="AA153" s="7" t="str">
        <f aca="false">IF('KNOWIFY PHASES'!A153="","",'KNOWIFY PHASES'!A153)</f>
        <v/>
      </c>
      <c r="AB153" s="7" t="str">
        <f aca="false">IF(AA153="","",IF(LEFT(AA153,4)="P - ","P",IF(LEFT(AA153,4)="H - ","H",IF(LEFT(AA153,5)="AC - ","AC",IF(OR(LEFT(AA153,4)="V - ",LEFT(AA153,7)="HVAC - "),"V","Other")))))</f>
        <v/>
      </c>
      <c r="AC153" s="7" t="str">
        <f aca="false">IF(AA153="","",IFERROR(LOOKUP(2,1/(($AZ$5:$AZ$60&lt;&gt;"")*ISNUMBER(SEARCH($AZ$5:$AZ$60,AA153))),$BA$5:$BA$60),IF(AB153="Other","Excluded","Unmapped")))</f>
        <v/>
      </c>
      <c r="AD153" s="7" t="str">
        <f aca="false">IF(AA153="","",IF(AND(AB153&lt;&gt;"Other",OR(AND('KNOWIFY PHASES'!B153="Closed",N('KNOWIFY PHASES'!D153)&gt;=0.5),N('KNOWIFY PHASES'!D153)&gt;=1)),1,0))</f>
        <v/>
      </c>
      <c r="AE153" s="7" t="n">
        <f aca="false">N('KNOWIFY PHASES'!L153)</f>
        <v>0</v>
      </c>
      <c r="AF153" s="7" t="n">
        <f aca="false">N('KNOWIFY PHASES'!K153)</f>
        <v>0</v>
      </c>
      <c r="AG153" s="7" t="n">
        <f aca="false">N('KNOWIFY PHASES'!I153)</f>
        <v>0</v>
      </c>
      <c r="AH153" s="7" t="n">
        <f aca="false">N('KNOWIFY PHASES'!H153)</f>
        <v>0</v>
      </c>
      <c r="AI153" s="7" t="n">
        <f aca="false">N('KNOWIFY PHASES'!O153)</f>
        <v>0</v>
      </c>
      <c r="AJ153" s="7" t="n">
        <f aca="false">N('KNOWIFY PHASES'!N153)</f>
        <v>0</v>
      </c>
      <c r="AK153" s="7" t="n">
        <f aca="false">N('KNOWIFY PHASES'!R153)</f>
        <v>0</v>
      </c>
      <c r="AL153" s="7" t="n">
        <f aca="false">N('KNOWIFY PHASES'!Q153)</f>
        <v>0</v>
      </c>
      <c r="AM153" s="7" t="n">
        <f aca="false">N('KNOWIFY PHASES'!F153)</f>
        <v>0</v>
      </c>
      <c r="AN153" s="7" t="n">
        <f aca="false">N('KNOWIFY PHASES'!E153)</f>
        <v>0</v>
      </c>
      <c r="AO153" s="7" t="n">
        <f aca="false">MAX(AE153,AF153)</f>
        <v>0</v>
      </c>
      <c r="AP153" s="7" t="n">
        <f aca="false">MAX(AG153,AH153)</f>
        <v>0</v>
      </c>
      <c r="AQ153" s="7" t="n">
        <f aca="false">MAX(AI153,AJ153)</f>
        <v>0</v>
      </c>
      <c r="AR153" s="7" t="n">
        <f aca="false">MAX(AK153,AL153)</f>
        <v>0</v>
      </c>
      <c r="AT153" s="7" t="str">
        <f aca="false">IF('KNOWIFY TIME'!B153="","",'KNOWIFY TIME'!B153)</f>
        <v/>
      </c>
      <c r="AU153" s="7" t="n">
        <f aca="false">IF(AT153="",0,IF(ISNUMBER('KNOWIFY TIME'!D153),'KNOWIFY TIME'!D153*24,IFERROR(VALUE(LEFT('KNOWIFY TIME'!D153,FIND(":",'KNOWIFY TIME'!D153)-1))+VALUE(MID('KNOWIFY TIME'!D153,FIND(":",'KNOWIFY TIME'!D153)+1,2))/60,0)))</f>
        <v>0</v>
      </c>
      <c r="AV153" s="7" t="n">
        <f aca="false">N('KNOWIFY TIME'!E153)</f>
        <v>0</v>
      </c>
      <c r="AW153" s="7" t="str">
        <f aca="false">IF(AT153="","",IFERROR(INDEX($BD$5:$BD$60,MATCH(AT153,$BC$5:$BC$60,0)),"Unmapped"))</f>
        <v/>
      </c>
    </row>
    <row r="154" customFormat="false" ht="15" hidden="false" customHeight="false" outlineLevel="0" collapsed="false">
      <c r="AA154" s="7" t="str">
        <f aca="false">IF('KNOWIFY PHASES'!A154="","",'KNOWIFY PHASES'!A154)</f>
        <v/>
      </c>
      <c r="AB154" s="7" t="str">
        <f aca="false">IF(AA154="","",IF(LEFT(AA154,4)="P - ","P",IF(LEFT(AA154,4)="H - ","H",IF(LEFT(AA154,5)="AC - ","AC",IF(OR(LEFT(AA154,4)="V - ",LEFT(AA154,7)="HVAC - "),"V","Other")))))</f>
        <v/>
      </c>
      <c r="AC154" s="7" t="str">
        <f aca="false">IF(AA154="","",IFERROR(LOOKUP(2,1/(($AZ$5:$AZ$60&lt;&gt;"")*ISNUMBER(SEARCH($AZ$5:$AZ$60,AA154))),$BA$5:$BA$60),IF(AB154="Other","Excluded","Unmapped")))</f>
        <v/>
      </c>
      <c r="AD154" s="7" t="str">
        <f aca="false">IF(AA154="","",IF(AND(AB154&lt;&gt;"Other",OR(AND('KNOWIFY PHASES'!B154="Closed",N('KNOWIFY PHASES'!D154)&gt;=0.5),N('KNOWIFY PHASES'!D154)&gt;=1)),1,0))</f>
        <v/>
      </c>
      <c r="AE154" s="7" t="n">
        <f aca="false">N('KNOWIFY PHASES'!L154)</f>
        <v>0</v>
      </c>
      <c r="AF154" s="7" t="n">
        <f aca="false">N('KNOWIFY PHASES'!K154)</f>
        <v>0</v>
      </c>
      <c r="AG154" s="7" t="n">
        <f aca="false">N('KNOWIFY PHASES'!I154)</f>
        <v>0</v>
      </c>
      <c r="AH154" s="7" t="n">
        <f aca="false">N('KNOWIFY PHASES'!H154)</f>
        <v>0</v>
      </c>
      <c r="AI154" s="7" t="n">
        <f aca="false">N('KNOWIFY PHASES'!O154)</f>
        <v>0</v>
      </c>
      <c r="AJ154" s="7" t="n">
        <f aca="false">N('KNOWIFY PHASES'!N154)</f>
        <v>0</v>
      </c>
      <c r="AK154" s="7" t="n">
        <f aca="false">N('KNOWIFY PHASES'!R154)</f>
        <v>0</v>
      </c>
      <c r="AL154" s="7" t="n">
        <f aca="false">N('KNOWIFY PHASES'!Q154)</f>
        <v>0</v>
      </c>
      <c r="AM154" s="7" t="n">
        <f aca="false">N('KNOWIFY PHASES'!F154)</f>
        <v>0</v>
      </c>
      <c r="AN154" s="7" t="n">
        <f aca="false">N('KNOWIFY PHASES'!E154)</f>
        <v>0</v>
      </c>
      <c r="AO154" s="7" t="n">
        <f aca="false">MAX(AE154,AF154)</f>
        <v>0</v>
      </c>
      <c r="AP154" s="7" t="n">
        <f aca="false">MAX(AG154,AH154)</f>
        <v>0</v>
      </c>
      <c r="AQ154" s="7" t="n">
        <f aca="false">MAX(AI154,AJ154)</f>
        <v>0</v>
      </c>
      <c r="AR154" s="7" t="n">
        <f aca="false">MAX(AK154,AL154)</f>
        <v>0</v>
      </c>
      <c r="AT154" s="7" t="str">
        <f aca="false">IF('KNOWIFY TIME'!B154="","",'KNOWIFY TIME'!B154)</f>
        <v/>
      </c>
      <c r="AU154" s="7" t="n">
        <f aca="false">IF(AT154="",0,IF(ISNUMBER('KNOWIFY TIME'!D154),'KNOWIFY TIME'!D154*24,IFERROR(VALUE(LEFT('KNOWIFY TIME'!D154,FIND(":",'KNOWIFY TIME'!D154)-1))+VALUE(MID('KNOWIFY TIME'!D154,FIND(":",'KNOWIFY TIME'!D154)+1,2))/60,0)))</f>
        <v>0</v>
      </c>
      <c r="AV154" s="7" t="n">
        <f aca="false">N('KNOWIFY TIME'!E154)</f>
        <v>0</v>
      </c>
      <c r="AW154" s="7" t="str">
        <f aca="false">IF(AT154="","",IFERROR(INDEX($BD$5:$BD$60,MATCH(AT154,$BC$5:$BC$60,0)),"Unmapped"))</f>
        <v/>
      </c>
    </row>
    <row r="155" customFormat="false" ht="15" hidden="false" customHeight="false" outlineLevel="0" collapsed="false">
      <c r="AA155" s="7" t="str">
        <f aca="false">IF('KNOWIFY PHASES'!A155="","",'KNOWIFY PHASES'!A155)</f>
        <v/>
      </c>
      <c r="AB155" s="7" t="str">
        <f aca="false">IF(AA155="","",IF(LEFT(AA155,4)="P - ","P",IF(LEFT(AA155,4)="H - ","H",IF(LEFT(AA155,5)="AC - ","AC",IF(OR(LEFT(AA155,4)="V - ",LEFT(AA155,7)="HVAC - "),"V","Other")))))</f>
        <v/>
      </c>
      <c r="AC155" s="7" t="str">
        <f aca="false">IF(AA155="","",IFERROR(LOOKUP(2,1/(($AZ$5:$AZ$60&lt;&gt;"")*ISNUMBER(SEARCH($AZ$5:$AZ$60,AA155))),$BA$5:$BA$60),IF(AB155="Other","Excluded","Unmapped")))</f>
        <v/>
      </c>
      <c r="AD155" s="7" t="str">
        <f aca="false">IF(AA155="","",IF(AND(AB155&lt;&gt;"Other",OR(AND('KNOWIFY PHASES'!B155="Closed",N('KNOWIFY PHASES'!D155)&gt;=0.5),N('KNOWIFY PHASES'!D155)&gt;=1)),1,0))</f>
        <v/>
      </c>
      <c r="AE155" s="7" t="n">
        <f aca="false">N('KNOWIFY PHASES'!L155)</f>
        <v>0</v>
      </c>
      <c r="AF155" s="7" t="n">
        <f aca="false">N('KNOWIFY PHASES'!K155)</f>
        <v>0</v>
      </c>
      <c r="AG155" s="7" t="n">
        <f aca="false">N('KNOWIFY PHASES'!I155)</f>
        <v>0</v>
      </c>
      <c r="AH155" s="7" t="n">
        <f aca="false">N('KNOWIFY PHASES'!H155)</f>
        <v>0</v>
      </c>
      <c r="AI155" s="7" t="n">
        <f aca="false">N('KNOWIFY PHASES'!O155)</f>
        <v>0</v>
      </c>
      <c r="AJ155" s="7" t="n">
        <f aca="false">N('KNOWIFY PHASES'!N155)</f>
        <v>0</v>
      </c>
      <c r="AK155" s="7" t="n">
        <f aca="false">N('KNOWIFY PHASES'!R155)</f>
        <v>0</v>
      </c>
      <c r="AL155" s="7" t="n">
        <f aca="false">N('KNOWIFY PHASES'!Q155)</f>
        <v>0</v>
      </c>
      <c r="AM155" s="7" t="n">
        <f aca="false">N('KNOWIFY PHASES'!F155)</f>
        <v>0</v>
      </c>
      <c r="AN155" s="7" t="n">
        <f aca="false">N('KNOWIFY PHASES'!E155)</f>
        <v>0</v>
      </c>
      <c r="AO155" s="7" t="n">
        <f aca="false">MAX(AE155,AF155)</f>
        <v>0</v>
      </c>
      <c r="AP155" s="7" t="n">
        <f aca="false">MAX(AG155,AH155)</f>
        <v>0</v>
      </c>
      <c r="AQ155" s="7" t="n">
        <f aca="false">MAX(AI155,AJ155)</f>
        <v>0</v>
      </c>
      <c r="AR155" s="7" t="n">
        <f aca="false">MAX(AK155,AL155)</f>
        <v>0</v>
      </c>
      <c r="AT155" s="7" t="str">
        <f aca="false">IF('KNOWIFY TIME'!B155="","",'KNOWIFY TIME'!B155)</f>
        <v/>
      </c>
      <c r="AU155" s="7" t="n">
        <f aca="false">IF(AT155="",0,IF(ISNUMBER('KNOWIFY TIME'!D155),'KNOWIFY TIME'!D155*24,IFERROR(VALUE(LEFT('KNOWIFY TIME'!D155,FIND(":",'KNOWIFY TIME'!D155)-1))+VALUE(MID('KNOWIFY TIME'!D155,FIND(":",'KNOWIFY TIME'!D155)+1,2))/60,0)))</f>
        <v>0</v>
      </c>
      <c r="AV155" s="7" t="n">
        <f aca="false">N('KNOWIFY TIME'!E155)</f>
        <v>0</v>
      </c>
      <c r="AW155" s="7" t="str">
        <f aca="false">IF(AT155="","",IFERROR(INDEX($BD$5:$BD$60,MATCH(AT155,$BC$5:$BC$60,0)),"Unmapped"))</f>
        <v/>
      </c>
    </row>
    <row r="156" customFormat="false" ht="15" hidden="false" customHeight="false" outlineLevel="0" collapsed="false">
      <c r="AA156" s="7" t="str">
        <f aca="false">IF('KNOWIFY PHASES'!A156="","",'KNOWIFY PHASES'!A156)</f>
        <v/>
      </c>
      <c r="AB156" s="7" t="str">
        <f aca="false">IF(AA156="","",IF(LEFT(AA156,4)="P - ","P",IF(LEFT(AA156,4)="H - ","H",IF(LEFT(AA156,5)="AC - ","AC",IF(OR(LEFT(AA156,4)="V - ",LEFT(AA156,7)="HVAC - "),"V","Other")))))</f>
        <v/>
      </c>
      <c r="AC156" s="7" t="str">
        <f aca="false">IF(AA156="","",IFERROR(LOOKUP(2,1/(($AZ$5:$AZ$60&lt;&gt;"")*ISNUMBER(SEARCH($AZ$5:$AZ$60,AA156))),$BA$5:$BA$60),IF(AB156="Other","Excluded","Unmapped")))</f>
        <v/>
      </c>
      <c r="AD156" s="7" t="str">
        <f aca="false">IF(AA156="","",IF(AND(AB156&lt;&gt;"Other",OR(AND('KNOWIFY PHASES'!B156="Closed",N('KNOWIFY PHASES'!D156)&gt;=0.5),N('KNOWIFY PHASES'!D156)&gt;=1)),1,0))</f>
        <v/>
      </c>
      <c r="AE156" s="7" t="n">
        <f aca="false">N('KNOWIFY PHASES'!L156)</f>
        <v>0</v>
      </c>
      <c r="AF156" s="7" t="n">
        <f aca="false">N('KNOWIFY PHASES'!K156)</f>
        <v>0</v>
      </c>
      <c r="AG156" s="7" t="n">
        <f aca="false">N('KNOWIFY PHASES'!I156)</f>
        <v>0</v>
      </c>
      <c r="AH156" s="7" t="n">
        <f aca="false">N('KNOWIFY PHASES'!H156)</f>
        <v>0</v>
      </c>
      <c r="AI156" s="7" t="n">
        <f aca="false">N('KNOWIFY PHASES'!O156)</f>
        <v>0</v>
      </c>
      <c r="AJ156" s="7" t="n">
        <f aca="false">N('KNOWIFY PHASES'!N156)</f>
        <v>0</v>
      </c>
      <c r="AK156" s="7" t="n">
        <f aca="false">N('KNOWIFY PHASES'!R156)</f>
        <v>0</v>
      </c>
      <c r="AL156" s="7" t="n">
        <f aca="false">N('KNOWIFY PHASES'!Q156)</f>
        <v>0</v>
      </c>
      <c r="AM156" s="7" t="n">
        <f aca="false">N('KNOWIFY PHASES'!F156)</f>
        <v>0</v>
      </c>
      <c r="AN156" s="7" t="n">
        <f aca="false">N('KNOWIFY PHASES'!E156)</f>
        <v>0</v>
      </c>
      <c r="AO156" s="7" t="n">
        <f aca="false">MAX(AE156,AF156)</f>
        <v>0</v>
      </c>
      <c r="AP156" s="7" t="n">
        <f aca="false">MAX(AG156,AH156)</f>
        <v>0</v>
      </c>
      <c r="AQ156" s="7" t="n">
        <f aca="false">MAX(AI156,AJ156)</f>
        <v>0</v>
      </c>
      <c r="AR156" s="7" t="n">
        <f aca="false">MAX(AK156,AL156)</f>
        <v>0</v>
      </c>
      <c r="AT156" s="7" t="str">
        <f aca="false">IF('KNOWIFY TIME'!B156="","",'KNOWIFY TIME'!B156)</f>
        <v/>
      </c>
      <c r="AU156" s="7" t="n">
        <f aca="false">IF(AT156="",0,IF(ISNUMBER('KNOWIFY TIME'!D156),'KNOWIFY TIME'!D156*24,IFERROR(VALUE(LEFT('KNOWIFY TIME'!D156,FIND(":",'KNOWIFY TIME'!D156)-1))+VALUE(MID('KNOWIFY TIME'!D156,FIND(":",'KNOWIFY TIME'!D156)+1,2))/60,0)))</f>
        <v>0</v>
      </c>
      <c r="AV156" s="7" t="n">
        <f aca="false">N('KNOWIFY TIME'!E156)</f>
        <v>0</v>
      </c>
      <c r="AW156" s="7" t="str">
        <f aca="false">IF(AT156="","",IFERROR(INDEX($BD$5:$BD$60,MATCH(AT156,$BC$5:$BC$60,0)),"Unmapped"))</f>
        <v/>
      </c>
    </row>
    <row r="157" customFormat="false" ht="15" hidden="false" customHeight="false" outlineLevel="0" collapsed="false">
      <c r="AA157" s="7" t="str">
        <f aca="false">IF('KNOWIFY PHASES'!A157="","",'KNOWIFY PHASES'!A157)</f>
        <v/>
      </c>
      <c r="AB157" s="7" t="str">
        <f aca="false">IF(AA157="","",IF(LEFT(AA157,4)="P - ","P",IF(LEFT(AA157,4)="H - ","H",IF(LEFT(AA157,5)="AC - ","AC",IF(OR(LEFT(AA157,4)="V - ",LEFT(AA157,7)="HVAC - "),"V","Other")))))</f>
        <v/>
      </c>
      <c r="AC157" s="7" t="str">
        <f aca="false">IF(AA157="","",IFERROR(LOOKUP(2,1/(($AZ$5:$AZ$60&lt;&gt;"")*ISNUMBER(SEARCH($AZ$5:$AZ$60,AA157))),$BA$5:$BA$60),IF(AB157="Other","Excluded","Unmapped")))</f>
        <v/>
      </c>
      <c r="AD157" s="7" t="str">
        <f aca="false">IF(AA157="","",IF(AND(AB157&lt;&gt;"Other",OR(AND('KNOWIFY PHASES'!B157="Closed",N('KNOWIFY PHASES'!D157)&gt;=0.5),N('KNOWIFY PHASES'!D157)&gt;=1)),1,0))</f>
        <v/>
      </c>
      <c r="AE157" s="7" t="n">
        <f aca="false">N('KNOWIFY PHASES'!L157)</f>
        <v>0</v>
      </c>
      <c r="AF157" s="7" t="n">
        <f aca="false">N('KNOWIFY PHASES'!K157)</f>
        <v>0</v>
      </c>
      <c r="AG157" s="7" t="n">
        <f aca="false">N('KNOWIFY PHASES'!I157)</f>
        <v>0</v>
      </c>
      <c r="AH157" s="7" t="n">
        <f aca="false">N('KNOWIFY PHASES'!H157)</f>
        <v>0</v>
      </c>
      <c r="AI157" s="7" t="n">
        <f aca="false">N('KNOWIFY PHASES'!O157)</f>
        <v>0</v>
      </c>
      <c r="AJ157" s="7" t="n">
        <f aca="false">N('KNOWIFY PHASES'!N157)</f>
        <v>0</v>
      </c>
      <c r="AK157" s="7" t="n">
        <f aca="false">N('KNOWIFY PHASES'!R157)</f>
        <v>0</v>
      </c>
      <c r="AL157" s="7" t="n">
        <f aca="false">N('KNOWIFY PHASES'!Q157)</f>
        <v>0</v>
      </c>
      <c r="AM157" s="7" t="n">
        <f aca="false">N('KNOWIFY PHASES'!F157)</f>
        <v>0</v>
      </c>
      <c r="AN157" s="7" t="n">
        <f aca="false">N('KNOWIFY PHASES'!E157)</f>
        <v>0</v>
      </c>
      <c r="AO157" s="7" t="n">
        <f aca="false">MAX(AE157,AF157)</f>
        <v>0</v>
      </c>
      <c r="AP157" s="7" t="n">
        <f aca="false">MAX(AG157,AH157)</f>
        <v>0</v>
      </c>
      <c r="AQ157" s="7" t="n">
        <f aca="false">MAX(AI157,AJ157)</f>
        <v>0</v>
      </c>
      <c r="AR157" s="7" t="n">
        <f aca="false">MAX(AK157,AL157)</f>
        <v>0</v>
      </c>
      <c r="AT157" s="7" t="str">
        <f aca="false">IF('KNOWIFY TIME'!B157="","",'KNOWIFY TIME'!B157)</f>
        <v/>
      </c>
      <c r="AU157" s="7" t="n">
        <f aca="false">IF(AT157="",0,IF(ISNUMBER('KNOWIFY TIME'!D157),'KNOWIFY TIME'!D157*24,IFERROR(VALUE(LEFT('KNOWIFY TIME'!D157,FIND(":",'KNOWIFY TIME'!D157)-1))+VALUE(MID('KNOWIFY TIME'!D157,FIND(":",'KNOWIFY TIME'!D157)+1,2))/60,0)))</f>
        <v>0</v>
      </c>
      <c r="AV157" s="7" t="n">
        <f aca="false">N('KNOWIFY TIME'!E157)</f>
        <v>0</v>
      </c>
      <c r="AW157" s="7" t="str">
        <f aca="false">IF(AT157="","",IFERROR(INDEX($BD$5:$BD$60,MATCH(AT157,$BC$5:$BC$60,0)),"Unmapped"))</f>
        <v/>
      </c>
    </row>
    <row r="158" customFormat="false" ht="15" hidden="false" customHeight="false" outlineLevel="0" collapsed="false">
      <c r="AA158" s="7" t="str">
        <f aca="false">IF('KNOWIFY PHASES'!A158="","",'KNOWIFY PHASES'!A158)</f>
        <v/>
      </c>
      <c r="AB158" s="7" t="str">
        <f aca="false">IF(AA158="","",IF(LEFT(AA158,4)="P - ","P",IF(LEFT(AA158,4)="H - ","H",IF(LEFT(AA158,5)="AC - ","AC",IF(OR(LEFT(AA158,4)="V - ",LEFT(AA158,7)="HVAC - "),"V","Other")))))</f>
        <v/>
      </c>
      <c r="AC158" s="7" t="str">
        <f aca="false">IF(AA158="","",IFERROR(LOOKUP(2,1/(($AZ$5:$AZ$60&lt;&gt;"")*ISNUMBER(SEARCH($AZ$5:$AZ$60,AA158))),$BA$5:$BA$60),IF(AB158="Other","Excluded","Unmapped")))</f>
        <v/>
      </c>
      <c r="AD158" s="7" t="str">
        <f aca="false">IF(AA158="","",IF(AND(AB158&lt;&gt;"Other",OR(AND('KNOWIFY PHASES'!B158="Closed",N('KNOWIFY PHASES'!D158)&gt;=0.5),N('KNOWIFY PHASES'!D158)&gt;=1)),1,0))</f>
        <v/>
      </c>
      <c r="AE158" s="7" t="n">
        <f aca="false">N('KNOWIFY PHASES'!L158)</f>
        <v>0</v>
      </c>
      <c r="AF158" s="7" t="n">
        <f aca="false">N('KNOWIFY PHASES'!K158)</f>
        <v>0</v>
      </c>
      <c r="AG158" s="7" t="n">
        <f aca="false">N('KNOWIFY PHASES'!I158)</f>
        <v>0</v>
      </c>
      <c r="AH158" s="7" t="n">
        <f aca="false">N('KNOWIFY PHASES'!H158)</f>
        <v>0</v>
      </c>
      <c r="AI158" s="7" t="n">
        <f aca="false">N('KNOWIFY PHASES'!O158)</f>
        <v>0</v>
      </c>
      <c r="AJ158" s="7" t="n">
        <f aca="false">N('KNOWIFY PHASES'!N158)</f>
        <v>0</v>
      </c>
      <c r="AK158" s="7" t="n">
        <f aca="false">N('KNOWIFY PHASES'!R158)</f>
        <v>0</v>
      </c>
      <c r="AL158" s="7" t="n">
        <f aca="false">N('KNOWIFY PHASES'!Q158)</f>
        <v>0</v>
      </c>
      <c r="AM158" s="7" t="n">
        <f aca="false">N('KNOWIFY PHASES'!F158)</f>
        <v>0</v>
      </c>
      <c r="AN158" s="7" t="n">
        <f aca="false">N('KNOWIFY PHASES'!E158)</f>
        <v>0</v>
      </c>
      <c r="AO158" s="7" t="n">
        <f aca="false">MAX(AE158,AF158)</f>
        <v>0</v>
      </c>
      <c r="AP158" s="7" t="n">
        <f aca="false">MAX(AG158,AH158)</f>
        <v>0</v>
      </c>
      <c r="AQ158" s="7" t="n">
        <f aca="false">MAX(AI158,AJ158)</f>
        <v>0</v>
      </c>
      <c r="AR158" s="7" t="n">
        <f aca="false">MAX(AK158,AL158)</f>
        <v>0</v>
      </c>
      <c r="AT158" s="7" t="str">
        <f aca="false">IF('KNOWIFY TIME'!B158="","",'KNOWIFY TIME'!B158)</f>
        <v/>
      </c>
      <c r="AU158" s="7" t="n">
        <f aca="false">IF(AT158="",0,IF(ISNUMBER('KNOWIFY TIME'!D158),'KNOWIFY TIME'!D158*24,IFERROR(VALUE(LEFT('KNOWIFY TIME'!D158,FIND(":",'KNOWIFY TIME'!D158)-1))+VALUE(MID('KNOWIFY TIME'!D158,FIND(":",'KNOWIFY TIME'!D158)+1,2))/60,0)))</f>
        <v>0</v>
      </c>
      <c r="AV158" s="7" t="n">
        <f aca="false">N('KNOWIFY TIME'!E158)</f>
        <v>0</v>
      </c>
      <c r="AW158" s="7" t="str">
        <f aca="false">IF(AT158="","",IFERROR(INDEX($BD$5:$BD$60,MATCH(AT158,$BC$5:$BC$60,0)),"Unmapped"))</f>
        <v/>
      </c>
    </row>
    <row r="159" customFormat="false" ht="15" hidden="false" customHeight="false" outlineLevel="0" collapsed="false">
      <c r="AA159" s="7" t="str">
        <f aca="false">IF('KNOWIFY PHASES'!A159="","",'KNOWIFY PHASES'!A159)</f>
        <v/>
      </c>
      <c r="AB159" s="7" t="str">
        <f aca="false">IF(AA159="","",IF(LEFT(AA159,4)="P - ","P",IF(LEFT(AA159,4)="H - ","H",IF(LEFT(AA159,5)="AC - ","AC",IF(OR(LEFT(AA159,4)="V - ",LEFT(AA159,7)="HVAC - "),"V","Other")))))</f>
        <v/>
      </c>
      <c r="AC159" s="7" t="str">
        <f aca="false">IF(AA159="","",IFERROR(LOOKUP(2,1/(($AZ$5:$AZ$60&lt;&gt;"")*ISNUMBER(SEARCH($AZ$5:$AZ$60,AA159))),$BA$5:$BA$60),IF(AB159="Other","Excluded","Unmapped")))</f>
        <v/>
      </c>
      <c r="AD159" s="7" t="str">
        <f aca="false">IF(AA159="","",IF(AND(AB159&lt;&gt;"Other",OR(AND('KNOWIFY PHASES'!B159="Closed",N('KNOWIFY PHASES'!D159)&gt;=0.5),N('KNOWIFY PHASES'!D159)&gt;=1)),1,0))</f>
        <v/>
      </c>
      <c r="AE159" s="7" t="n">
        <f aca="false">N('KNOWIFY PHASES'!L159)</f>
        <v>0</v>
      </c>
      <c r="AF159" s="7" t="n">
        <f aca="false">N('KNOWIFY PHASES'!K159)</f>
        <v>0</v>
      </c>
      <c r="AG159" s="7" t="n">
        <f aca="false">N('KNOWIFY PHASES'!I159)</f>
        <v>0</v>
      </c>
      <c r="AH159" s="7" t="n">
        <f aca="false">N('KNOWIFY PHASES'!H159)</f>
        <v>0</v>
      </c>
      <c r="AI159" s="7" t="n">
        <f aca="false">N('KNOWIFY PHASES'!O159)</f>
        <v>0</v>
      </c>
      <c r="AJ159" s="7" t="n">
        <f aca="false">N('KNOWIFY PHASES'!N159)</f>
        <v>0</v>
      </c>
      <c r="AK159" s="7" t="n">
        <f aca="false">N('KNOWIFY PHASES'!R159)</f>
        <v>0</v>
      </c>
      <c r="AL159" s="7" t="n">
        <f aca="false">N('KNOWIFY PHASES'!Q159)</f>
        <v>0</v>
      </c>
      <c r="AM159" s="7" t="n">
        <f aca="false">N('KNOWIFY PHASES'!F159)</f>
        <v>0</v>
      </c>
      <c r="AN159" s="7" t="n">
        <f aca="false">N('KNOWIFY PHASES'!E159)</f>
        <v>0</v>
      </c>
      <c r="AO159" s="7" t="n">
        <f aca="false">MAX(AE159,AF159)</f>
        <v>0</v>
      </c>
      <c r="AP159" s="7" t="n">
        <f aca="false">MAX(AG159,AH159)</f>
        <v>0</v>
      </c>
      <c r="AQ159" s="7" t="n">
        <f aca="false">MAX(AI159,AJ159)</f>
        <v>0</v>
      </c>
      <c r="AR159" s="7" t="n">
        <f aca="false">MAX(AK159,AL159)</f>
        <v>0</v>
      </c>
      <c r="AT159" s="7" t="str">
        <f aca="false">IF('KNOWIFY TIME'!B159="","",'KNOWIFY TIME'!B159)</f>
        <v/>
      </c>
      <c r="AU159" s="7" t="n">
        <f aca="false">IF(AT159="",0,IF(ISNUMBER('KNOWIFY TIME'!D159),'KNOWIFY TIME'!D159*24,IFERROR(VALUE(LEFT('KNOWIFY TIME'!D159,FIND(":",'KNOWIFY TIME'!D159)-1))+VALUE(MID('KNOWIFY TIME'!D159,FIND(":",'KNOWIFY TIME'!D159)+1,2))/60,0)))</f>
        <v>0</v>
      </c>
      <c r="AV159" s="7" t="n">
        <f aca="false">N('KNOWIFY TIME'!E159)</f>
        <v>0</v>
      </c>
      <c r="AW159" s="7" t="str">
        <f aca="false">IF(AT159="","",IFERROR(INDEX($BD$5:$BD$60,MATCH(AT159,$BC$5:$BC$60,0)),"Unmapped"))</f>
        <v/>
      </c>
    </row>
    <row r="160" customFormat="false" ht="15" hidden="false" customHeight="false" outlineLevel="0" collapsed="false">
      <c r="AA160" s="7" t="str">
        <f aca="false">IF('KNOWIFY PHASES'!A160="","",'KNOWIFY PHASES'!A160)</f>
        <v/>
      </c>
      <c r="AB160" s="7" t="str">
        <f aca="false">IF(AA160="","",IF(LEFT(AA160,4)="P - ","P",IF(LEFT(AA160,4)="H - ","H",IF(LEFT(AA160,5)="AC - ","AC",IF(OR(LEFT(AA160,4)="V - ",LEFT(AA160,7)="HVAC - "),"V","Other")))))</f>
        <v/>
      </c>
      <c r="AC160" s="7" t="str">
        <f aca="false">IF(AA160="","",IFERROR(LOOKUP(2,1/(($AZ$5:$AZ$60&lt;&gt;"")*ISNUMBER(SEARCH($AZ$5:$AZ$60,AA160))),$BA$5:$BA$60),IF(AB160="Other","Excluded","Unmapped")))</f>
        <v/>
      </c>
      <c r="AD160" s="7" t="str">
        <f aca="false">IF(AA160="","",IF(AND(AB160&lt;&gt;"Other",OR(AND('KNOWIFY PHASES'!B160="Closed",N('KNOWIFY PHASES'!D160)&gt;=0.5),N('KNOWIFY PHASES'!D160)&gt;=1)),1,0))</f>
        <v/>
      </c>
      <c r="AE160" s="7" t="n">
        <f aca="false">N('KNOWIFY PHASES'!L160)</f>
        <v>0</v>
      </c>
      <c r="AF160" s="7" t="n">
        <f aca="false">N('KNOWIFY PHASES'!K160)</f>
        <v>0</v>
      </c>
      <c r="AG160" s="7" t="n">
        <f aca="false">N('KNOWIFY PHASES'!I160)</f>
        <v>0</v>
      </c>
      <c r="AH160" s="7" t="n">
        <f aca="false">N('KNOWIFY PHASES'!H160)</f>
        <v>0</v>
      </c>
      <c r="AI160" s="7" t="n">
        <f aca="false">N('KNOWIFY PHASES'!O160)</f>
        <v>0</v>
      </c>
      <c r="AJ160" s="7" t="n">
        <f aca="false">N('KNOWIFY PHASES'!N160)</f>
        <v>0</v>
      </c>
      <c r="AK160" s="7" t="n">
        <f aca="false">N('KNOWIFY PHASES'!R160)</f>
        <v>0</v>
      </c>
      <c r="AL160" s="7" t="n">
        <f aca="false">N('KNOWIFY PHASES'!Q160)</f>
        <v>0</v>
      </c>
      <c r="AM160" s="7" t="n">
        <f aca="false">N('KNOWIFY PHASES'!F160)</f>
        <v>0</v>
      </c>
      <c r="AN160" s="7" t="n">
        <f aca="false">N('KNOWIFY PHASES'!E160)</f>
        <v>0</v>
      </c>
      <c r="AO160" s="7" t="n">
        <f aca="false">MAX(AE160,AF160)</f>
        <v>0</v>
      </c>
      <c r="AP160" s="7" t="n">
        <f aca="false">MAX(AG160,AH160)</f>
        <v>0</v>
      </c>
      <c r="AQ160" s="7" t="n">
        <f aca="false">MAX(AI160,AJ160)</f>
        <v>0</v>
      </c>
      <c r="AR160" s="7" t="n">
        <f aca="false">MAX(AK160,AL160)</f>
        <v>0</v>
      </c>
      <c r="AT160" s="7" t="str">
        <f aca="false">IF('KNOWIFY TIME'!B160="","",'KNOWIFY TIME'!B160)</f>
        <v/>
      </c>
      <c r="AU160" s="7" t="n">
        <f aca="false">IF(AT160="",0,IF(ISNUMBER('KNOWIFY TIME'!D160),'KNOWIFY TIME'!D160*24,IFERROR(VALUE(LEFT('KNOWIFY TIME'!D160,FIND(":",'KNOWIFY TIME'!D160)-1))+VALUE(MID('KNOWIFY TIME'!D160,FIND(":",'KNOWIFY TIME'!D160)+1,2))/60,0)))</f>
        <v>0</v>
      </c>
      <c r="AV160" s="7" t="n">
        <f aca="false">N('KNOWIFY TIME'!E160)</f>
        <v>0</v>
      </c>
      <c r="AW160" s="7" t="str">
        <f aca="false">IF(AT160="","",IFERROR(INDEX($BD$5:$BD$60,MATCH(AT160,$BC$5:$BC$60,0)),"Unmapped"))</f>
        <v/>
      </c>
    </row>
    <row r="161" customFormat="false" ht="15" hidden="false" customHeight="false" outlineLevel="0" collapsed="false">
      <c r="AA161" s="7" t="str">
        <f aca="false">IF('KNOWIFY PHASES'!A161="","",'KNOWIFY PHASES'!A161)</f>
        <v/>
      </c>
      <c r="AB161" s="7" t="str">
        <f aca="false">IF(AA161="","",IF(LEFT(AA161,4)="P - ","P",IF(LEFT(AA161,4)="H - ","H",IF(LEFT(AA161,5)="AC - ","AC",IF(OR(LEFT(AA161,4)="V - ",LEFT(AA161,7)="HVAC - "),"V","Other")))))</f>
        <v/>
      </c>
      <c r="AC161" s="7" t="str">
        <f aca="false">IF(AA161="","",IFERROR(LOOKUP(2,1/(($AZ$5:$AZ$60&lt;&gt;"")*ISNUMBER(SEARCH($AZ$5:$AZ$60,AA161))),$BA$5:$BA$60),IF(AB161="Other","Excluded","Unmapped")))</f>
        <v/>
      </c>
      <c r="AD161" s="7" t="str">
        <f aca="false">IF(AA161="","",IF(AND(AB161&lt;&gt;"Other",OR(AND('KNOWIFY PHASES'!B161="Closed",N('KNOWIFY PHASES'!D161)&gt;=0.5),N('KNOWIFY PHASES'!D161)&gt;=1)),1,0))</f>
        <v/>
      </c>
      <c r="AE161" s="7" t="n">
        <f aca="false">N('KNOWIFY PHASES'!L161)</f>
        <v>0</v>
      </c>
      <c r="AF161" s="7" t="n">
        <f aca="false">N('KNOWIFY PHASES'!K161)</f>
        <v>0</v>
      </c>
      <c r="AG161" s="7" t="n">
        <f aca="false">N('KNOWIFY PHASES'!I161)</f>
        <v>0</v>
      </c>
      <c r="AH161" s="7" t="n">
        <f aca="false">N('KNOWIFY PHASES'!H161)</f>
        <v>0</v>
      </c>
      <c r="AI161" s="7" t="n">
        <f aca="false">N('KNOWIFY PHASES'!O161)</f>
        <v>0</v>
      </c>
      <c r="AJ161" s="7" t="n">
        <f aca="false">N('KNOWIFY PHASES'!N161)</f>
        <v>0</v>
      </c>
      <c r="AK161" s="7" t="n">
        <f aca="false">N('KNOWIFY PHASES'!R161)</f>
        <v>0</v>
      </c>
      <c r="AL161" s="7" t="n">
        <f aca="false">N('KNOWIFY PHASES'!Q161)</f>
        <v>0</v>
      </c>
      <c r="AM161" s="7" t="n">
        <f aca="false">N('KNOWIFY PHASES'!F161)</f>
        <v>0</v>
      </c>
      <c r="AN161" s="7" t="n">
        <f aca="false">N('KNOWIFY PHASES'!E161)</f>
        <v>0</v>
      </c>
      <c r="AO161" s="7" t="n">
        <f aca="false">MAX(AE161,AF161)</f>
        <v>0</v>
      </c>
      <c r="AP161" s="7" t="n">
        <f aca="false">MAX(AG161,AH161)</f>
        <v>0</v>
      </c>
      <c r="AQ161" s="7" t="n">
        <f aca="false">MAX(AI161,AJ161)</f>
        <v>0</v>
      </c>
      <c r="AR161" s="7" t="n">
        <f aca="false">MAX(AK161,AL161)</f>
        <v>0</v>
      </c>
      <c r="AT161" s="7" t="str">
        <f aca="false">IF('KNOWIFY TIME'!B161="","",'KNOWIFY TIME'!B161)</f>
        <v/>
      </c>
      <c r="AU161" s="7" t="n">
        <f aca="false">IF(AT161="",0,IF(ISNUMBER('KNOWIFY TIME'!D161),'KNOWIFY TIME'!D161*24,IFERROR(VALUE(LEFT('KNOWIFY TIME'!D161,FIND(":",'KNOWIFY TIME'!D161)-1))+VALUE(MID('KNOWIFY TIME'!D161,FIND(":",'KNOWIFY TIME'!D161)+1,2))/60,0)))</f>
        <v>0</v>
      </c>
      <c r="AV161" s="7" t="n">
        <f aca="false">N('KNOWIFY TIME'!E161)</f>
        <v>0</v>
      </c>
      <c r="AW161" s="7" t="str">
        <f aca="false">IF(AT161="","",IFERROR(INDEX($BD$5:$BD$60,MATCH(AT161,$BC$5:$BC$60,0)),"Unmapped"))</f>
        <v/>
      </c>
    </row>
    <row r="162" customFormat="false" ht="15" hidden="false" customHeight="false" outlineLevel="0" collapsed="false">
      <c r="AA162" s="7" t="str">
        <f aca="false">IF('KNOWIFY PHASES'!A162="","",'KNOWIFY PHASES'!A162)</f>
        <v/>
      </c>
      <c r="AB162" s="7" t="str">
        <f aca="false">IF(AA162="","",IF(LEFT(AA162,4)="P - ","P",IF(LEFT(AA162,4)="H - ","H",IF(LEFT(AA162,5)="AC - ","AC",IF(OR(LEFT(AA162,4)="V - ",LEFT(AA162,7)="HVAC - "),"V","Other")))))</f>
        <v/>
      </c>
      <c r="AC162" s="7" t="str">
        <f aca="false">IF(AA162="","",IFERROR(LOOKUP(2,1/(($AZ$5:$AZ$60&lt;&gt;"")*ISNUMBER(SEARCH($AZ$5:$AZ$60,AA162))),$BA$5:$BA$60),IF(AB162="Other","Excluded","Unmapped")))</f>
        <v/>
      </c>
      <c r="AD162" s="7" t="str">
        <f aca="false">IF(AA162="","",IF(AND(AB162&lt;&gt;"Other",OR(AND('KNOWIFY PHASES'!B162="Closed",N('KNOWIFY PHASES'!D162)&gt;=0.5),N('KNOWIFY PHASES'!D162)&gt;=1)),1,0))</f>
        <v/>
      </c>
      <c r="AE162" s="7" t="n">
        <f aca="false">N('KNOWIFY PHASES'!L162)</f>
        <v>0</v>
      </c>
      <c r="AF162" s="7" t="n">
        <f aca="false">N('KNOWIFY PHASES'!K162)</f>
        <v>0</v>
      </c>
      <c r="AG162" s="7" t="n">
        <f aca="false">N('KNOWIFY PHASES'!I162)</f>
        <v>0</v>
      </c>
      <c r="AH162" s="7" t="n">
        <f aca="false">N('KNOWIFY PHASES'!H162)</f>
        <v>0</v>
      </c>
      <c r="AI162" s="7" t="n">
        <f aca="false">N('KNOWIFY PHASES'!O162)</f>
        <v>0</v>
      </c>
      <c r="AJ162" s="7" t="n">
        <f aca="false">N('KNOWIFY PHASES'!N162)</f>
        <v>0</v>
      </c>
      <c r="AK162" s="7" t="n">
        <f aca="false">N('KNOWIFY PHASES'!R162)</f>
        <v>0</v>
      </c>
      <c r="AL162" s="7" t="n">
        <f aca="false">N('KNOWIFY PHASES'!Q162)</f>
        <v>0</v>
      </c>
      <c r="AM162" s="7" t="n">
        <f aca="false">N('KNOWIFY PHASES'!F162)</f>
        <v>0</v>
      </c>
      <c r="AN162" s="7" t="n">
        <f aca="false">N('KNOWIFY PHASES'!E162)</f>
        <v>0</v>
      </c>
      <c r="AO162" s="7" t="n">
        <f aca="false">MAX(AE162,AF162)</f>
        <v>0</v>
      </c>
      <c r="AP162" s="7" t="n">
        <f aca="false">MAX(AG162,AH162)</f>
        <v>0</v>
      </c>
      <c r="AQ162" s="7" t="n">
        <f aca="false">MAX(AI162,AJ162)</f>
        <v>0</v>
      </c>
      <c r="AR162" s="7" t="n">
        <f aca="false">MAX(AK162,AL162)</f>
        <v>0</v>
      </c>
      <c r="AT162" s="7" t="str">
        <f aca="false">IF('KNOWIFY TIME'!B162="","",'KNOWIFY TIME'!B162)</f>
        <v/>
      </c>
      <c r="AU162" s="7" t="n">
        <f aca="false">IF(AT162="",0,IF(ISNUMBER('KNOWIFY TIME'!D162),'KNOWIFY TIME'!D162*24,IFERROR(VALUE(LEFT('KNOWIFY TIME'!D162,FIND(":",'KNOWIFY TIME'!D162)-1))+VALUE(MID('KNOWIFY TIME'!D162,FIND(":",'KNOWIFY TIME'!D162)+1,2))/60,0)))</f>
        <v>0</v>
      </c>
      <c r="AV162" s="7" t="n">
        <f aca="false">N('KNOWIFY TIME'!E162)</f>
        <v>0</v>
      </c>
      <c r="AW162" s="7" t="str">
        <f aca="false">IF(AT162="","",IFERROR(INDEX($BD$5:$BD$60,MATCH(AT162,$BC$5:$BC$60,0)),"Unmapped"))</f>
        <v/>
      </c>
    </row>
    <row r="163" customFormat="false" ht="15" hidden="false" customHeight="false" outlineLevel="0" collapsed="false">
      <c r="AA163" s="7" t="str">
        <f aca="false">IF('KNOWIFY PHASES'!A163="","",'KNOWIFY PHASES'!A163)</f>
        <v/>
      </c>
      <c r="AB163" s="7" t="str">
        <f aca="false">IF(AA163="","",IF(LEFT(AA163,4)="P - ","P",IF(LEFT(AA163,4)="H - ","H",IF(LEFT(AA163,5)="AC - ","AC",IF(OR(LEFT(AA163,4)="V - ",LEFT(AA163,7)="HVAC - "),"V","Other")))))</f>
        <v/>
      </c>
      <c r="AC163" s="7" t="str">
        <f aca="false">IF(AA163="","",IFERROR(LOOKUP(2,1/(($AZ$5:$AZ$60&lt;&gt;"")*ISNUMBER(SEARCH($AZ$5:$AZ$60,AA163))),$BA$5:$BA$60),IF(AB163="Other","Excluded","Unmapped")))</f>
        <v/>
      </c>
      <c r="AD163" s="7" t="str">
        <f aca="false">IF(AA163="","",IF(AND(AB163&lt;&gt;"Other",OR(AND('KNOWIFY PHASES'!B163="Closed",N('KNOWIFY PHASES'!D163)&gt;=0.5),N('KNOWIFY PHASES'!D163)&gt;=1)),1,0))</f>
        <v/>
      </c>
      <c r="AE163" s="7" t="n">
        <f aca="false">N('KNOWIFY PHASES'!L163)</f>
        <v>0</v>
      </c>
      <c r="AF163" s="7" t="n">
        <f aca="false">N('KNOWIFY PHASES'!K163)</f>
        <v>0</v>
      </c>
      <c r="AG163" s="7" t="n">
        <f aca="false">N('KNOWIFY PHASES'!I163)</f>
        <v>0</v>
      </c>
      <c r="AH163" s="7" t="n">
        <f aca="false">N('KNOWIFY PHASES'!H163)</f>
        <v>0</v>
      </c>
      <c r="AI163" s="7" t="n">
        <f aca="false">N('KNOWIFY PHASES'!O163)</f>
        <v>0</v>
      </c>
      <c r="AJ163" s="7" t="n">
        <f aca="false">N('KNOWIFY PHASES'!N163)</f>
        <v>0</v>
      </c>
      <c r="AK163" s="7" t="n">
        <f aca="false">N('KNOWIFY PHASES'!R163)</f>
        <v>0</v>
      </c>
      <c r="AL163" s="7" t="n">
        <f aca="false">N('KNOWIFY PHASES'!Q163)</f>
        <v>0</v>
      </c>
      <c r="AM163" s="7" t="n">
        <f aca="false">N('KNOWIFY PHASES'!F163)</f>
        <v>0</v>
      </c>
      <c r="AN163" s="7" t="n">
        <f aca="false">N('KNOWIFY PHASES'!E163)</f>
        <v>0</v>
      </c>
      <c r="AO163" s="7" t="n">
        <f aca="false">MAX(AE163,AF163)</f>
        <v>0</v>
      </c>
      <c r="AP163" s="7" t="n">
        <f aca="false">MAX(AG163,AH163)</f>
        <v>0</v>
      </c>
      <c r="AQ163" s="7" t="n">
        <f aca="false">MAX(AI163,AJ163)</f>
        <v>0</v>
      </c>
      <c r="AR163" s="7" t="n">
        <f aca="false">MAX(AK163,AL163)</f>
        <v>0</v>
      </c>
      <c r="AT163" s="7" t="str">
        <f aca="false">IF('KNOWIFY TIME'!B163="","",'KNOWIFY TIME'!B163)</f>
        <v/>
      </c>
      <c r="AU163" s="7" t="n">
        <f aca="false">IF(AT163="",0,IF(ISNUMBER('KNOWIFY TIME'!D163),'KNOWIFY TIME'!D163*24,IFERROR(VALUE(LEFT('KNOWIFY TIME'!D163,FIND(":",'KNOWIFY TIME'!D163)-1))+VALUE(MID('KNOWIFY TIME'!D163,FIND(":",'KNOWIFY TIME'!D163)+1,2))/60,0)))</f>
        <v>0</v>
      </c>
      <c r="AV163" s="7" t="n">
        <f aca="false">N('KNOWIFY TIME'!E163)</f>
        <v>0</v>
      </c>
      <c r="AW163" s="7" t="str">
        <f aca="false">IF(AT163="","",IFERROR(INDEX($BD$5:$BD$60,MATCH(AT163,$BC$5:$BC$60,0)),"Unmapped"))</f>
        <v/>
      </c>
    </row>
    <row r="164" customFormat="false" ht="15" hidden="false" customHeight="false" outlineLevel="0" collapsed="false">
      <c r="AA164" s="7" t="str">
        <f aca="false">IF('KNOWIFY PHASES'!A164="","",'KNOWIFY PHASES'!A164)</f>
        <v/>
      </c>
      <c r="AB164" s="7" t="str">
        <f aca="false">IF(AA164="","",IF(LEFT(AA164,4)="P - ","P",IF(LEFT(AA164,4)="H - ","H",IF(LEFT(AA164,5)="AC - ","AC",IF(OR(LEFT(AA164,4)="V - ",LEFT(AA164,7)="HVAC - "),"V","Other")))))</f>
        <v/>
      </c>
      <c r="AC164" s="7" t="str">
        <f aca="false">IF(AA164="","",IFERROR(LOOKUP(2,1/(($AZ$5:$AZ$60&lt;&gt;"")*ISNUMBER(SEARCH($AZ$5:$AZ$60,AA164))),$BA$5:$BA$60),IF(AB164="Other","Excluded","Unmapped")))</f>
        <v/>
      </c>
      <c r="AD164" s="7" t="str">
        <f aca="false">IF(AA164="","",IF(AND(AB164&lt;&gt;"Other",OR(AND('KNOWIFY PHASES'!B164="Closed",N('KNOWIFY PHASES'!D164)&gt;=0.5),N('KNOWIFY PHASES'!D164)&gt;=1)),1,0))</f>
        <v/>
      </c>
      <c r="AE164" s="7" t="n">
        <f aca="false">N('KNOWIFY PHASES'!L164)</f>
        <v>0</v>
      </c>
      <c r="AF164" s="7" t="n">
        <f aca="false">N('KNOWIFY PHASES'!K164)</f>
        <v>0</v>
      </c>
      <c r="AG164" s="7" t="n">
        <f aca="false">N('KNOWIFY PHASES'!I164)</f>
        <v>0</v>
      </c>
      <c r="AH164" s="7" t="n">
        <f aca="false">N('KNOWIFY PHASES'!H164)</f>
        <v>0</v>
      </c>
      <c r="AI164" s="7" t="n">
        <f aca="false">N('KNOWIFY PHASES'!O164)</f>
        <v>0</v>
      </c>
      <c r="AJ164" s="7" t="n">
        <f aca="false">N('KNOWIFY PHASES'!N164)</f>
        <v>0</v>
      </c>
      <c r="AK164" s="7" t="n">
        <f aca="false">N('KNOWIFY PHASES'!R164)</f>
        <v>0</v>
      </c>
      <c r="AL164" s="7" t="n">
        <f aca="false">N('KNOWIFY PHASES'!Q164)</f>
        <v>0</v>
      </c>
      <c r="AM164" s="7" t="n">
        <f aca="false">N('KNOWIFY PHASES'!F164)</f>
        <v>0</v>
      </c>
      <c r="AN164" s="7" t="n">
        <f aca="false">N('KNOWIFY PHASES'!E164)</f>
        <v>0</v>
      </c>
      <c r="AO164" s="7" t="n">
        <f aca="false">MAX(AE164,AF164)</f>
        <v>0</v>
      </c>
      <c r="AP164" s="7" t="n">
        <f aca="false">MAX(AG164,AH164)</f>
        <v>0</v>
      </c>
      <c r="AQ164" s="7" t="n">
        <f aca="false">MAX(AI164,AJ164)</f>
        <v>0</v>
      </c>
      <c r="AR164" s="7" t="n">
        <f aca="false">MAX(AK164,AL164)</f>
        <v>0</v>
      </c>
      <c r="AT164" s="7" t="str">
        <f aca="false">IF('KNOWIFY TIME'!B164="","",'KNOWIFY TIME'!B164)</f>
        <v/>
      </c>
      <c r="AU164" s="7" t="n">
        <f aca="false">IF(AT164="",0,IF(ISNUMBER('KNOWIFY TIME'!D164),'KNOWIFY TIME'!D164*24,IFERROR(VALUE(LEFT('KNOWIFY TIME'!D164,FIND(":",'KNOWIFY TIME'!D164)-1))+VALUE(MID('KNOWIFY TIME'!D164,FIND(":",'KNOWIFY TIME'!D164)+1,2))/60,0)))</f>
        <v>0</v>
      </c>
      <c r="AV164" s="7" t="n">
        <f aca="false">N('KNOWIFY TIME'!E164)</f>
        <v>0</v>
      </c>
      <c r="AW164" s="7" t="str">
        <f aca="false">IF(AT164="","",IFERROR(INDEX($BD$5:$BD$60,MATCH(AT164,$BC$5:$BC$60,0)),"Unmapped"))</f>
        <v/>
      </c>
    </row>
    <row r="165" customFormat="false" ht="15" hidden="false" customHeight="false" outlineLevel="0" collapsed="false">
      <c r="AA165" s="7" t="str">
        <f aca="false">IF('KNOWIFY PHASES'!A165="","",'KNOWIFY PHASES'!A165)</f>
        <v/>
      </c>
      <c r="AB165" s="7" t="str">
        <f aca="false">IF(AA165="","",IF(LEFT(AA165,4)="P - ","P",IF(LEFT(AA165,4)="H - ","H",IF(LEFT(AA165,5)="AC - ","AC",IF(OR(LEFT(AA165,4)="V - ",LEFT(AA165,7)="HVAC - "),"V","Other")))))</f>
        <v/>
      </c>
      <c r="AC165" s="7" t="str">
        <f aca="false">IF(AA165="","",IFERROR(LOOKUP(2,1/(($AZ$5:$AZ$60&lt;&gt;"")*ISNUMBER(SEARCH($AZ$5:$AZ$60,AA165))),$BA$5:$BA$60),IF(AB165="Other","Excluded","Unmapped")))</f>
        <v/>
      </c>
      <c r="AD165" s="7" t="str">
        <f aca="false">IF(AA165="","",IF(AND(AB165&lt;&gt;"Other",OR(AND('KNOWIFY PHASES'!B165="Closed",N('KNOWIFY PHASES'!D165)&gt;=0.5),N('KNOWIFY PHASES'!D165)&gt;=1)),1,0))</f>
        <v/>
      </c>
      <c r="AE165" s="7" t="n">
        <f aca="false">N('KNOWIFY PHASES'!L165)</f>
        <v>0</v>
      </c>
      <c r="AF165" s="7" t="n">
        <f aca="false">N('KNOWIFY PHASES'!K165)</f>
        <v>0</v>
      </c>
      <c r="AG165" s="7" t="n">
        <f aca="false">N('KNOWIFY PHASES'!I165)</f>
        <v>0</v>
      </c>
      <c r="AH165" s="7" t="n">
        <f aca="false">N('KNOWIFY PHASES'!H165)</f>
        <v>0</v>
      </c>
      <c r="AI165" s="7" t="n">
        <f aca="false">N('KNOWIFY PHASES'!O165)</f>
        <v>0</v>
      </c>
      <c r="AJ165" s="7" t="n">
        <f aca="false">N('KNOWIFY PHASES'!N165)</f>
        <v>0</v>
      </c>
      <c r="AK165" s="7" t="n">
        <f aca="false">N('KNOWIFY PHASES'!R165)</f>
        <v>0</v>
      </c>
      <c r="AL165" s="7" t="n">
        <f aca="false">N('KNOWIFY PHASES'!Q165)</f>
        <v>0</v>
      </c>
      <c r="AM165" s="7" t="n">
        <f aca="false">N('KNOWIFY PHASES'!F165)</f>
        <v>0</v>
      </c>
      <c r="AN165" s="7" t="n">
        <f aca="false">N('KNOWIFY PHASES'!E165)</f>
        <v>0</v>
      </c>
      <c r="AO165" s="7" t="n">
        <f aca="false">MAX(AE165,AF165)</f>
        <v>0</v>
      </c>
      <c r="AP165" s="7" t="n">
        <f aca="false">MAX(AG165,AH165)</f>
        <v>0</v>
      </c>
      <c r="AQ165" s="7" t="n">
        <f aca="false">MAX(AI165,AJ165)</f>
        <v>0</v>
      </c>
      <c r="AR165" s="7" t="n">
        <f aca="false">MAX(AK165,AL165)</f>
        <v>0</v>
      </c>
      <c r="AT165" s="7" t="str">
        <f aca="false">IF('KNOWIFY TIME'!B165="","",'KNOWIFY TIME'!B165)</f>
        <v/>
      </c>
      <c r="AU165" s="7" t="n">
        <f aca="false">IF(AT165="",0,IF(ISNUMBER('KNOWIFY TIME'!D165),'KNOWIFY TIME'!D165*24,IFERROR(VALUE(LEFT('KNOWIFY TIME'!D165,FIND(":",'KNOWIFY TIME'!D165)-1))+VALUE(MID('KNOWIFY TIME'!D165,FIND(":",'KNOWIFY TIME'!D165)+1,2))/60,0)))</f>
        <v>0</v>
      </c>
      <c r="AV165" s="7" t="n">
        <f aca="false">N('KNOWIFY TIME'!E165)</f>
        <v>0</v>
      </c>
      <c r="AW165" s="7" t="str">
        <f aca="false">IF(AT165="","",IFERROR(INDEX($BD$5:$BD$60,MATCH(AT165,$BC$5:$BC$60,0)),"Unmapped"))</f>
        <v/>
      </c>
    </row>
    <row r="166" customFormat="false" ht="15" hidden="false" customHeight="false" outlineLevel="0" collapsed="false">
      <c r="AA166" s="7" t="str">
        <f aca="false">IF('KNOWIFY PHASES'!A166="","",'KNOWIFY PHASES'!A166)</f>
        <v/>
      </c>
      <c r="AB166" s="7" t="str">
        <f aca="false">IF(AA166="","",IF(LEFT(AA166,4)="P - ","P",IF(LEFT(AA166,4)="H - ","H",IF(LEFT(AA166,5)="AC - ","AC",IF(OR(LEFT(AA166,4)="V - ",LEFT(AA166,7)="HVAC - "),"V","Other")))))</f>
        <v/>
      </c>
      <c r="AC166" s="7" t="str">
        <f aca="false">IF(AA166="","",IFERROR(LOOKUP(2,1/(($AZ$5:$AZ$60&lt;&gt;"")*ISNUMBER(SEARCH($AZ$5:$AZ$60,AA166))),$BA$5:$BA$60),IF(AB166="Other","Excluded","Unmapped")))</f>
        <v/>
      </c>
      <c r="AD166" s="7" t="str">
        <f aca="false">IF(AA166="","",IF(AND(AB166&lt;&gt;"Other",OR(AND('KNOWIFY PHASES'!B166="Closed",N('KNOWIFY PHASES'!D166)&gt;=0.5),N('KNOWIFY PHASES'!D166)&gt;=1)),1,0))</f>
        <v/>
      </c>
      <c r="AE166" s="7" t="n">
        <f aca="false">N('KNOWIFY PHASES'!L166)</f>
        <v>0</v>
      </c>
      <c r="AF166" s="7" t="n">
        <f aca="false">N('KNOWIFY PHASES'!K166)</f>
        <v>0</v>
      </c>
      <c r="AG166" s="7" t="n">
        <f aca="false">N('KNOWIFY PHASES'!I166)</f>
        <v>0</v>
      </c>
      <c r="AH166" s="7" t="n">
        <f aca="false">N('KNOWIFY PHASES'!H166)</f>
        <v>0</v>
      </c>
      <c r="AI166" s="7" t="n">
        <f aca="false">N('KNOWIFY PHASES'!O166)</f>
        <v>0</v>
      </c>
      <c r="AJ166" s="7" t="n">
        <f aca="false">N('KNOWIFY PHASES'!N166)</f>
        <v>0</v>
      </c>
      <c r="AK166" s="7" t="n">
        <f aca="false">N('KNOWIFY PHASES'!R166)</f>
        <v>0</v>
      </c>
      <c r="AL166" s="7" t="n">
        <f aca="false">N('KNOWIFY PHASES'!Q166)</f>
        <v>0</v>
      </c>
      <c r="AM166" s="7" t="n">
        <f aca="false">N('KNOWIFY PHASES'!F166)</f>
        <v>0</v>
      </c>
      <c r="AN166" s="7" t="n">
        <f aca="false">N('KNOWIFY PHASES'!E166)</f>
        <v>0</v>
      </c>
      <c r="AO166" s="7" t="n">
        <f aca="false">MAX(AE166,AF166)</f>
        <v>0</v>
      </c>
      <c r="AP166" s="7" t="n">
        <f aca="false">MAX(AG166,AH166)</f>
        <v>0</v>
      </c>
      <c r="AQ166" s="7" t="n">
        <f aca="false">MAX(AI166,AJ166)</f>
        <v>0</v>
      </c>
      <c r="AR166" s="7" t="n">
        <f aca="false">MAX(AK166,AL166)</f>
        <v>0</v>
      </c>
      <c r="AT166" s="7" t="str">
        <f aca="false">IF('KNOWIFY TIME'!B166="","",'KNOWIFY TIME'!B166)</f>
        <v/>
      </c>
      <c r="AU166" s="7" t="n">
        <f aca="false">IF(AT166="",0,IF(ISNUMBER('KNOWIFY TIME'!D166),'KNOWIFY TIME'!D166*24,IFERROR(VALUE(LEFT('KNOWIFY TIME'!D166,FIND(":",'KNOWIFY TIME'!D166)-1))+VALUE(MID('KNOWIFY TIME'!D166,FIND(":",'KNOWIFY TIME'!D166)+1,2))/60,0)))</f>
        <v>0</v>
      </c>
      <c r="AV166" s="7" t="n">
        <f aca="false">N('KNOWIFY TIME'!E166)</f>
        <v>0</v>
      </c>
      <c r="AW166" s="7" t="str">
        <f aca="false">IF(AT166="","",IFERROR(INDEX($BD$5:$BD$60,MATCH(AT166,$BC$5:$BC$60,0)),"Unmapped"))</f>
        <v/>
      </c>
    </row>
    <row r="167" customFormat="false" ht="15" hidden="false" customHeight="false" outlineLevel="0" collapsed="false">
      <c r="AA167" s="7" t="str">
        <f aca="false">IF('KNOWIFY PHASES'!A167="","",'KNOWIFY PHASES'!A167)</f>
        <v/>
      </c>
      <c r="AB167" s="7" t="str">
        <f aca="false">IF(AA167="","",IF(LEFT(AA167,4)="P - ","P",IF(LEFT(AA167,4)="H - ","H",IF(LEFT(AA167,5)="AC - ","AC",IF(OR(LEFT(AA167,4)="V - ",LEFT(AA167,7)="HVAC - "),"V","Other")))))</f>
        <v/>
      </c>
      <c r="AC167" s="7" t="str">
        <f aca="false">IF(AA167="","",IFERROR(LOOKUP(2,1/(($AZ$5:$AZ$60&lt;&gt;"")*ISNUMBER(SEARCH($AZ$5:$AZ$60,AA167))),$BA$5:$BA$60),IF(AB167="Other","Excluded","Unmapped")))</f>
        <v/>
      </c>
      <c r="AD167" s="7" t="str">
        <f aca="false">IF(AA167="","",IF(AND(AB167&lt;&gt;"Other",OR(AND('KNOWIFY PHASES'!B167="Closed",N('KNOWIFY PHASES'!D167)&gt;=0.5),N('KNOWIFY PHASES'!D167)&gt;=1)),1,0))</f>
        <v/>
      </c>
      <c r="AE167" s="7" t="n">
        <f aca="false">N('KNOWIFY PHASES'!L167)</f>
        <v>0</v>
      </c>
      <c r="AF167" s="7" t="n">
        <f aca="false">N('KNOWIFY PHASES'!K167)</f>
        <v>0</v>
      </c>
      <c r="AG167" s="7" t="n">
        <f aca="false">N('KNOWIFY PHASES'!I167)</f>
        <v>0</v>
      </c>
      <c r="AH167" s="7" t="n">
        <f aca="false">N('KNOWIFY PHASES'!H167)</f>
        <v>0</v>
      </c>
      <c r="AI167" s="7" t="n">
        <f aca="false">N('KNOWIFY PHASES'!O167)</f>
        <v>0</v>
      </c>
      <c r="AJ167" s="7" t="n">
        <f aca="false">N('KNOWIFY PHASES'!N167)</f>
        <v>0</v>
      </c>
      <c r="AK167" s="7" t="n">
        <f aca="false">N('KNOWIFY PHASES'!R167)</f>
        <v>0</v>
      </c>
      <c r="AL167" s="7" t="n">
        <f aca="false">N('KNOWIFY PHASES'!Q167)</f>
        <v>0</v>
      </c>
      <c r="AM167" s="7" t="n">
        <f aca="false">N('KNOWIFY PHASES'!F167)</f>
        <v>0</v>
      </c>
      <c r="AN167" s="7" t="n">
        <f aca="false">N('KNOWIFY PHASES'!E167)</f>
        <v>0</v>
      </c>
      <c r="AO167" s="7" t="n">
        <f aca="false">MAX(AE167,AF167)</f>
        <v>0</v>
      </c>
      <c r="AP167" s="7" t="n">
        <f aca="false">MAX(AG167,AH167)</f>
        <v>0</v>
      </c>
      <c r="AQ167" s="7" t="n">
        <f aca="false">MAX(AI167,AJ167)</f>
        <v>0</v>
      </c>
      <c r="AR167" s="7" t="n">
        <f aca="false">MAX(AK167,AL167)</f>
        <v>0</v>
      </c>
      <c r="AT167" s="7" t="str">
        <f aca="false">IF('KNOWIFY TIME'!B167="","",'KNOWIFY TIME'!B167)</f>
        <v/>
      </c>
      <c r="AU167" s="7" t="n">
        <f aca="false">IF(AT167="",0,IF(ISNUMBER('KNOWIFY TIME'!D167),'KNOWIFY TIME'!D167*24,IFERROR(VALUE(LEFT('KNOWIFY TIME'!D167,FIND(":",'KNOWIFY TIME'!D167)-1))+VALUE(MID('KNOWIFY TIME'!D167,FIND(":",'KNOWIFY TIME'!D167)+1,2))/60,0)))</f>
        <v>0</v>
      </c>
      <c r="AV167" s="7" t="n">
        <f aca="false">N('KNOWIFY TIME'!E167)</f>
        <v>0</v>
      </c>
      <c r="AW167" s="7" t="str">
        <f aca="false">IF(AT167="","",IFERROR(INDEX($BD$5:$BD$60,MATCH(AT167,$BC$5:$BC$60,0)),"Unmapped"))</f>
        <v/>
      </c>
    </row>
    <row r="168" customFormat="false" ht="15" hidden="false" customHeight="false" outlineLevel="0" collapsed="false">
      <c r="AA168" s="7" t="str">
        <f aca="false">IF('KNOWIFY PHASES'!A168="","",'KNOWIFY PHASES'!A168)</f>
        <v/>
      </c>
      <c r="AB168" s="7" t="str">
        <f aca="false">IF(AA168="","",IF(LEFT(AA168,4)="P - ","P",IF(LEFT(AA168,4)="H - ","H",IF(LEFT(AA168,5)="AC - ","AC",IF(OR(LEFT(AA168,4)="V - ",LEFT(AA168,7)="HVAC - "),"V","Other")))))</f>
        <v/>
      </c>
      <c r="AC168" s="7" t="str">
        <f aca="false">IF(AA168="","",IFERROR(LOOKUP(2,1/(($AZ$5:$AZ$60&lt;&gt;"")*ISNUMBER(SEARCH($AZ$5:$AZ$60,AA168))),$BA$5:$BA$60),IF(AB168="Other","Excluded","Unmapped")))</f>
        <v/>
      </c>
      <c r="AD168" s="7" t="str">
        <f aca="false">IF(AA168="","",IF(AND(AB168&lt;&gt;"Other",OR(AND('KNOWIFY PHASES'!B168="Closed",N('KNOWIFY PHASES'!D168)&gt;=0.5),N('KNOWIFY PHASES'!D168)&gt;=1)),1,0))</f>
        <v/>
      </c>
      <c r="AE168" s="7" t="n">
        <f aca="false">N('KNOWIFY PHASES'!L168)</f>
        <v>0</v>
      </c>
      <c r="AF168" s="7" t="n">
        <f aca="false">N('KNOWIFY PHASES'!K168)</f>
        <v>0</v>
      </c>
      <c r="AG168" s="7" t="n">
        <f aca="false">N('KNOWIFY PHASES'!I168)</f>
        <v>0</v>
      </c>
      <c r="AH168" s="7" t="n">
        <f aca="false">N('KNOWIFY PHASES'!H168)</f>
        <v>0</v>
      </c>
      <c r="AI168" s="7" t="n">
        <f aca="false">N('KNOWIFY PHASES'!O168)</f>
        <v>0</v>
      </c>
      <c r="AJ168" s="7" t="n">
        <f aca="false">N('KNOWIFY PHASES'!N168)</f>
        <v>0</v>
      </c>
      <c r="AK168" s="7" t="n">
        <f aca="false">N('KNOWIFY PHASES'!R168)</f>
        <v>0</v>
      </c>
      <c r="AL168" s="7" t="n">
        <f aca="false">N('KNOWIFY PHASES'!Q168)</f>
        <v>0</v>
      </c>
      <c r="AM168" s="7" t="n">
        <f aca="false">N('KNOWIFY PHASES'!F168)</f>
        <v>0</v>
      </c>
      <c r="AN168" s="7" t="n">
        <f aca="false">N('KNOWIFY PHASES'!E168)</f>
        <v>0</v>
      </c>
      <c r="AO168" s="7" t="n">
        <f aca="false">MAX(AE168,AF168)</f>
        <v>0</v>
      </c>
      <c r="AP168" s="7" t="n">
        <f aca="false">MAX(AG168,AH168)</f>
        <v>0</v>
      </c>
      <c r="AQ168" s="7" t="n">
        <f aca="false">MAX(AI168,AJ168)</f>
        <v>0</v>
      </c>
      <c r="AR168" s="7" t="n">
        <f aca="false">MAX(AK168,AL168)</f>
        <v>0</v>
      </c>
      <c r="AT168" s="7" t="str">
        <f aca="false">IF('KNOWIFY TIME'!B168="","",'KNOWIFY TIME'!B168)</f>
        <v/>
      </c>
      <c r="AU168" s="7" t="n">
        <f aca="false">IF(AT168="",0,IF(ISNUMBER('KNOWIFY TIME'!D168),'KNOWIFY TIME'!D168*24,IFERROR(VALUE(LEFT('KNOWIFY TIME'!D168,FIND(":",'KNOWIFY TIME'!D168)-1))+VALUE(MID('KNOWIFY TIME'!D168,FIND(":",'KNOWIFY TIME'!D168)+1,2))/60,0)))</f>
        <v>0</v>
      </c>
      <c r="AV168" s="7" t="n">
        <f aca="false">N('KNOWIFY TIME'!E168)</f>
        <v>0</v>
      </c>
      <c r="AW168" s="7" t="str">
        <f aca="false">IF(AT168="","",IFERROR(INDEX($BD$5:$BD$60,MATCH(AT168,$BC$5:$BC$60,0)),"Unmapped"))</f>
        <v/>
      </c>
    </row>
    <row r="169" customFormat="false" ht="15" hidden="false" customHeight="false" outlineLevel="0" collapsed="false">
      <c r="AA169" s="7" t="str">
        <f aca="false">IF('KNOWIFY PHASES'!A169="","",'KNOWIFY PHASES'!A169)</f>
        <v/>
      </c>
      <c r="AB169" s="7" t="str">
        <f aca="false">IF(AA169="","",IF(LEFT(AA169,4)="P - ","P",IF(LEFT(AA169,4)="H - ","H",IF(LEFT(AA169,5)="AC - ","AC",IF(OR(LEFT(AA169,4)="V - ",LEFT(AA169,7)="HVAC - "),"V","Other")))))</f>
        <v/>
      </c>
      <c r="AC169" s="7" t="str">
        <f aca="false">IF(AA169="","",IFERROR(LOOKUP(2,1/(($AZ$5:$AZ$60&lt;&gt;"")*ISNUMBER(SEARCH($AZ$5:$AZ$60,AA169))),$BA$5:$BA$60),IF(AB169="Other","Excluded","Unmapped")))</f>
        <v/>
      </c>
      <c r="AD169" s="7" t="str">
        <f aca="false">IF(AA169="","",IF(AND(AB169&lt;&gt;"Other",OR(AND('KNOWIFY PHASES'!B169="Closed",N('KNOWIFY PHASES'!D169)&gt;=0.5),N('KNOWIFY PHASES'!D169)&gt;=1)),1,0))</f>
        <v/>
      </c>
      <c r="AE169" s="7" t="n">
        <f aca="false">N('KNOWIFY PHASES'!L169)</f>
        <v>0</v>
      </c>
      <c r="AF169" s="7" t="n">
        <f aca="false">N('KNOWIFY PHASES'!K169)</f>
        <v>0</v>
      </c>
      <c r="AG169" s="7" t="n">
        <f aca="false">N('KNOWIFY PHASES'!I169)</f>
        <v>0</v>
      </c>
      <c r="AH169" s="7" t="n">
        <f aca="false">N('KNOWIFY PHASES'!H169)</f>
        <v>0</v>
      </c>
      <c r="AI169" s="7" t="n">
        <f aca="false">N('KNOWIFY PHASES'!O169)</f>
        <v>0</v>
      </c>
      <c r="AJ169" s="7" t="n">
        <f aca="false">N('KNOWIFY PHASES'!N169)</f>
        <v>0</v>
      </c>
      <c r="AK169" s="7" t="n">
        <f aca="false">N('KNOWIFY PHASES'!R169)</f>
        <v>0</v>
      </c>
      <c r="AL169" s="7" t="n">
        <f aca="false">N('KNOWIFY PHASES'!Q169)</f>
        <v>0</v>
      </c>
      <c r="AM169" s="7" t="n">
        <f aca="false">N('KNOWIFY PHASES'!F169)</f>
        <v>0</v>
      </c>
      <c r="AN169" s="7" t="n">
        <f aca="false">N('KNOWIFY PHASES'!E169)</f>
        <v>0</v>
      </c>
      <c r="AO169" s="7" t="n">
        <f aca="false">MAX(AE169,AF169)</f>
        <v>0</v>
      </c>
      <c r="AP169" s="7" t="n">
        <f aca="false">MAX(AG169,AH169)</f>
        <v>0</v>
      </c>
      <c r="AQ169" s="7" t="n">
        <f aca="false">MAX(AI169,AJ169)</f>
        <v>0</v>
      </c>
      <c r="AR169" s="7" t="n">
        <f aca="false">MAX(AK169,AL169)</f>
        <v>0</v>
      </c>
      <c r="AT169" s="7" t="str">
        <f aca="false">IF('KNOWIFY TIME'!B169="","",'KNOWIFY TIME'!B169)</f>
        <v/>
      </c>
      <c r="AU169" s="7" t="n">
        <f aca="false">IF(AT169="",0,IF(ISNUMBER('KNOWIFY TIME'!D169),'KNOWIFY TIME'!D169*24,IFERROR(VALUE(LEFT('KNOWIFY TIME'!D169,FIND(":",'KNOWIFY TIME'!D169)-1))+VALUE(MID('KNOWIFY TIME'!D169,FIND(":",'KNOWIFY TIME'!D169)+1,2))/60,0)))</f>
        <v>0</v>
      </c>
      <c r="AV169" s="7" t="n">
        <f aca="false">N('KNOWIFY TIME'!E169)</f>
        <v>0</v>
      </c>
      <c r="AW169" s="7" t="str">
        <f aca="false">IF(AT169="","",IFERROR(INDEX($BD$5:$BD$60,MATCH(AT169,$BC$5:$BC$60,0)),"Unmapped"))</f>
        <v/>
      </c>
    </row>
    <row r="170" customFormat="false" ht="15" hidden="false" customHeight="false" outlineLevel="0" collapsed="false">
      <c r="AA170" s="7" t="str">
        <f aca="false">IF('KNOWIFY PHASES'!A170="","",'KNOWIFY PHASES'!A170)</f>
        <v/>
      </c>
      <c r="AB170" s="7" t="str">
        <f aca="false">IF(AA170="","",IF(LEFT(AA170,4)="P - ","P",IF(LEFT(AA170,4)="H - ","H",IF(LEFT(AA170,5)="AC - ","AC",IF(OR(LEFT(AA170,4)="V - ",LEFT(AA170,7)="HVAC - "),"V","Other")))))</f>
        <v/>
      </c>
      <c r="AC170" s="7" t="str">
        <f aca="false">IF(AA170="","",IFERROR(LOOKUP(2,1/(($AZ$5:$AZ$60&lt;&gt;"")*ISNUMBER(SEARCH($AZ$5:$AZ$60,AA170))),$BA$5:$BA$60),IF(AB170="Other","Excluded","Unmapped")))</f>
        <v/>
      </c>
      <c r="AD170" s="7" t="str">
        <f aca="false">IF(AA170="","",IF(AND(AB170&lt;&gt;"Other",OR(AND('KNOWIFY PHASES'!B170="Closed",N('KNOWIFY PHASES'!D170)&gt;=0.5),N('KNOWIFY PHASES'!D170)&gt;=1)),1,0))</f>
        <v/>
      </c>
      <c r="AE170" s="7" t="n">
        <f aca="false">N('KNOWIFY PHASES'!L170)</f>
        <v>0</v>
      </c>
      <c r="AF170" s="7" t="n">
        <f aca="false">N('KNOWIFY PHASES'!K170)</f>
        <v>0</v>
      </c>
      <c r="AG170" s="7" t="n">
        <f aca="false">N('KNOWIFY PHASES'!I170)</f>
        <v>0</v>
      </c>
      <c r="AH170" s="7" t="n">
        <f aca="false">N('KNOWIFY PHASES'!H170)</f>
        <v>0</v>
      </c>
      <c r="AI170" s="7" t="n">
        <f aca="false">N('KNOWIFY PHASES'!O170)</f>
        <v>0</v>
      </c>
      <c r="AJ170" s="7" t="n">
        <f aca="false">N('KNOWIFY PHASES'!N170)</f>
        <v>0</v>
      </c>
      <c r="AK170" s="7" t="n">
        <f aca="false">N('KNOWIFY PHASES'!R170)</f>
        <v>0</v>
      </c>
      <c r="AL170" s="7" t="n">
        <f aca="false">N('KNOWIFY PHASES'!Q170)</f>
        <v>0</v>
      </c>
      <c r="AM170" s="7" t="n">
        <f aca="false">N('KNOWIFY PHASES'!F170)</f>
        <v>0</v>
      </c>
      <c r="AN170" s="7" t="n">
        <f aca="false">N('KNOWIFY PHASES'!E170)</f>
        <v>0</v>
      </c>
      <c r="AO170" s="7" t="n">
        <f aca="false">MAX(AE170,AF170)</f>
        <v>0</v>
      </c>
      <c r="AP170" s="7" t="n">
        <f aca="false">MAX(AG170,AH170)</f>
        <v>0</v>
      </c>
      <c r="AQ170" s="7" t="n">
        <f aca="false">MAX(AI170,AJ170)</f>
        <v>0</v>
      </c>
      <c r="AR170" s="7" t="n">
        <f aca="false">MAX(AK170,AL170)</f>
        <v>0</v>
      </c>
      <c r="AT170" s="7" t="str">
        <f aca="false">IF('KNOWIFY TIME'!B170="","",'KNOWIFY TIME'!B170)</f>
        <v/>
      </c>
      <c r="AU170" s="7" t="n">
        <f aca="false">IF(AT170="",0,IF(ISNUMBER('KNOWIFY TIME'!D170),'KNOWIFY TIME'!D170*24,IFERROR(VALUE(LEFT('KNOWIFY TIME'!D170,FIND(":",'KNOWIFY TIME'!D170)-1))+VALUE(MID('KNOWIFY TIME'!D170,FIND(":",'KNOWIFY TIME'!D170)+1,2))/60,0)))</f>
        <v>0</v>
      </c>
      <c r="AV170" s="7" t="n">
        <f aca="false">N('KNOWIFY TIME'!E170)</f>
        <v>0</v>
      </c>
      <c r="AW170" s="7" t="str">
        <f aca="false">IF(AT170="","",IFERROR(INDEX($BD$5:$BD$60,MATCH(AT170,$BC$5:$BC$60,0)),"Unmapped"))</f>
        <v/>
      </c>
    </row>
    <row r="171" customFormat="false" ht="15" hidden="false" customHeight="false" outlineLevel="0" collapsed="false">
      <c r="AA171" s="7" t="str">
        <f aca="false">IF('KNOWIFY PHASES'!A171="","",'KNOWIFY PHASES'!A171)</f>
        <v/>
      </c>
      <c r="AB171" s="7" t="str">
        <f aca="false">IF(AA171="","",IF(LEFT(AA171,4)="P - ","P",IF(LEFT(AA171,4)="H - ","H",IF(LEFT(AA171,5)="AC - ","AC",IF(OR(LEFT(AA171,4)="V - ",LEFT(AA171,7)="HVAC - "),"V","Other")))))</f>
        <v/>
      </c>
      <c r="AC171" s="7" t="str">
        <f aca="false">IF(AA171="","",IFERROR(LOOKUP(2,1/(($AZ$5:$AZ$60&lt;&gt;"")*ISNUMBER(SEARCH($AZ$5:$AZ$60,AA171))),$BA$5:$BA$60),IF(AB171="Other","Excluded","Unmapped")))</f>
        <v/>
      </c>
      <c r="AD171" s="7" t="str">
        <f aca="false">IF(AA171="","",IF(AND(AB171&lt;&gt;"Other",OR(AND('KNOWIFY PHASES'!B171="Closed",N('KNOWIFY PHASES'!D171)&gt;=0.5),N('KNOWIFY PHASES'!D171)&gt;=1)),1,0))</f>
        <v/>
      </c>
      <c r="AE171" s="7" t="n">
        <f aca="false">N('KNOWIFY PHASES'!L171)</f>
        <v>0</v>
      </c>
      <c r="AF171" s="7" t="n">
        <f aca="false">N('KNOWIFY PHASES'!K171)</f>
        <v>0</v>
      </c>
      <c r="AG171" s="7" t="n">
        <f aca="false">N('KNOWIFY PHASES'!I171)</f>
        <v>0</v>
      </c>
      <c r="AH171" s="7" t="n">
        <f aca="false">N('KNOWIFY PHASES'!H171)</f>
        <v>0</v>
      </c>
      <c r="AI171" s="7" t="n">
        <f aca="false">N('KNOWIFY PHASES'!O171)</f>
        <v>0</v>
      </c>
      <c r="AJ171" s="7" t="n">
        <f aca="false">N('KNOWIFY PHASES'!N171)</f>
        <v>0</v>
      </c>
      <c r="AK171" s="7" t="n">
        <f aca="false">N('KNOWIFY PHASES'!R171)</f>
        <v>0</v>
      </c>
      <c r="AL171" s="7" t="n">
        <f aca="false">N('KNOWIFY PHASES'!Q171)</f>
        <v>0</v>
      </c>
      <c r="AM171" s="7" t="n">
        <f aca="false">N('KNOWIFY PHASES'!F171)</f>
        <v>0</v>
      </c>
      <c r="AN171" s="7" t="n">
        <f aca="false">N('KNOWIFY PHASES'!E171)</f>
        <v>0</v>
      </c>
      <c r="AO171" s="7" t="n">
        <f aca="false">MAX(AE171,AF171)</f>
        <v>0</v>
      </c>
      <c r="AP171" s="7" t="n">
        <f aca="false">MAX(AG171,AH171)</f>
        <v>0</v>
      </c>
      <c r="AQ171" s="7" t="n">
        <f aca="false">MAX(AI171,AJ171)</f>
        <v>0</v>
      </c>
      <c r="AR171" s="7" t="n">
        <f aca="false">MAX(AK171,AL171)</f>
        <v>0</v>
      </c>
      <c r="AT171" s="7" t="str">
        <f aca="false">IF('KNOWIFY TIME'!B171="","",'KNOWIFY TIME'!B171)</f>
        <v/>
      </c>
      <c r="AU171" s="7" t="n">
        <f aca="false">IF(AT171="",0,IF(ISNUMBER('KNOWIFY TIME'!D171),'KNOWIFY TIME'!D171*24,IFERROR(VALUE(LEFT('KNOWIFY TIME'!D171,FIND(":",'KNOWIFY TIME'!D171)-1))+VALUE(MID('KNOWIFY TIME'!D171,FIND(":",'KNOWIFY TIME'!D171)+1,2))/60,0)))</f>
        <v>0</v>
      </c>
      <c r="AV171" s="7" t="n">
        <f aca="false">N('KNOWIFY TIME'!E171)</f>
        <v>0</v>
      </c>
      <c r="AW171" s="7" t="str">
        <f aca="false">IF(AT171="","",IFERROR(INDEX($BD$5:$BD$60,MATCH(AT171,$BC$5:$BC$60,0)),"Unmapped"))</f>
        <v/>
      </c>
    </row>
    <row r="172" customFormat="false" ht="15" hidden="false" customHeight="false" outlineLevel="0" collapsed="false">
      <c r="AA172" s="7" t="str">
        <f aca="false">IF('KNOWIFY PHASES'!A172="","",'KNOWIFY PHASES'!A172)</f>
        <v/>
      </c>
      <c r="AB172" s="7" t="str">
        <f aca="false">IF(AA172="","",IF(LEFT(AA172,4)="P - ","P",IF(LEFT(AA172,4)="H - ","H",IF(LEFT(AA172,5)="AC - ","AC",IF(OR(LEFT(AA172,4)="V - ",LEFT(AA172,7)="HVAC - "),"V","Other")))))</f>
        <v/>
      </c>
      <c r="AC172" s="7" t="str">
        <f aca="false">IF(AA172="","",IFERROR(LOOKUP(2,1/(($AZ$5:$AZ$60&lt;&gt;"")*ISNUMBER(SEARCH($AZ$5:$AZ$60,AA172))),$BA$5:$BA$60),IF(AB172="Other","Excluded","Unmapped")))</f>
        <v/>
      </c>
      <c r="AD172" s="7" t="str">
        <f aca="false">IF(AA172="","",IF(AND(AB172&lt;&gt;"Other",OR(AND('KNOWIFY PHASES'!B172="Closed",N('KNOWIFY PHASES'!D172)&gt;=0.5),N('KNOWIFY PHASES'!D172)&gt;=1)),1,0))</f>
        <v/>
      </c>
      <c r="AE172" s="7" t="n">
        <f aca="false">N('KNOWIFY PHASES'!L172)</f>
        <v>0</v>
      </c>
      <c r="AF172" s="7" t="n">
        <f aca="false">N('KNOWIFY PHASES'!K172)</f>
        <v>0</v>
      </c>
      <c r="AG172" s="7" t="n">
        <f aca="false">N('KNOWIFY PHASES'!I172)</f>
        <v>0</v>
      </c>
      <c r="AH172" s="7" t="n">
        <f aca="false">N('KNOWIFY PHASES'!H172)</f>
        <v>0</v>
      </c>
      <c r="AI172" s="7" t="n">
        <f aca="false">N('KNOWIFY PHASES'!O172)</f>
        <v>0</v>
      </c>
      <c r="AJ172" s="7" t="n">
        <f aca="false">N('KNOWIFY PHASES'!N172)</f>
        <v>0</v>
      </c>
      <c r="AK172" s="7" t="n">
        <f aca="false">N('KNOWIFY PHASES'!R172)</f>
        <v>0</v>
      </c>
      <c r="AL172" s="7" t="n">
        <f aca="false">N('KNOWIFY PHASES'!Q172)</f>
        <v>0</v>
      </c>
      <c r="AM172" s="7" t="n">
        <f aca="false">N('KNOWIFY PHASES'!F172)</f>
        <v>0</v>
      </c>
      <c r="AN172" s="7" t="n">
        <f aca="false">N('KNOWIFY PHASES'!E172)</f>
        <v>0</v>
      </c>
      <c r="AO172" s="7" t="n">
        <f aca="false">MAX(AE172,AF172)</f>
        <v>0</v>
      </c>
      <c r="AP172" s="7" t="n">
        <f aca="false">MAX(AG172,AH172)</f>
        <v>0</v>
      </c>
      <c r="AQ172" s="7" t="n">
        <f aca="false">MAX(AI172,AJ172)</f>
        <v>0</v>
      </c>
      <c r="AR172" s="7" t="n">
        <f aca="false">MAX(AK172,AL172)</f>
        <v>0</v>
      </c>
      <c r="AT172" s="7" t="str">
        <f aca="false">IF('KNOWIFY TIME'!B172="","",'KNOWIFY TIME'!B172)</f>
        <v/>
      </c>
      <c r="AU172" s="7" t="n">
        <f aca="false">IF(AT172="",0,IF(ISNUMBER('KNOWIFY TIME'!D172),'KNOWIFY TIME'!D172*24,IFERROR(VALUE(LEFT('KNOWIFY TIME'!D172,FIND(":",'KNOWIFY TIME'!D172)-1))+VALUE(MID('KNOWIFY TIME'!D172,FIND(":",'KNOWIFY TIME'!D172)+1,2))/60,0)))</f>
        <v>0</v>
      </c>
      <c r="AV172" s="7" t="n">
        <f aca="false">N('KNOWIFY TIME'!E172)</f>
        <v>0</v>
      </c>
      <c r="AW172" s="7" t="str">
        <f aca="false">IF(AT172="","",IFERROR(INDEX($BD$5:$BD$60,MATCH(AT172,$BC$5:$BC$60,0)),"Unmapped"))</f>
        <v/>
      </c>
    </row>
    <row r="173" customFormat="false" ht="15" hidden="false" customHeight="false" outlineLevel="0" collapsed="false">
      <c r="AA173" s="7" t="str">
        <f aca="false">IF('KNOWIFY PHASES'!A173="","",'KNOWIFY PHASES'!A173)</f>
        <v/>
      </c>
      <c r="AB173" s="7" t="str">
        <f aca="false">IF(AA173="","",IF(LEFT(AA173,4)="P - ","P",IF(LEFT(AA173,4)="H - ","H",IF(LEFT(AA173,5)="AC - ","AC",IF(OR(LEFT(AA173,4)="V - ",LEFT(AA173,7)="HVAC - "),"V","Other")))))</f>
        <v/>
      </c>
      <c r="AC173" s="7" t="str">
        <f aca="false">IF(AA173="","",IFERROR(LOOKUP(2,1/(($AZ$5:$AZ$60&lt;&gt;"")*ISNUMBER(SEARCH($AZ$5:$AZ$60,AA173))),$BA$5:$BA$60),IF(AB173="Other","Excluded","Unmapped")))</f>
        <v/>
      </c>
      <c r="AD173" s="7" t="str">
        <f aca="false">IF(AA173="","",IF(AND(AB173&lt;&gt;"Other",OR(AND('KNOWIFY PHASES'!B173="Closed",N('KNOWIFY PHASES'!D173)&gt;=0.5),N('KNOWIFY PHASES'!D173)&gt;=1)),1,0))</f>
        <v/>
      </c>
      <c r="AE173" s="7" t="n">
        <f aca="false">N('KNOWIFY PHASES'!L173)</f>
        <v>0</v>
      </c>
      <c r="AF173" s="7" t="n">
        <f aca="false">N('KNOWIFY PHASES'!K173)</f>
        <v>0</v>
      </c>
      <c r="AG173" s="7" t="n">
        <f aca="false">N('KNOWIFY PHASES'!I173)</f>
        <v>0</v>
      </c>
      <c r="AH173" s="7" t="n">
        <f aca="false">N('KNOWIFY PHASES'!H173)</f>
        <v>0</v>
      </c>
      <c r="AI173" s="7" t="n">
        <f aca="false">N('KNOWIFY PHASES'!O173)</f>
        <v>0</v>
      </c>
      <c r="AJ173" s="7" t="n">
        <f aca="false">N('KNOWIFY PHASES'!N173)</f>
        <v>0</v>
      </c>
      <c r="AK173" s="7" t="n">
        <f aca="false">N('KNOWIFY PHASES'!R173)</f>
        <v>0</v>
      </c>
      <c r="AL173" s="7" t="n">
        <f aca="false">N('KNOWIFY PHASES'!Q173)</f>
        <v>0</v>
      </c>
      <c r="AM173" s="7" t="n">
        <f aca="false">N('KNOWIFY PHASES'!F173)</f>
        <v>0</v>
      </c>
      <c r="AN173" s="7" t="n">
        <f aca="false">N('KNOWIFY PHASES'!E173)</f>
        <v>0</v>
      </c>
      <c r="AO173" s="7" t="n">
        <f aca="false">MAX(AE173,AF173)</f>
        <v>0</v>
      </c>
      <c r="AP173" s="7" t="n">
        <f aca="false">MAX(AG173,AH173)</f>
        <v>0</v>
      </c>
      <c r="AQ173" s="7" t="n">
        <f aca="false">MAX(AI173,AJ173)</f>
        <v>0</v>
      </c>
      <c r="AR173" s="7" t="n">
        <f aca="false">MAX(AK173,AL173)</f>
        <v>0</v>
      </c>
      <c r="AT173" s="7" t="str">
        <f aca="false">IF('KNOWIFY TIME'!B173="","",'KNOWIFY TIME'!B173)</f>
        <v/>
      </c>
      <c r="AU173" s="7" t="n">
        <f aca="false">IF(AT173="",0,IF(ISNUMBER('KNOWIFY TIME'!D173),'KNOWIFY TIME'!D173*24,IFERROR(VALUE(LEFT('KNOWIFY TIME'!D173,FIND(":",'KNOWIFY TIME'!D173)-1))+VALUE(MID('KNOWIFY TIME'!D173,FIND(":",'KNOWIFY TIME'!D173)+1,2))/60,0)))</f>
        <v>0</v>
      </c>
      <c r="AV173" s="7" t="n">
        <f aca="false">N('KNOWIFY TIME'!E173)</f>
        <v>0</v>
      </c>
      <c r="AW173" s="7" t="str">
        <f aca="false">IF(AT173="","",IFERROR(INDEX($BD$5:$BD$60,MATCH(AT173,$BC$5:$BC$60,0)),"Unmapped"))</f>
        <v/>
      </c>
    </row>
    <row r="174" customFormat="false" ht="15" hidden="false" customHeight="false" outlineLevel="0" collapsed="false">
      <c r="AA174" s="7" t="str">
        <f aca="false">IF('KNOWIFY PHASES'!A174="","",'KNOWIFY PHASES'!A174)</f>
        <v/>
      </c>
      <c r="AB174" s="7" t="str">
        <f aca="false">IF(AA174="","",IF(LEFT(AA174,4)="P - ","P",IF(LEFT(AA174,4)="H - ","H",IF(LEFT(AA174,5)="AC - ","AC",IF(OR(LEFT(AA174,4)="V - ",LEFT(AA174,7)="HVAC - "),"V","Other")))))</f>
        <v/>
      </c>
      <c r="AC174" s="7" t="str">
        <f aca="false">IF(AA174="","",IFERROR(LOOKUP(2,1/(($AZ$5:$AZ$60&lt;&gt;"")*ISNUMBER(SEARCH($AZ$5:$AZ$60,AA174))),$BA$5:$BA$60),IF(AB174="Other","Excluded","Unmapped")))</f>
        <v/>
      </c>
      <c r="AD174" s="7" t="str">
        <f aca="false">IF(AA174="","",IF(AND(AB174&lt;&gt;"Other",OR(AND('KNOWIFY PHASES'!B174="Closed",N('KNOWIFY PHASES'!D174)&gt;=0.5),N('KNOWIFY PHASES'!D174)&gt;=1)),1,0))</f>
        <v/>
      </c>
      <c r="AE174" s="7" t="n">
        <f aca="false">N('KNOWIFY PHASES'!L174)</f>
        <v>0</v>
      </c>
      <c r="AF174" s="7" t="n">
        <f aca="false">N('KNOWIFY PHASES'!K174)</f>
        <v>0</v>
      </c>
      <c r="AG174" s="7" t="n">
        <f aca="false">N('KNOWIFY PHASES'!I174)</f>
        <v>0</v>
      </c>
      <c r="AH174" s="7" t="n">
        <f aca="false">N('KNOWIFY PHASES'!H174)</f>
        <v>0</v>
      </c>
      <c r="AI174" s="7" t="n">
        <f aca="false">N('KNOWIFY PHASES'!O174)</f>
        <v>0</v>
      </c>
      <c r="AJ174" s="7" t="n">
        <f aca="false">N('KNOWIFY PHASES'!N174)</f>
        <v>0</v>
      </c>
      <c r="AK174" s="7" t="n">
        <f aca="false">N('KNOWIFY PHASES'!R174)</f>
        <v>0</v>
      </c>
      <c r="AL174" s="7" t="n">
        <f aca="false">N('KNOWIFY PHASES'!Q174)</f>
        <v>0</v>
      </c>
      <c r="AM174" s="7" t="n">
        <f aca="false">N('KNOWIFY PHASES'!F174)</f>
        <v>0</v>
      </c>
      <c r="AN174" s="7" t="n">
        <f aca="false">N('KNOWIFY PHASES'!E174)</f>
        <v>0</v>
      </c>
      <c r="AO174" s="7" t="n">
        <f aca="false">MAX(AE174,AF174)</f>
        <v>0</v>
      </c>
      <c r="AP174" s="7" t="n">
        <f aca="false">MAX(AG174,AH174)</f>
        <v>0</v>
      </c>
      <c r="AQ174" s="7" t="n">
        <f aca="false">MAX(AI174,AJ174)</f>
        <v>0</v>
      </c>
      <c r="AR174" s="7" t="n">
        <f aca="false">MAX(AK174,AL174)</f>
        <v>0</v>
      </c>
      <c r="AT174" s="7" t="str">
        <f aca="false">IF('KNOWIFY TIME'!B174="","",'KNOWIFY TIME'!B174)</f>
        <v/>
      </c>
      <c r="AU174" s="7" t="n">
        <f aca="false">IF(AT174="",0,IF(ISNUMBER('KNOWIFY TIME'!D174),'KNOWIFY TIME'!D174*24,IFERROR(VALUE(LEFT('KNOWIFY TIME'!D174,FIND(":",'KNOWIFY TIME'!D174)-1))+VALUE(MID('KNOWIFY TIME'!D174,FIND(":",'KNOWIFY TIME'!D174)+1,2))/60,0)))</f>
        <v>0</v>
      </c>
      <c r="AV174" s="7" t="n">
        <f aca="false">N('KNOWIFY TIME'!E174)</f>
        <v>0</v>
      </c>
      <c r="AW174" s="7" t="str">
        <f aca="false">IF(AT174="","",IFERROR(INDEX($BD$5:$BD$60,MATCH(AT174,$BC$5:$BC$60,0)),"Unmapped"))</f>
        <v/>
      </c>
    </row>
    <row r="175" customFormat="false" ht="15" hidden="false" customHeight="false" outlineLevel="0" collapsed="false">
      <c r="AA175" s="7" t="str">
        <f aca="false">IF('KNOWIFY PHASES'!A175="","",'KNOWIFY PHASES'!A175)</f>
        <v/>
      </c>
      <c r="AB175" s="7" t="str">
        <f aca="false">IF(AA175="","",IF(LEFT(AA175,4)="P - ","P",IF(LEFT(AA175,4)="H - ","H",IF(LEFT(AA175,5)="AC - ","AC",IF(OR(LEFT(AA175,4)="V - ",LEFT(AA175,7)="HVAC - "),"V","Other")))))</f>
        <v/>
      </c>
      <c r="AC175" s="7" t="str">
        <f aca="false">IF(AA175="","",IFERROR(LOOKUP(2,1/(($AZ$5:$AZ$60&lt;&gt;"")*ISNUMBER(SEARCH($AZ$5:$AZ$60,AA175))),$BA$5:$BA$60),IF(AB175="Other","Excluded","Unmapped")))</f>
        <v/>
      </c>
      <c r="AD175" s="7" t="str">
        <f aca="false">IF(AA175="","",IF(AND(AB175&lt;&gt;"Other",OR(AND('KNOWIFY PHASES'!B175="Closed",N('KNOWIFY PHASES'!D175)&gt;=0.5),N('KNOWIFY PHASES'!D175)&gt;=1)),1,0))</f>
        <v/>
      </c>
      <c r="AE175" s="7" t="n">
        <f aca="false">N('KNOWIFY PHASES'!L175)</f>
        <v>0</v>
      </c>
      <c r="AF175" s="7" t="n">
        <f aca="false">N('KNOWIFY PHASES'!K175)</f>
        <v>0</v>
      </c>
      <c r="AG175" s="7" t="n">
        <f aca="false">N('KNOWIFY PHASES'!I175)</f>
        <v>0</v>
      </c>
      <c r="AH175" s="7" t="n">
        <f aca="false">N('KNOWIFY PHASES'!H175)</f>
        <v>0</v>
      </c>
      <c r="AI175" s="7" t="n">
        <f aca="false">N('KNOWIFY PHASES'!O175)</f>
        <v>0</v>
      </c>
      <c r="AJ175" s="7" t="n">
        <f aca="false">N('KNOWIFY PHASES'!N175)</f>
        <v>0</v>
      </c>
      <c r="AK175" s="7" t="n">
        <f aca="false">N('KNOWIFY PHASES'!R175)</f>
        <v>0</v>
      </c>
      <c r="AL175" s="7" t="n">
        <f aca="false">N('KNOWIFY PHASES'!Q175)</f>
        <v>0</v>
      </c>
      <c r="AM175" s="7" t="n">
        <f aca="false">N('KNOWIFY PHASES'!F175)</f>
        <v>0</v>
      </c>
      <c r="AN175" s="7" t="n">
        <f aca="false">N('KNOWIFY PHASES'!E175)</f>
        <v>0</v>
      </c>
      <c r="AO175" s="7" t="n">
        <f aca="false">MAX(AE175,AF175)</f>
        <v>0</v>
      </c>
      <c r="AP175" s="7" t="n">
        <f aca="false">MAX(AG175,AH175)</f>
        <v>0</v>
      </c>
      <c r="AQ175" s="7" t="n">
        <f aca="false">MAX(AI175,AJ175)</f>
        <v>0</v>
      </c>
      <c r="AR175" s="7" t="n">
        <f aca="false">MAX(AK175,AL175)</f>
        <v>0</v>
      </c>
      <c r="AT175" s="7" t="str">
        <f aca="false">IF('KNOWIFY TIME'!B175="","",'KNOWIFY TIME'!B175)</f>
        <v/>
      </c>
      <c r="AU175" s="7" t="n">
        <f aca="false">IF(AT175="",0,IF(ISNUMBER('KNOWIFY TIME'!D175),'KNOWIFY TIME'!D175*24,IFERROR(VALUE(LEFT('KNOWIFY TIME'!D175,FIND(":",'KNOWIFY TIME'!D175)-1))+VALUE(MID('KNOWIFY TIME'!D175,FIND(":",'KNOWIFY TIME'!D175)+1,2))/60,0)))</f>
        <v>0</v>
      </c>
      <c r="AV175" s="7" t="n">
        <f aca="false">N('KNOWIFY TIME'!E175)</f>
        <v>0</v>
      </c>
      <c r="AW175" s="7" t="str">
        <f aca="false">IF(AT175="","",IFERROR(INDEX($BD$5:$BD$60,MATCH(AT175,$BC$5:$BC$60,0)),"Unmapped"))</f>
        <v/>
      </c>
    </row>
    <row r="176" customFormat="false" ht="15" hidden="false" customHeight="false" outlineLevel="0" collapsed="false">
      <c r="AA176" s="7" t="str">
        <f aca="false">IF('KNOWIFY PHASES'!A176="","",'KNOWIFY PHASES'!A176)</f>
        <v/>
      </c>
      <c r="AB176" s="7" t="str">
        <f aca="false">IF(AA176="","",IF(LEFT(AA176,4)="P - ","P",IF(LEFT(AA176,4)="H - ","H",IF(LEFT(AA176,5)="AC - ","AC",IF(OR(LEFT(AA176,4)="V - ",LEFT(AA176,7)="HVAC - "),"V","Other")))))</f>
        <v/>
      </c>
      <c r="AC176" s="7" t="str">
        <f aca="false">IF(AA176="","",IFERROR(LOOKUP(2,1/(($AZ$5:$AZ$60&lt;&gt;"")*ISNUMBER(SEARCH($AZ$5:$AZ$60,AA176))),$BA$5:$BA$60),IF(AB176="Other","Excluded","Unmapped")))</f>
        <v/>
      </c>
      <c r="AD176" s="7" t="str">
        <f aca="false">IF(AA176="","",IF(AND(AB176&lt;&gt;"Other",OR(AND('KNOWIFY PHASES'!B176="Closed",N('KNOWIFY PHASES'!D176)&gt;=0.5),N('KNOWIFY PHASES'!D176)&gt;=1)),1,0))</f>
        <v/>
      </c>
      <c r="AE176" s="7" t="n">
        <f aca="false">N('KNOWIFY PHASES'!L176)</f>
        <v>0</v>
      </c>
      <c r="AF176" s="7" t="n">
        <f aca="false">N('KNOWIFY PHASES'!K176)</f>
        <v>0</v>
      </c>
      <c r="AG176" s="7" t="n">
        <f aca="false">N('KNOWIFY PHASES'!I176)</f>
        <v>0</v>
      </c>
      <c r="AH176" s="7" t="n">
        <f aca="false">N('KNOWIFY PHASES'!H176)</f>
        <v>0</v>
      </c>
      <c r="AI176" s="7" t="n">
        <f aca="false">N('KNOWIFY PHASES'!O176)</f>
        <v>0</v>
      </c>
      <c r="AJ176" s="7" t="n">
        <f aca="false">N('KNOWIFY PHASES'!N176)</f>
        <v>0</v>
      </c>
      <c r="AK176" s="7" t="n">
        <f aca="false">N('KNOWIFY PHASES'!R176)</f>
        <v>0</v>
      </c>
      <c r="AL176" s="7" t="n">
        <f aca="false">N('KNOWIFY PHASES'!Q176)</f>
        <v>0</v>
      </c>
      <c r="AM176" s="7" t="n">
        <f aca="false">N('KNOWIFY PHASES'!F176)</f>
        <v>0</v>
      </c>
      <c r="AN176" s="7" t="n">
        <f aca="false">N('KNOWIFY PHASES'!E176)</f>
        <v>0</v>
      </c>
      <c r="AO176" s="7" t="n">
        <f aca="false">MAX(AE176,AF176)</f>
        <v>0</v>
      </c>
      <c r="AP176" s="7" t="n">
        <f aca="false">MAX(AG176,AH176)</f>
        <v>0</v>
      </c>
      <c r="AQ176" s="7" t="n">
        <f aca="false">MAX(AI176,AJ176)</f>
        <v>0</v>
      </c>
      <c r="AR176" s="7" t="n">
        <f aca="false">MAX(AK176,AL176)</f>
        <v>0</v>
      </c>
      <c r="AT176" s="7" t="str">
        <f aca="false">IF('KNOWIFY TIME'!B176="","",'KNOWIFY TIME'!B176)</f>
        <v/>
      </c>
      <c r="AU176" s="7" t="n">
        <f aca="false">IF(AT176="",0,IF(ISNUMBER('KNOWIFY TIME'!D176),'KNOWIFY TIME'!D176*24,IFERROR(VALUE(LEFT('KNOWIFY TIME'!D176,FIND(":",'KNOWIFY TIME'!D176)-1))+VALUE(MID('KNOWIFY TIME'!D176,FIND(":",'KNOWIFY TIME'!D176)+1,2))/60,0)))</f>
        <v>0</v>
      </c>
      <c r="AV176" s="7" t="n">
        <f aca="false">N('KNOWIFY TIME'!E176)</f>
        <v>0</v>
      </c>
      <c r="AW176" s="7" t="str">
        <f aca="false">IF(AT176="","",IFERROR(INDEX($BD$5:$BD$60,MATCH(AT176,$BC$5:$BC$60,0)),"Unmapped"))</f>
        <v/>
      </c>
    </row>
    <row r="177" customFormat="false" ht="15" hidden="false" customHeight="false" outlineLevel="0" collapsed="false">
      <c r="AA177" s="7" t="str">
        <f aca="false">IF('KNOWIFY PHASES'!A177="","",'KNOWIFY PHASES'!A177)</f>
        <v/>
      </c>
      <c r="AB177" s="7" t="str">
        <f aca="false">IF(AA177="","",IF(LEFT(AA177,4)="P - ","P",IF(LEFT(AA177,4)="H - ","H",IF(LEFT(AA177,5)="AC - ","AC",IF(OR(LEFT(AA177,4)="V - ",LEFT(AA177,7)="HVAC - "),"V","Other")))))</f>
        <v/>
      </c>
      <c r="AC177" s="7" t="str">
        <f aca="false">IF(AA177="","",IFERROR(LOOKUP(2,1/(($AZ$5:$AZ$60&lt;&gt;"")*ISNUMBER(SEARCH($AZ$5:$AZ$60,AA177))),$BA$5:$BA$60),IF(AB177="Other","Excluded","Unmapped")))</f>
        <v/>
      </c>
      <c r="AD177" s="7" t="str">
        <f aca="false">IF(AA177="","",IF(AND(AB177&lt;&gt;"Other",OR(AND('KNOWIFY PHASES'!B177="Closed",N('KNOWIFY PHASES'!D177)&gt;=0.5),N('KNOWIFY PHASES'!D177)&gt;=1)),1,0))</f>
        <v/>
      </c>
      <c r="AE177" s="7" t="n">
        <f aca="false">N('KNOWIFY PHASES'!L177)</f>
        <v>0</v>
      </c>
      <c r="AF177" s="7" t="n">
        <f aca="false">N('KNOWIFY PHASES'!K177)</f>
        <v>0</v>
      </c>
      <c r="AG177" s="7" t="n">
        <f aca="false">N('KNOWIFY PHASES'!I177)</f>
        <v>0</v>
      </c>
      <c r="AH177" s="7" t="n">
        <f aca="false">N('KNOWIFY PHASES'!H177)</f>
        <v>0</v>
      </c>
      <c r="AI177" s="7" t="n">
        <f aca="false">N('KNOWIFY PHASES'!O177)</f>
        <v>0</v>
      </c>
      <c r="AJ177" s="7" t="n">
        <f aca="false">N('KNOWIFY PHASES'!N177)</f>
        <v>0</v>
      </c>
      <c r="AK177" s="7" t="n">
        <f aca="false">N('KNOWIFY PHASES'!R177)</f>
        <v>0</v>
      </c>
      <c r="AL177" s="7" t="n">
        <f aca="false">N('KNOWIFY PHASES'!Q177)</f>
        <v>0</v>
      </c>
      <c r="AM177" s="7" t="n">
        <f aca="false">N('KNOWIFY PHASES'!F177)</f>
        <v>0</v>
      </c>
      <c r="AN177" s="7" t="n">
        <f aca="false">N('KNOWIFY PHASES'!E177)</f>
        <v>0</v>
      </c>
      <c r="AO177" s="7" t="n">
        <f aca="false">MAX(AE177,AF177)</f>
        <v>0</v>
      </c>
      <c r="AP177" s="7" t="n">
        <f aca="false">MAX(AG177,AH177)</f>
        <v>0</v>
      </c>
      <c r="AQ177" s="7" t="n">
        <f aca="false">MAX(AI177,AJ177)</f>
        <v>0</v>
      </c>
      <c r="AR177" s="7" t="n">
        <f aca="false">MAX(AK177,AL177)</f>
        <v>0</v>
      </c>
      <c r="AT177" s="7" t="str">
        <f aca="false">IF('KNOWIFY TIME'!B177="","",'KNOWIFY TIME'!B177)</f>
        <v/>
      </c>
      <c r="AU177" s="7" t="n">
        <f aca="false">IF(AT177="",0,IF(ISNUMBER('KNOWIFY TIME'!D177),'KNOWIFY TIME'!D177*24,IFERROR(VALUE(LEFT('KNOWIFY TIME'!D177,FIND(":",'KNOWIFY TIME'!D177)-1))+VALUE(MID('KNOWIFY TIME'!D177,FIND(":",'KNOWIFY TIME'!D177)+1,2))/60,0)))</f>
        <v>0</v>
      </c>
      <c r="AV177" s="7" t="n">
        <f aca="false">N('KNOWIFY TIME'!E177)</f>
        <v>0</v>
      </c>
      <c r="AW177" s="7" t="str">
        <f aca="false">IF(AT177="","",IFERROR(INDEX($BD$5:$BD$60,MATCH(AT177,$BC$5:$BC$60,0)),"Unmapped"))</f>
        <v/>
      </c>
    </row>
    <row r="178" customFormat="false" ht="15" hidden="false" customHeight="false" outlineLevel="0" collapsed="false">
      <c r="AA178" s="7" t="str">
        <f aca="false">IF('KNOWIFY PHASES'!A178="","",'KNOWIFY PHASES'!A178)</f>
        <v/>
      </c>
      <c r="AB178" s="7" t="str">
        <f aca="false">IF(AA178="","",IF(LEFT(AA178,4)="P - ","P",IF(LEFT(AA178,4)="H - ","H",IF(LEFT(AA178,5)="AC - ","AC",IF(OR(LEFT(AA178,4)="V - ",LEFT(AA178,7)="HVAC - "),"V","Other")))))</f>
        <v/>
      </c>
      <c r="AC178" s="7" t="str">
        <f aca="false">IF(AA178="","",IFERROR(LOOKUP(2,1/(($AZ$5:$AZ$60&lt;&gt;"")*ISNUMBER(SEARCH($AZ$5:$AZ$60,AA178))),$BA$5:$BA$60),IF(AB178="Other","Excluded","Unmapped")))</f>
        <v/>
      </c>
      <c r="AD178" s="7" t="str">
        <f aca="false">IF(AA178="","",IF(AND(AB178&lt;&gt;"Other",OR(AND('KNOWIFY PHASES'!B178="Closed",N('KNOWIFY PHASES'!D178)&gt;=0.5),N('KNOWIFY PHASES'!D178)&gt;=1)),1,0))</f>
        <v/>
      </c>
      <c r="AE178" s="7" t="n">
        <f aca="false">N('KNOWIFY PHASES'!L178)</f>
        <v>0</v>
      </c>
      <c r="AF178" s="7" t="n">
        <f aca="false">N('KNOWIFY PHASES'!K178)</f>
        <v>0</v>
      </c>
      <c r="AG178" s="7" t="n">
        <f aca="false">N('KNOWIFY PHASES'!I178)</f>
        <v>0</v>
      </c>
      <c r="AH178" s="7" t="n">
        <f aca="false">N('KNOWIFY PHASES'!H178)</f>
        <v>0</v>
      </c>
      <c r="AI178" s="7" t="n">
        <f aca="false">N('KNOWIFY PHASES'!O178)</f>
        <v>0</v>
      </c>
      <c r="AJ178" s="7" t="n">
        <f aca="false">N('KNOWIFY PHASES'!N178)</f>
        <v>0</v>
      </c>
      <c r="AK178" s="7" t="n">
        <f aca="false">N('KNOWIFY PHASES'!R178)</f>
        <v>0</v>
      </c>
      <c r="AL178" s="7" t="n">
        <f aca="false">N('KNOWIFY PHASES'!Q178)</f>
        <v>0</v>
      </c>
      <c r="AM178" s="7" t="n">
        <f aca="false">N('KNOWIFY PHASES'!F178)</f>
        <v>0</v>
      </c>
      <c r="AN178" s="7" t="n">
        <f aca="false">N('KNOWIFY PHASES'!E178)</f>
        <v>0</v>
      </c>
      <c r="AO178" s="7" t="n">
        <f aca="false">MAX(AE178,AF178)</f>
        <v>0</v>
      </c>
      <c r="AP178" s="7" t="n">
        <f aca="false">MAX(AG178,AH178)</f>
        <v>0</v>
      </c>
      <c r="AQ178" s="7" t="n">
        <f aca="false">MAX(AI178,AJ178)</f>
        <v>0</v>
      </c>
      <c r="AR178" s="7" t="n">
        <f aca="false">MAX(AK178,AL178)</f>
        <v>0</v>
      </c>
      <c r="AT178" s="7" t="str">
        <f aca="false">IF('KNOWIFY TIME'!B178="","",'KNOWIFY TIME'!B178)</f>
        <v/>
      </c>
      <c r="AU178" s="7" t="n">
        <f aca="false">IF(AT178="",0,IF(ISNUMBER('KNOWIFY TIME'!D178),'KNOWIFY TIME'!D178*24,IFERROR(VALUE(LEFT('KNOWIFY TIME'!D178,FIND(":",'KNOWIFY TIME'!D178)-1))+VALUE(MID('KNOWIFY TIME'!D178,FIND(":",'KNOWIFY TIME'!D178)+1,2))/60,0)))</f>
        <v>0</v>
      </c>
      <c r="AV178" s="7" t="n">
        <f aca="false">N('KNOWIFY TIME'!E178)</f>
        <v>0</v>
      </c>
      <c r="AW178" s="7" t="str">
        <f aca="false">IF(AT178="","",IFERROR(INDEX($BD$5:$BD$60,MATCH(AT178,$BC$5:$BC$60,0)),"Unmapped"))</f>
        <v/>
      </c>
    </row>
    <row r="179" customFormat="false" ht="15" hidden="false" customHeight="false" outlineLevel="0" collapsed="false">
      <c r="AA179" s="7" t="str">
        <f aca="false">IF('KNOWIFY PHASES'!A179="","",'KNOWIFY PHASES'!A179)</f>
        <v/>
      </c>
      <c r="AB179" s="7" t="str">
        <f aca="false">IF(AA179="","",IF(LEFT(AA179,4)="P - ","P",IF(LEFT(AA179,4)="H - ","H",IF(LEFT(AA179,5)="AC - ","AC",IF(OR(LEFT(AA179,4)="V - ",LEFT(AA179,7)="HVAC - "),"V","Other")))))</f>
        <v/>
      </c>
      <c r="AC179" s="7" t="str">
        <f aca="false">IF(AA179="","",IFERROR(LOOKUP(2,1/(($AZ$5:$AZ$60&lt;&gt;"")*ISNUMBER(SEARCH($AZ$5:$AZ$60,AA179))),$BA$5:$BA$60),IF(AB179="Other","Excluded","Unmapped")))</f>
        <v/>
      </c>
      <c r="AD179" s="7" t="str">
        <f aca="false">IF(AA179="","",IF(AND(AB179&lt;&gt;"Other",OR(AND('KNOWIFY PHASES'!B179="Closed",N('KNOWIFY PHASES'!D179)&gt;=0.5),N('KNOWIFY PHASES'!D179)&gt;=1)),1,0))</f>
        <v/>
      </c>
      <c r="AE179" s="7" t="n">
        <f aca="false">N('KNOWIFY PHASES'!L179)</f>
        <v>0</v>
      </c>
      <c r="AF179" s="7" t="n">
        <f aca="false">N('KNOWIFY PHASES'!K179)</f>
        <v>0</v>
      </c>
      <c r="AG179" s="7" t="n">
        <f aca="false">N('KNOWIFY PHASES'!I179)</f>
        <v>0</v>
      </c>
      <c r="AH179" s="7" t="n">
        <f aca="false">N('KNOWIFY PHASES'!H179)</f>
        <v>0</v>
      </c>
      <c r="AI179" s="7" t="n">
        <f aca="false">N('KNOWIFY PHASES'!O179)</f>
        <v>0</v>
      </c>
      <c r="AJ179" s="7" t="n">
        <f aca="false">N('KNOWIFY PHASES'!N179)</f>
        <v>0</v>
      </c>
      <c r="AK179" s="7" t="n">
        <f aca="false">N('KNOWIFY PHASES'!R179)</f>
        <v>0</v>
      </c>
      <c r="AL179" s="7" t="n">
        <f aca="false">N('KNOWIFY PHASES'!Q179)</f>
        <v>0</v>
      </c>
      <c r="AM179" s="7" t="n">
        <f aca="false">N('KNOWIFY PHASES'!F179)</f>
        <v>0</v>
      </c>
      <c r="AN179" s="7" t="n">
        <f aca="false">N('KNOWIFY PHASES'!E179)</f>
        <v>0</v>
      </c>
      <c r="AO179" s="7" t="n">
        <f aca="false">MAX(AE179,AF179)</f>
        <v>0</v>
      </c>
      <c r="AP179" s="7" t="n">
        <f aca="false">MAX(AG179,AH179)</f>
        <v>0</v>
      </c>
      <c r="AQ179" s="7" t="n">
        <f aca="false">MAX(AI179,AJ179)</f>
        <v>0</v>
      </c>
      <c r="AR179" s="7" t="n">
        <f aca="false">MAX(AK179,AL179)</f>
        <v>0</v>
      </c>
      <c r="AT179" s="7" t="str">
        <f aca="false">IF('KNOWIFY TIME'!B179="","",'KNOWIFY TIME'!B179)</f>
        <v/>
      </c>
      <c r="AU179" s="7" t="n">
        <f aca="false">IF(AT179="",0,IF(ISNUMBER('KNOWIFY TIME'!D179),'KNOWIFY TIME'!D179*24,IFERROR(VALUE(LEFT('KNOWIFY TIME'!D179,FIND(":",'KNOWIFY TIME'!D179)-1))+VALUE(MID('KNOWIFY TIME'!D179,FIND(":",'KNOWIFY TIME'!D179)+1,2))/60,0)))</f>
        <v>0</v>
      </c>
      <c r="AV179" s="7" t="n">
        <f aca="false">N('KNOWIFY TIME'!E179)</f>
        <v>0</v>
      </c>
      <c r="AW179" s="7" t="str">
        <f aca="false">IF(AT179="","",IFERROR(INDEX($BD$5:$BD$60,MATCH(AT179,$BC$5:$BC$60,0)),"Unmapped"))</f>
        <v/>
      </c>
    </row>
    <row r="180" customFormat="false" ht="15" hidden="false" customHeight="false" outlineLevel="0" collapsed="false">
      <c r="AA180" s="7" t="str">
        <f aca="false">IF('KNOWIFY PHASES'!A180="","",'KNOWIFY PHASES'!A180)</f>
        <v/>
      </c>
      <c r="AB180" s="7" t="str">
        <f aca="false">IF(AA180="","",IF(LEFT(AA180,4)="P - ","P",IF(LEFT(AA180,4)="H - ","H",IF(LEFT(AA180,5)="AC - ","AC",IF(OR(LEFT(AA180,4)="V - ",LEFT(AA180,7)="HVAC - "),"V","Other")))))</f>
        <v/>
      </c>
      <c r="AC180" s="7" t="str">
        <f aca="false">IF(AA180="","",IFERROR(LOOKUP(2,1/(($AZ$5:$AZ$60&lt;&gt;"")*ISNUMBER(SEARCH($AZ$5:$AZ$60,AA180))),$BA$5:$BA$60),IF(AB180="Other","Excluded","Unmapped")))</f>
        <v/>
      </c>
      <c r="AD180" s="7" t="str">
        <f aca="false">IF(AA180="","",IF(AND(AB180&lt;&gt;"Other",OR(AND('KNOWIFY PHASES'!B180="Closed",N('KNOWIFY PHASES'!D180)&gt;=0.5),N('KNOWIFY PHASES'!D180)&gt;=1)),1,0))</f>
        <v/>
      </c>
      <c r="AE180" s="7" t="n">
        <f aca="false">N('KNOWIFY PHASES'!L180)</f>
        <v>0</v>
      </c>
      <c r="AF180" s="7" t="n">
        <f aca="false">N('KNOWIFY PHASES'!K180)</f>
        <v>0</v>
      </c>
      <c r="AG180" s="7" t="n">
        <f aca="false">N('KNOWIFY PHASES'!I180)</f>
        <v>0</v>
      </c>
      <c r="AH180" s="7" t="n">
        <f aca="false">N('KNOWIFY PHASES'!H180)</f>
        <v>0</v>
      </c>
      <c r="AI180" s="7" t="n">
        <f aca="false">N('KNOWIFY PHASES'!O180)</f>
        <v>0</v>
      </c>
      <c r="AJ180" s="7" t="n">
        <f aca="false">N('KNOWIFY PHASES'!N180)</f>
        <v>0</v>
      </c>
      <c r="AK180" s="7" t="n">
        <f aca="false">N('KNOWIFY PHASES'!R180)</f>
        <v>0</v>
      </c>
      <c r="AL180" s="7" t="n">
        <f aca="false">N('KNOWIFY PHASES'!Q180)</f>
        <v>0</v>
      </c>
      <c r="AM180" s="7" t="n">
        <f aca="false">N('KNOWIFY PHASES'!F180)</f>
        <v>0</v>
      </c>
      <c r="AN180" s="7" t="n">
        <f aca="false">N('KNOWIFY PHASES'!E180)</f>
        <v>0</v>
      </c>
      <c r="AO180" s="7" t="n">
        <f aca="false">MAX(AE180,AF180)</f>
        <v>0</v>
      </c>
      <c r="AP180" s="7" t="n">
        <f aca="false">MAX(AG180,AH180)</f>
        <v>0</v>
      </c>
      <c r="AQ180" s="7" t="n">
        <f aca="false">MAX(AI180,AJ180)</f>
        <v>0</v>
      </c>
      <c r="AR180" s="7" t="n">
        <f aca="false">MAX(AK180,AL180)</f>
        <v>0</v>
      </c>
      <c r="AT180" s="7" t="str">
        <f aca="false">IF('KNOWIFY TIME'!B180="","",'KNOWIFY TIME'!B180)</f>
        <v/>
      </c>
      <c r="AU180" s="7" t="n">
        <f aca="false">IF(AT180="",0,IF(ISNUMBER('KNOWIFY TIME'!D180),'KNOWIFY TIME'!D180*24,IFERROR(VALUE(LEFT('KNOWIFY TIME'!D180,FIND(":",'KNOWIFY TIME'!D180)-1))+VALUE(MID('KNOWIFY TIME'!D180,FIND(":",'KNOWIFY TIME'!D180)+1,2))/60,0)))</f>
        <v>0</v>
      </c>
      <c r="AV180" s="7" t="n">
        <f aca="false">N('KNOWIFY TIME'!E180)</f>
        <v>0</v>
      </c>
      <c r="AW180" s="7" t="str">
        <f aca="false">IF(AT180="","",IFERROR(INDEX($BD$5:$BD$60,MATCH(AT180,$BC$5:$BC$60,0)),"Unmapped"))</f>
        <v/>
      </c>
    </row>
    <row r="181" customFormat="false" ht="15" hidden="false" customHeight="false" outlineLevel="0" collapsed="false">
      <c r="AA181" s="7" t="str">
        <f aca="false">IF('KNOWIFY PHASES'!A181="","",'KNOWIFY PHASES'!A181)</f>
        <v/>
      </c>
      <c r="AB181" s="7" t="str">
        <f aca="false">IF(AA181="","",IF(LEFT(AA181,4)="P - ","P",IF(LEFT(AA181,4)="H - ","H",IF(LEFT(AA181,5)="AC - ","AC",IF(OR(LEFT(AA181,4)="V - ",LEFT(AA181,7)="HVAC - "),"V","Other")))))</f>
        <v/>
      </c>
      <c r="AC181" s="7" t="str">
        <f aca="false">IF(AA181="","",IFERROR(LOOKUP(2,1/(($AZ$5:$AZ$60&lt;&gt;"")*ISNUMBER(SEARCH($AZ$5:$AZ$60,AA181))),$BA$5:$BA$60),IF(AB181="Other","Excluded","Unmapped")))</f>
        <v/>
      </c>
      <c r="AD181" s="7" t="str">
        <f aca="false">IF(AA181="","",IF(AND(AB181&lt;&gt;"Other",OR(AND('KNOWIFY PHASES'!B181="Closed",N('KNOWIFY PHASES'!D181)&gt;=0.5),N('KNOWIFY PHASES'!D181)&gt;=1)),1,0))</f>
        <v/>
      </c>
      <c r="AE181" s="7" t="n">
        <f aca="false">N('KNOWIFY PHASES'!L181)</f>
        <v>0</v>
      </c>
      <c r="AF181" s="7" t="n">
        <f aca="false">N('KNOWIFY PHASES'!K181)</f>
        <v>0</v>
      </c>
      <c r="AG181" s="7" t="n">
        <f aca="false">N('KNOWIFY PHASES'!I181)</f>
        <v>0</v>
      </c>
      <c r="AH181" s="7" t="n">
        <f aca="false">N('KNOWIFY PHASES'!H181)</f>
        <v>0</v>
      </c>
      <c r="AI181" s="7" t="n">
        <f aca="false">N('KNOWIFY PHASES'!O181)</f>
        <v>0</v>
      </c>
      <c r="AJ181" s="7" t="n">
        <f aca="false">N('KNOWIFY PHASES'!N181)</f>
        <v>0</v>
      </c>
      <c r="AK181" s="7" t="n">
        <f aca="false">N('KNOWIFY PHASES'!R181)</f>
        <v>0</v>
      </c>
      <c r="AL181" s="7" t="n">
        <f aca="false">N('KNOWIFY PHASES'!Q181)</f>
        <v>0</v>
      </c>
      <c r="AM181" s="7" t="n">
        <f aca="false">N('KNOWIFY PHASES'!F181)</f>
        <v>0</v>
      </c>
      <c r="AN181" s="7" t="n">
        <f aca="false">N('KNOWIFY PHASES'!E181)</f>
        <v>0</v>
      </c>
      <c r="AO181" s="7" t="n">
        <f aca="false">MAX(AE181,AF181)</f>
        <v>0</v>
      </c>
      <c r="AP181" s="7" t="n">
        <f aca="false">MAX(AG181,AH181)</f>
        <v>0</v>
      </c>
      <c r="AQ181" s="7" t="n">
        <f aca="false">MAX(AI181,AJ181)</f>
        <v>0</v>
      </c>
      <c r="AR181" s="7" t="n">
        <f aca="false">MAX(AK181,AL181)</f>
        <v>0</v>
      </c>
      <c r="AT181" s="7" t="str">
        <f aca="false">IF('KNOWIFY TIME'!B181="","",'KNOWIFY TIME'!B181)</f>
        <v/>
      </c>
      <c r="AU181" s="7" t="n">
        <f aca="false">IF(AT181="",0,IF(ISNUMBER('KNOWIFY TIME'!D181),'KNOWIFY TIME'!D181*24,IFERROR(VALUE(LEFT('KNOWIFY TIME'!D181,FIND(":",'KNOWIFY TIME'!D181)-1))+VALUE(MID('KNOWIFY TIME'!D181,FIND(":",'KNOWIFY TIME'!D181)+1,2))/60,0)))</f>
        <v>0</v>
      </c>
      <c r="AV181" s="7" t="n">
        <f aca="false">N('KNOWIFY TIME'!E181)</f>
        <v>0</v>
      </c>
      <c r="AW181" s="7" t="str">
        <f aca="false">IF(AT181="","",IFERROR(INDEX($BD$5:$BD$60,MATCH(AT181,$BC$5:$BC$60,0)),"Unmapped"))</f>
        <v/>
      </c>
    </row>
    <row r="182" customFormat="false" ht="15" hidden="false" customHeight="false" outlineLevel="0" collapsed="false">
      <c r="AA182" s="7" t="str">
        <f aca="false">IF('KNOWIFY PHASES'!A182="","",'KNOWIFY PHASES'!A182)</f>
        <v/>
      </c>
      <c r="AB182" s="7" t="str">
        <f aca="false">IF(AA182="","",IF(LEFT(AA182,4)="P - ","P",IF(LEFT(AA182,4)="H - ","H",IF(LEFT(AA182,5)="AC - ","AC",IF(OR(LEFT(AA182,4)="V - ",LEFT(AA182,7)="HVAC - "),"V","Other")))))</f>
        <v/>
      </c>
      <c r="AC182" s="7" t="str">
        <f aca="false">IF(AA182="","",IFERROR(LOOKUP(2,1/(($AZ$5:$AZ$60&lt;&gt;"")*ISNUMBER(SEARCH($AZ$5:$AZ$60,AA182))),$BA$5:$BA$60),IF(AB182="Other","Excluded","Unmapped")))</f>
        <v/>
      </c>
      <c r="AD182" s="7" t="str">
        <f aca="false">IF(AA182="","",IF(AND(AB182&lt;&gt;"Other",OR(AND('KNOWIFY PHASES'!B182="Closed",N('KNOWIFY PHASES'!D182)&gt;=0.5),N('KNOWIFY PHASES'!D182)&gt;=1)),1,0))</f>
        <v/>
      </c>
      <c r="AE182" s="7" t="n">
        <f aca="false">N('KNOWIFY PHASES'!L182)</f>
        <v>0</v>
      </c>
      <c r="AF182" s="7" t="n">
        <f aca="false">N('KNOWIFY PHASES'!K182)</f>
        <v>0</v>
      </c>
      <c r="AG182" s="7" t="n">
        <f aca="false">N('KNOWIFY PHASES'!I182)</f>
        <v>0</v>
      </c>
      <c r="AH182" s="7" t="n">
        <f aca="false">N('KNOWIFY PHASES'!H182)</f>
        <v>0</v>
      </c>
      <c r="AI182" s="7" t="n">
        <f aca="false">N('KNOWIFY PHASES'!O182)</f>
        <v>0</v>
      </c>
      <c r="AJ182" s="7" t="n">
        <f aca="false">N('KNOWIFY PHASES'!N182)</f>
        <v>0</v>
      </c>
      <c r="AK182" s="7" t="n">
        <f aca="false">N('KNOWIFY PHASES'!R182)</f>
        <v>0</v>
      </c>
      <c r="AL182" s="7" t="n">
        <f aca="false">N('KNOWIFY PHASES'!Q182)</f>
        <v>0</v>
      </c>
      <c r="AM182" s="7" t="n">
        <f aca="false">N('KNOWIFY PHASES'!F182)</f>
        <v>0</v>
      </c>
      <c r="AN182" s="7" t="n">
        <f aca="false">N('KNOWIFY PHASES'!E182)</f>
        <v>0</v>
      </c>
      <c r="AO182" s="7" t="n">
        <f aca="false">MAX(AE182,AF182)</f>
        <v>0</v>
      </c>
      <c r="AP182" s="7" t="n">
        <f aca="false">MAX(AG182,AH182)</f>
        <v>0</v>
      </c>
      <c r="AQ182" s="7" t="n">
        <f aca="false">MAX(AI182,AJ182)</f>
        <v>0</v>
      </c>
      <c r="AR182" s="7" t="n">
        <f aca="false">MAX(AK182,AL182)</f>
        <v>0</v>
      </c>
      <c r="AT182" s="7" t="str">
        <f aca="false">IF('KNOWIFY TIME'!B182="","",'KNOWIFY TIME'!B182)</f>
        <v/>
      </c>
      <c r="AU182" s="7" t="n">
        <f aca="false">IF(AT182="",0,IF(ISNUMBER('KNOWIFY TIME'!D182),'KNOWIFY TIME'!D182*24,IFERROR(VALUE(LEFT('KNOWIFY TIME'!D182,FIND(":",'KNOWIFY TIME'!D182)-1))+VALUE(MID('KNOWIFY TIME'!D182,FIND(":",'KNOWIFY TIME'!D182)+1,2))/60,0)))</f>
        <v>0</v>
      </c>
      <c r="AV182" s="7" t="n">
        <f aca="false">N('KNOWIFY TIME'!E182)</f>
        <v>0</v>
      </c>
      <c r="AW182" s="7" t="str">
        <f aca="false">IF(AT182="","",IFERROR(INDEX($BD$5:$BD$60,MATCH(AT182,$BC$5:$BC$60,0)),"Unmapped"))</f>
        <v/>
      </c>
    </row>
    <row r="183" customFormat="false" ht="15" hidden="false" customHeight="false" outlineLevel="0" collapsed="false">
      <c r="AA183" s="7" t="str">
        <f aca="false">IF('KNOWIFY PHASES'!A183="","",'KNOWIFY PHASES'!A183)</f>
        <v/>
      </c>
      <c r="AB183" s="7" t="str">
        <f aca="false">IF(AA183="","",IF(LEFT(AA183,4)="P - ","P",IF(LEFT(AA183,4)="H - ","H",IF(LEFT(AA183,5)="AC - ","AC",IF(OR(LEFT(AA183,4)="V - ",LEFT(AA183,7)="HVAC - "),"V","Other")))))</f>
        <v/>
      </c>
      <c r="AC183" s="7" t="str">
        <f aca="false">IF(AA183="","",IFERROR(LOOKUP(2,1/(($AZ$5:$AZ$60&lt;&gt;"")*ISNUMBER(SEARCH($AZ$5:$AZ$60,AA183))),$BA$5:$BA$60),IF(AB183="Other","Excluded","Unmapped")))</f>
        <v/>
      </c>
      <c r="AD183" s="7" t="str">
        <f aca="false">IF(AA183="","",IF(AND(AB183&lt;&gt;"Other",OR(AND('KNOWIFY PHASES'!B183="Closed",N('KNOWIFY PHASES'!D183)&gt;=0.5),N('KNOWIFY PHASES'!D183)&gt;=1)),1,0))</f>
        <v/>
      </c>
      <c r="AE183" s="7" t="n">
        <f aca="false">N('KNOWIFY PHASES'!L183)</f>
        <v>0</v>
      </c>
      <c r="AF183" s="7" t="n">
        <f aca="false">N('KNOWIFY PHASES'!K183)</f>
        <v>0</v>
      </c>
      <c r="AG183" s="7" t="n">
        <f aca="false">N('KNOWIFY PHASES'!I183)</f>
        <v>0</v>
      </c>
      <c r="AH183" s="7" t="n">
        <f aca="false">N('KNOWIFY PHASES'!H183)</f>
        <v>0</v>
      </c>
      <c r="AI183" s="7" t="n">
        <f aca="false">N('KNOWIFY PHASES'!O183)</f>
        <v>0</v>
      </c>
      <c r="AJ183" s="7" t="n">
        <f aca="false">N('KNOWIFY PHASES'!N183)</f>
        <v>0</v>
      </c>
      <c r="AK183" s="7" t="n">
        <f aca="false">N('KNOWIFY PHASES'!R183)</f>
        <v>0</v>
      </c>
      <c r="AL183" s="7" t="n">
        <f aca="false">N('KNOWIFY PHASES'!Q183)</f>
        <v>0</v>
      </c>
      <c r="AM183" s="7" t="n">
        <f aca="false">N('KNOWIFY PHASES'!F183)</f>
        <v>0</v>
      </c>
      <c r="AN183" s="7" t="n">
        <f aca="false">N('KNOWIFY PHASES'!E183)</f>
        <v>0</v>
      </c>
      <c r="AO183" s="7" t="n">
        <f aca="false">MAX(AE183,AF183)</f>
        <v>0</v>
      </c>
      <c r="AP183" s="7" t="n">
        <f aca="false">MAX(AG183,AH183)</f>
        <v>0</v>
      </c>
      <c r="AQ183" s="7" t="n">
        <f aca="false">MAX(AI183,AJ183)</f>
        <v>0</v>
      </c>
      <c r="AR183" s="7" t="n">
        <f aca="false">MAX(AK183,AL183)</f>
        <v>0</v>
      </c>
      <c r="AT183" s="7" t="str">
        <f aca="false">IF('KNOWIFY TIME'!B183="","",'KNOWIFY TIME'!B183)</f>
        <v/>
      </c>
      <c r="AU183" s="7" t="n">
        <f aca="false">IF(AT183="",0,IF(ISNUMBER('KNOWIFY TIME'!D183),'KNOWIFY TIME'!D183*24,IFERROR(VALUE(LEFT('KNOWIFY TIME'!D183,FIND(":",'KNOWIFY TIME'!D183)-1))+VALUE(MID('KNOWIFY TIME'!D183,FIND(":",'KNOWIFY TIME'!D183)+1,2))/60,0)))</f>
        <v>0</v>
      </c>
      <c r="AV183" s="7" t="n">
        <f aca="false">N('KNOWIFY TIME'!E183)</f>
        <v>0</v>
      </c>
      <c r="AW183" s="7" t="str">
        <f aca="false">IF(AT183="","",IFERROR(INDEX($BD$5:$BD$60,MATCH(AT183,$BC$5:$BC$60,0)),"Unmapped"))</f>
        <v/>
      </c>
    </row>
    <row r="184" customFormat="false" ht="15" hidden="false" customHeight="false" outlineLevel="0" collapsed="false">
      <c r="AA184" s="7" t="str">
        <f aca="false">IF('KNOWIFY PHASES'!A184="","",'KNOWIFY PHASES'!A184)</f>
        <v/>
      </c>
      <c r="AB184" s="7" t="str">
        <f aca="false">IF(AA184="","",IF(LEFT(AA184,4)="P - ","P",IF(LEFT(AA184,4)="H - ","H",IF(LEFT(AA184,5)="AC - ","AC",IF(OR(LEFT(AA184,4)="V - ",LEFT(AA184,7)="HVAC - "),"V","Other")))))</f>
        <v/>
      </c>
      <c r="AC184" s="7" t="str">
        <f aca="false">IF(AA184="","",IFERROR(LOOKUP(2,1/(($AZ$5:$AZ$60&lt;&gt;"")*ISNUMBER(SEARCH($AZ$5:$AZ$60,AA184))),$BA$5:$BA$60),IF(AB184="Other","Excluded","Unmapped")))</f>
        <v/>
      </c>
      <c r="AD184" s="7" t="str">
        <f aca="false">IF(AA184="","",IF(AND(AB184&lt;&gt;"Other",OR(AND('KNOWIFY PHASES'!B184="Closed",N('KNOWIFY PHASES'!D184)&gt;=0.5),N('KNOWIFY PHASES'!D184)&gt;=1)),1,0))</f>
        <v/>
      </c>
      <c r="AE184" s="7" t="n">
        <f aca="false">N('KNOWIFY PHASES'!L184)</f>
        <v>0</v>
      </c>
      <c r="AF184" s="7" t="n">
        <f aca="false">N('KNOWIFY PHASES'!K184)</f>
        <v>0</v>
      </c>
      <c r="AG184" s="7" t="n">
        <f aca="false">N('KNOWIFY PHASES'!I184)</f>
        <v>0</v>
      </c>
      <c r="AH184" s="7" t="n">
        <f aca="false">N('KNOWIFY PHASES'!H184)</f>
        <v>0</v>
      </c>
      <c r="AI184" s="7" t="n">
        <f aca="false">N('KNOWIFY PHASES'!O184)</f>
        <v>0</v>
      </c>
      <c r="AJ184" s="7" t="n">
        <f aca="false">N('KNOWIFY PHASES'!N184)</f>
        <v>0</v>
      </c>
      <c r="AK184" s="7" t="n">
        <f aca="false">N('KNOWIFY PHASES'!R184)</f>
        <v>0</v>
      </c>
      <c r="AL184" s="7" t="n">
        <f aca="false">N('KNOWIFY PHASES'!Q184)</f>
        <v>0</v>
      </c>
      <c r="AM184" s="7" t="n">
        <f aca="false">N('KNOWIFY PHASES'!F184)</f>
        <v>0</v>
      </c>
      <c r="AN184" s="7" t="n">
        <f aca="false">N('KNOWIFY PHASES'!E184)</f>
        <v>0</v>
      </c>
      <c r="AO184" s="7" t="n">
        <f aca="false">MAX(AE184,AF184)</f>
        <v>0</v>
      </c>
      <c r="AP184" s="7" t="n">
        <f aca="false">MAX(AG184,AH184)</f>
        <v>0</v>
      </c>
      <c r="AQ184" s="7" t="n">
        <f aca="false">MAX(AI184,AJ184)</f>
        <v>0</v>
      </c>
      <c r="AR184" s="7" t="n">
        <f aca="false">MAX(AK184,AL184)</f>
        <v>0</v>
      </c>
      <c r="AT184" s="7" t="str">
        <f aca="false">IF('KNOWIFY TIME'!B184="","",'KNOWIFY TIME'!B184)</f>
        <v/>
      </c>
      <c r="AU184" s="7" t="n">
        <f aca="false">IF(AT184="",0,IF(ISNUMBER('KNOWIFY TIME'!D184),'KNOWIFY TIME'!D184*24,IFERROR(VALUE(LEFT('KNOWIFY TIME'!D184,FIND(":",'KNOWIFY TIME'!D184)-1))+VALUE(MID('KNOWIFY TIME'!D184,FIND(":",'KNOWIFY TIME'!D184)+1,2))/60,0)))</f>
        <v>0</v>
      </c>
      <c r="AV184" s="7" t="n">
        <f aca="false">N('KNOWIFY TIME'!E184)</f>
        <v>0</v>
      </c>
      <c r="AW184" s="7" t="str">
        <f aca="false">IF(AT184="","",IFERROR(INDEX($BD$5:$BD$60,MATCH(AT184,$BC$5:$BC$60,0)),"Unmapped"))</f>
        <v/>
      </c>
    </row>
    <row r="185" customFormat="false" ht="15" hidden="false" customHeight="false" outlineLevel="0" collapsed="false">
      <c r="AA185" s="7" t="str">
        <f aca="false">IF('KNOWIFY PHASES'!A185="","",'KNOWIFY PHASES'!A185)</f>
        <v/>
      </c>
      <c r="AB185" s="7" t="str">
        <f aca="false">IF(AA185="","",IF(LEFT(AA185,4)="P - ","P",IF(LEFT(AA185,4)="H - ","H",IF(LEFT(AA185,5)="AC - ","AC",IF(OR(LEFT(AA185,4)="V - ",LEFT(AA185,7)="HVAC - "),"V","Other")))))</f>
        <v/>
      </c>
      <c r="AC185" s="7" t="str">
        <f aca="false">IF(AA185="","",IFERROR(LOOKUP(2,1/(($AZ$5:$AZ$60&lt;&gt;"")*ISNUMBER(SEARCH($AZ$5:$AZ$60,AA185))),$BA$5:$BA$60),IF(AB185="Other","Excluded","Unmapped")))</f>
        <v/>
      </c>
      <c r="AD185" s="7" t="str">
        <f aca="false">IF(AA185="","",IF(AND(AB185&lt;&gt;"Other",OR(AND('KNOWIFY PHASES'!B185="Closed",N('KNOWIFY PHASES'!D185)&gt;=0.5),N('KNOWIFY PHASES'!D185)&gt;=1)),1,0))</f>
        <v/>
      </c>
      <c r="AE185" s="7" t="n">
        <f aca="false">N('KNOWIFY PHASES'!L185)</f>
        <v>0</v>
      </c>
      <c r="AF185" s="7" t="n">
        <f aca="false">N('KNOWIFY PHASES'!K185)</f>
        <v>0</v>
      </c>
      <c r="AG185" s="7" t="n">
        <f aca="false">N('KNOWIFY PHASES'!I185)</f>
        <v>0</v>
      </c>
      <c r="AH185" s="7" t="n">
        <f aca="false">N('KNOWIFY PHASES'!H185)</f>
        <v>0</v>
      </c>
      <c r="AI185" s="7" t="n">
        <f aca="false">N('KNOWIFY PHASES'!O185)</f>
        <v>0</v>
      </c>
      <c r="AJ185" s="7" t="n">
        <f aca="false">N('KNOWIFY PHASES'!N185)</f>
        <v>0</v>
      </c>
      <c r="AK185" s="7" t="n">
        <f aca="false">N('KNOWIFY PHASES'!R185)</f>
        <v>0</v>
      </c>
      <c r="AL185" s="7" t="n">
        <f aca="false">N('KNOWIFY PHASES'!Q185)</f>
        <v>0</v>
      </c>
      <c r="AM185" s="7" t="n">
        <f aca="false">N('KNOWIFY PHASES'!F185)</f>
        <v>0</v>
      </c>
      <c r="AN185" s="7" t="n">
        <f aca="false">N('KNOWIFY PHASES'!E185)</f>
        <v>0</v>
      </c>
      <c r="AO185" s="7" t="n">
        <f aca="false">MAX(AE185,AF185)</f>
        <v>0</v>
      </c>
      <c r="AP185" s="7" t="n">
        <f aca="false">MAX(AG185,AH185)</f>
        <v>0</v>
      </c>
      <c r="AQ185" s="7" t="n">
        <f aca="false">MAX(AI185,AJ185)</f>
        <v>0</v>
      </c>
      <c r="AR185" s="7" t="n">
        <f aca="false">MAX(AK185,AL185)</f>
        <v>0</v>
      </c>
      <c r="AT185" s="7" t="str">
        <f aca="false">IF('KNOWIFY TIME'!B185="","",'KNOWIFY TIME'!B185)</f>
        <v/>
      </c>
      <c r="AU185" s="7" t="n">
        <f aca="false">IF(AT185="",0,IF(ISNUMBER('KNOWIFY TIME'!D185),'KNOWIFY TIME'!D185*24,IFERROR(VALUE(LEFT('KNOWIFY TIME'!D185,FIND(":",'KNOWIFY TIME'!D185)-1))+VALUE(MID('KNOWIFY TIME'!D185,FIND(":",'KNOWIFY TIME'!D185)+1,2))/60,0)))</f>
        <v>0</v>
      </c>
      <c r="AV185" s="7" t="n">
        <f aca="false">N('KNOWIFY TIME'!E185)</f>
        <v>0</v>
      </c>
      <c r="AW185" s="7" t="str">
        <f aca="false">IF(AT185="","",IFERROR(INDEX($BD$5:$BD$60,MATCH(AT185,$BC$5:$BC$60,0)),"Unmapped"))</f>
        <v/>
      </c>
    </row>
    <row r="186" customFormat="false" ht="15" hidden="false" customHeight="false" outlineLevel="0" collapsed="false">
      <c r="AA186" s="7" t="str">
        <f aca="false">IF('KNOWIFY PHASES'!A186="","",'KNOWIFY PHASES'!A186)</f>
        <v/>
      </c>
      <c r="AB186" s="7" t="str">
        <f aca="false">IF(AA186="","",IF(LEFT(AA186,4)="P - ","P",IF(LEFT(AA186,4)="H - ","H",IF(LEFT(AA186,5)="AC - ","AC",IF(OR(LEFT(AA186,4)="V - ",LEFT(AA186,7)="HVAC - "),"V","Other")))))</f>
        <v/>
      </c>
      <c r="AC186" s="7" t="str">
        <f aca="false">IF(AA186="","",IFERROR(LOOKUP(2,1/(($AZ$5:$AZ$60&lt;&gt;"")*ISNUMBER(SEARCH($AZ$5:$AZ$60,AA186))),$BA$5:$BA$60),IF(AB186="Other","Excluded","Unmapped")))</f>
        <v/>
      </c>
      <c r="AD186" s="7" t="str">
        <f aca="false">IF(AA186="","",IF(AND(AB186&lt;&gt;"Other",OR(AND('KNOWIFY PHASES'!B186="Closed",N('KNOWIFY PHASES'!D186)&gt;=0.5),N('KNOWIFY PHASES'!D186)&gt;=1)),1,0))</f>
        <v/>
      </c>
      <c r="AE186" s="7" t="n">
        <f aca="false">N('KNOWIFY PHASES'!L186)</f>
        <v>0</v>
      </c>
      <c r="AF186" s="7" t="n">
        <f aca="false">N('KNOWIFY PHASES'!K186)</f>
        <v>0</v>
      </c>
      <c r="AG186" s="7" t="n">
        <f aca="false">N('KNOWIFY PHASES'!I186)</f>
        <v>0</v>
      </c>
      <c r="AH186" s="7" t="n">
        <f aca="false">N('KNOWIFY PHASES'!H186)</f>
        <v>0</v>
      </c>
      <c r="AI186" s="7" t="n">
        <f aca="false">N('KNOWIFY PHASES'!O186)</f>
        <v>0</v>
      </c>
      <c r="AJ186" s="7" t="n">
        <f aca="false">N('KNOWIFY PHASES'!N186)</f>
        <v>0</v>
      </c>
      <c r="AK186" s="7" t="n">
        <f aca="false">N('KNOWIFY PHASES'!R186)</f>
        <v>0</v>
      </c>
      <c r="AL186" s="7" t="n">
        <f aca="false">N('KNOWIFY PHASES'!Q186)</f>
        <v>0</v>
      </c>
      <c r="AM186" s="7" t="n">
        <f aca="false">N('KNOWIFY PHASES'!F186)</f>
        <v>0</v>
      </c>
      <c r="AN186" s="7" t="n">
        <f aca="false">N('KNOWIFY PHASES'!E186)</f>
        <v>0</v>
      </c>
      <c r="AO186" s="7" t="n">
        <f aca="false">MAX(AE186,AF186)</f>
        <v>0</v>
      </c>
      <c r="AP186" s="7" t="n">
        <f aca="false">MAX(AG186,AH186)</f>
        <v>0</v>
      </c>
      <c r="AQ186" s="7" t="n">
        <f aca="false">MAX(AI186,AJ186)</f>
        <v>0</v>
      </c>
      <c r="AR186" s="7" t="n">
        <f aca="false">MAX(AK186,AL186)</f>
        <v>0</v>
      </c>
      <c r="AT186" s="7" t="str">
        <f aca="false">IF('KNOWIFY TIME'!B186="","",'KNOWIFY TIME'!B186)</f>
        <v/>
      </c>
      <c r="AU186" s="7" t="n">
        <f aca="false">IF(AT186="",0,IF(ISNUMBER('KNOWIFY TIME'!D186),'KNOWIFY TIME'!D186*24,IFERROR(VALUE(LEFT('KNOWIFY TIME'!D186,FIND(":",'KNOWIFY TIME'!D186)-1))+VALUE(MID('KNOWIFY TIME'!D186,FIND(":",'KNOWIFY TIME'!D186)+1,2))/60,0)))</f>
        <v>0</v>
      </c>
      <c r="AV186" s="7" t="n">
        <f aca="false">N('KNOWIFY TIME'!E186)</f>
        <v>0</v>
      </c>
      <c r="AW186" s="7" t="str">
        <f aca="false">IF(AT186="","",IFERROR(INDEX($BD$5:$BD$60,MATCH(AT186,$BC$5:$BC$60,0)),"Unmapped"))</f>
        <v/>
      </c>
    </row>
    <row r="187" customFormat="false" ht="15" hidden="false" customHeight="false" outlineLevel="0" collapsed="false">
      <c r="AA187" s="7" t="str">
        <f aca="false">IF('KNOWIFY PHASES'!A187="","",'KNOWIFY PHASES'!A187)</f>
        <v/>
      </c>
      <c r="AB187" s="7" t="str">
        <f aca="false">IF(AA187="","",IF(LEFT(AA187,4)="P - ","P",IF(LEFT(AA187,4)="H - ","H",IF(LEFT(AA187,5)="AC - ","AC",IF(OR(LEFT(AA187,4)="V - ",LEFT(AA187,7)="HVAC - "),"V","Other")))))</f>
        <v/>
      </c>
      <c r="AC187" s="7" t="str">
        <f aca="false">IF(AA187="","",IFERROR(LOOKUP(2,1/(($AZ$5:$AZ$60&lt;&gt;"")*ISNUMBER(SEARCH($AZ$5:$AZ$60,AA187))),$BA$5:$BA$60),IF(AB187="Other","Excluded","Unmapped")))</f>
        <v/>
      </c>
      <c r="AD187" s="7" t="str">
        <f aca="false">IF(AA187="","",IF(AND(AB187&lt;&gt;"Other",OR(AND('KNOWIFY PHASES'!B187="Closed",N('KNOWIFY PHASES'!D187)&gt;=0.5),N('KNOWIFY PHASES'!D187)&gt;=1)),1,0))</f>
        <v/>
      </c>
      <c r="AE187" s="7" t="n">
        <f aca="false">N('KNOWIFY PHASES'!L187)</f>
        <v>0</v>
      </c>
      <c r="AF187" s="7" t="n">
        <f aca="false">N('KNOWIFY PHASES'!K187)</f>
        <v>0</v>
      </c>
      <c r="AG187" s="7" t="n">
        <f aca="false">N('KNOWIFY PHASES'!I187)</f>
        <v>0</v>
      </c>
      <c r="AH187" s="7" t="n">
        <f aca="false">N('KNOWIFY PHASES'!H187)</f>
        <v>0</v>
      </c>
      <c r="AI187" s="7" t="n">
        <f aca="false">N('KNOWIFY PHASES'!O187)</f>
        <v>0</v>
      </c>
      <c r="AJ187" s="7" t="n">
        <f aca="false">N('KNOWIFY PHASES'!N187)</f>
        <v>0</v>
      </c>
      <c r="AK187" s="7" t="n">
        <f aca="false">N('KNOWIFY PHASES'!R187)</f>
        <v>0</v>
      </c>
      <c r="AL187" s="7" t="n">
        <f aca="false">N('KNOWIFY PHASES'!Q187)</f>
        <v>0</v>
      </c>
      <c r="AM187" s="7" t="n">
        <f aca="false">N('KNOWIFY PHASES'!F187)</f>
        <v>0</v>
      </c>
      <c r="AN187" s="7" t="n">
        <f aca="false">N('KNOWIFY PHASES'!E187)</f>
        <v>0</v>
      </c>
      <c r="AO187" s="7" t="n">
        <f aca="false">MAX(AE187,AF187)</f>
        <v>0</v>
      </c>
      <c r="AP187" s="7" t="n">
        <f aca="false">MAX(AG187,AH187)</f>
        <v>0</v>
      </c>
      <c r="AQ187" s="7" t="n">
        <f aca="false">MAX(AI187,AJ187)</f>
        <v>0</v>
      </c>
      <c r="AR187" s="7" t="n">
        <f aca="false">MAX(AK187,AL187)</f>
        <v>0</v>
      </c>
      <c r="AT187" s="7" t="str">
        <f aca="false">IF('KNOWIFY TIME'!B187="","",'KNOWIFY TIME'!B187)</f>
        <v/>
      </c>
      <c r="AU187" s="7" t="n">
        <f aca="false">IF(AT187="",0,IF(ISNUMBER('KNOWIFY TIME'!D187),'KNOWIFY TIME'!D187*24,IFERROR(VALUE(LEFT('KNOWIFY TIME'!D187,FIND(":",'KNOWIFY TIME'!D187)-1))+VALUE(MID('KNOWIFY TIME'!D187,FIND(":",'KNOWIFY TIME'!D187)+1,2))/60,0)))</f>
        <v>0</v>
      </c>
      <c r="AV187" s="7" t="n">
        <f aca="false">N('KNOWIFY TIME'!E187)</f>
        <v>0</v>
      </c>
      <c r="AW187" s="7" t="str">
        <f aca="false">IF(AT187="","",IFERROR(INDEX($BD$5:$BD$60,MATCH(AT187,$BC$5:$BC$60,0)),"Unmapped"))</f>
        <v/>
      </c>
    </row>
    <row r="188" customFormat="false" ht="15" hidden="false" customHeight="false" outlineLevel="0" collapsed="false">
      <c r="AA188" s="7" t="str">
        <f aca="false">IF('KNOWIFY PHASES'!A188="","",'KNOWIFY PHASES'!A188)</f>
        <v/>
      </c>
      <c r="AB188" s="7" t="str">
        <f aca="false">IF(AA188="","",IF(LEFT(AA188,4)="P - ","P",IF(LEFT(AA188,4)="H - ","H",IF(LEFT(AA188,5)="AC - ","AC",IF(OR(LEFT(AA188,4)="V - ",LEFT(AA188,7)="HVAC - "),"V","Other")))))</f>
        <v/>
      </c>
      <c r="AC188" s="7" t="str">
        <f aca="false">IF(AA188="","",IFERROR(LOOKUP(2,1/(($AZ$5:$AZ$60&lt;&gt;"")*ISNUMBER(SEARCH($AZ$5:$AZ$60,AA188))),$BA$5:$BA$60),IF(AB188="Other","Excluded","Unmapped")))</f>
        <v/>
      </c>
      <c r="AD188" s="7" t="str">
        <f aca="false">IF(AA188="","",IF(AND(AB188&lt;&gt;"Other",OR(AND('KNOWIFY PHASES'!B188="Closed",N('KNOWIFY PHASES'!D188)&gt;=0.5),N('KNOWIFY PHASES'!D188)&gt;=1)),1,0))</f>
        <v/>
      </c>
      <c r="AE188" s="7" t="n">
        <f aca="false">N('KNOWIFY PHASES'!L188)</f>
        <v>0</v>
      </c>
      <c r="AF188" s="7" t="n">
        <f aca="false">N('KNOWIFY PHASES'!K188)</f>
        <v>0</v>
      </c>
      <c r="AG188" s="7" t="n">
        <f aca="false">N('KNOWIFY PHASES'!I188)</f>
        <v>0</v>
      </c>
      <c r="AH188" s="7" t="n">
        <f aca="false">N('KNOWIFY PHASES'!H188)</f>
        <v>0</v>
      </c>
      <c r="AI188" s="7" t="n">
        <f aca="false">N('KNOWIFY PHASES'!O188)</f>
        <v>0</v>
      </c>
      <c r="AJ188" s="7" t="n">
        <f aca="false">N('KNOWIFY PHASES'!N188)</f>
        <v>0</v>
      </c>
      <c r="AK188" s="7" t="n">
        <f aca="false">N('KNOWIFY PHASES'!R188)</f>
        <v>0</v>
      </c>
      <c r="AL188" s="7" t="n">
        <f aca="false">N('KNOWIFY PHASES'!Q188)</f>
        <v>0</v>
      </c>
      <c r="AM188" s="7" t="n">
        <f aca="false">N('KNOWIFY PHASES'!F188)</f>
        <v>0</v>
      </c>
      <c r="AN188" s="7" t="n">
        <f aca="false">N('KNOWIFY PHASES'!E188)</f>
        <v>0</v>
      </c>
      <c r="AO188" s="7" t="n">
        <f aca="false">MAX(AE188,AF188)</f>
        <v>0</v>
      </c>
      <c r="AP188" s="7" t="n">
        <f aca="false">MAX(AG188,AH188)</f>
        <v>0</v>
      </c>
      <c r="AQ188" s="7" t="n">
        <f aca="false">MAX(AI188,AJ188)</f>
        <v>0</v>
      </c>
      <c r="AR188" s="7" t="n">
        <f aca="false">MAX(AK188,AL188)</f>
        <v>0</v>
      </c>
      <c r="AT188" s="7" t="str">
        <f aca="false">IF('KNOWIFY TIME'!B188="","",'KNOWIFY TIME'!B188)</f>
        <v/>
      </c>
      <c r="AU188" s="7" t="n">
        <f aca="false">IF(AT188="",0,IF(ISNUMBER('KNOWIFY TIME'!D188),'KNOWIFY TIME'!D188*24,IFERROR(VALUE(LEFT('KNOWIFY TIME'!D188,FIND(":",'KNOWIFY TIME'!D188)-1))+VALUE(MID('KNOWIFY TIME'!D188,FIND(":",'KNOWIFY TIME'!D188)+1,2))/60,0)))</f>
        <v>0</v>
      </c>
      <c r="AV188" s="7" t="n">
        <f aca="false">N('KNOWIFY TIME'!E188)</f>
        <v>0</v>
      </c>
      <c r="AW188" s="7" t="str">
        <f aca="false">IF(AT188="","",IFERROR(INDEX($BD$5:$BD$60,MATCH(AT188,$BC$5:$BC$60,0)),"Unmapped"))</f>
        <v/>
      </c>
    </row>
    <row r="189" customFormat="false" ht="15" hidden="false" customHeight="false" outlineLevel="0" collapsed="false">
      <c r="AA189" s="7" t="str">
        <f aca="false">IF('KNOWIFY PHASES'!A189="","",'KNOWIFY PHASES'!A189)</f>
        <v/>
      </c>
      <c r="AB189" s="7" t="str">
        <f aca="false">IF(AA189="","",IF(LEFT(AA189,4)="P - ","P",IF(LEFT(AA189,4)="H - ","H",IF(LEFT(AA189,5)="AC - ","AC",IF(OR(LEFT(AA189,4)="V - ",LEFT(AA189,7)="HVAC - "),"V","Other")))))</f>
        <v/>
      </c>
      <c r="AC189" s="7" t="str">
        <f aca="false">IF(AA189="","",IFERROR(LOOKUP(2,1/(($AZ$5:$AZ$60&lt;&gt;"")*ISNUMBER(SEARCH($AZ$5:$AZ$60,AA189))),$BA$5:$BA$60),IF(AB189="Other","Excluded","Unmapped")))</f>
        <v/>
      </c>
      <c r="AD189" s="7" t="str">
        <f aca="false">IF(AA189="","",IF(AND(AB189&lt;&gt;"Other",OR(AND('KNOWIFY PHASES'!B189="Closed",N('KNOWIFY PHASES'!D189)&gt;=0.5),N('KNOWIFY PHASES'!D189)&gt;=1)),1,0))</f>
        <v/>
      </c>
      <c r="AE189" s="7" t="n">
        <f aca="false">N('KNOWIFY PHASES'!L189)</f>
        <v>0</v>
      </c>
      <c r="AF189" s="7" t="n">
        <f aca="false">N('KNOWIFY PHASES'!K189)</f>
        <v>0</v>
      </c>
      <c r="AG189" s="7" t="n">
        <f aca="false">N('KNOWIFY PHASES'!I189)</f>
        <v>0</v>
      </c>
      <c r="AH189" s="7" t="n">
        <f aca="false">N('KNOWIFY PHASES'!H189)</f>
        <v>0</v>
      </c>
      <c r="AI189" s="7" t="n">
        <f aca="false">N('KNOWIFY PHASES'!O189)</f>
        <v>0</v>
      </c>
      <c r="AJ189" s="7" t="n">
        <f aca="false">N('KNOWIFY PHASES'!N189)</f>
        <v>0</v>
      </c>
      <c r="AK189" s="7" t="n">
        <f aca="false">N('KNOWIFY PHASES'!R189)</f>
        <v>0</v>
      </c>
      <c r="AL189" s="7" t="n">
        <f aca="false">N('KNOWIFY PHASES'!Q189)</f>
        <v>0</v>
      </c>
      <c r="AM189" s="7" t="n">
        <f aca="false">N('KNOWIFY PHASES'!F189)</f>
        <v>0</v>
      </c>
      <c r="AN189" s="7" t="n">
        <f aca="false">N('KNOWIFY PHASES'!E189)</f>
        <v>0</v>
      </c>
      <c r="AO189" s="7" t="n">
        <f aca="false">MAX(AE189,AF189)</f>
        <v>0</v>
      </c>
      <c r="AP189" s="7" t="n">
        <f aca="false">MAX(AG189,AH189)</f>
        <v>0</v>
      </c>
      <c r="AQ189" s="7" t="n">
        <f aca="false">MAX(AI189,AJ189)</f>
        <v>0</v>
      </c>
      <c r="AR189" s="7" t="n">
        <f aca="false">MAX(AK189,AL189)</f>
        <v>0</v>
      </c>
      <c r="AT189" s="7" t="str">
        <f aca="false">IF('KNOWIFY TIME'!B189="","",'KNOWIFY TIME'!B189)</f>
        <v/>
      </c>
      <c r="AU189" s="7" t="n">
        <f aca="false">IF(AT189="",0,IF(ISNUMBER('KNOWIFY TIME'!D189),'KNOWIFY TIME'!D189*24,IFERROR(VALUE(LEFT('KNOWIFY TIME'!D189,FIND(":",'KNOWIFY TIME'!D189)-1))+VALUE(MID('KNOWIFY TIME'!D189,FIND(":",'KNOWIFY TIME'!D189)+1,2))/60,0)))</f>
        <v>0</v>
      </c>
      <c r="AV189" s="7" t="n">
        <f aca="false">N('KNOWIFY TIME'!E189)</f>
        <v>0</v>
      </c>
      <c r="AW189" s="7" t="str">
        <f aca="false">IF(AT189="","",IFERROR(INDEX($BD$5:$BD$60,MATCH(AT189,$BC$5:$BC$60,0)),"Unmapped"))</f>
        <v/>
      </c>
    </row>
    <row r="190" customFormat="false" ht="15" hidden="false" customHeight="false" outlineLevel="0" collapsed="false">
      <c r="AA190" s="7" t="str">
        <f aca="false">IF('KNOWIFY PHASES'!A190="","",'KNOWIFY PHASES'!A190)</f>
        <v/>
      </c>
      <c r="AB190" s="7" t="str">
        <f aca="false">IF(AA190="","",IF(LEFT(AA190,4)="P - ","P",IF(LEFT(AA190,4)="H - ","H",IF(LEFT(AA190,5)="AC - ","AC",IF(OR(LEFT(AA190,4)="V - ",LEFT(AA190,7)="HVAC - "),"V","Other")))))</f>
        <v/>
      </c>
      <c r="AC190" s="7" t="str">
        <f aca="false">IF(AA190="","",IFERROR(LOOKUP(2,1/(($AZ$5:$AZ$60&lt;&gt;"")*ISNUMBER(SEARCH($AZ$5:$AZ$60,AA190))),$BA$5:$BA$60),IF(AB190="Other","Excluded","Unmapped")))</f>
        <v/>
      </c>
      <c r="AD190" s="7" t="str">
        <f aca="false">IF(AA190="","",IF(AND(AB190&lt;&gt;"Other",OR(AND('KNOWIFY PHASES'!B190="Closed",N('KNOWIFY PHASES'!D190)&gt;=0.5),N('KNOWIFY PHASES'!D190)&gt;=1)),1,0))</f>
        <v/>
      </c>
      <c r="AE190" s="7" t="n">
        <f aca="false">N('KNOWIFY PHASES'!L190)</f>
        <v>0</v>
      </c>
      <c r="AF190" s="7" t="n">
        <f aca="false">N('KNOWIFY PHASES'!K190)</f>
        <v>0</v>
      </c>
      <c r="AG190" s="7" t="n">
        <f aca="false">N('KNOWIFY PHASES'!I190)</f>
        <v>0</v>
      </c>
      <c r="AH190" s="7" t="n">
        <f aca="false">N('KNOWIFY PHASES'!H190)</f>
        <v>0</v>
      </c>
      <c r="AI190" s="7" t="n">
        <f aca="false">N('KNOWIFY PHASES'!O190)</f>
        <v>0</v>
      </c>
      <c r="AJ190" s="7" t="n">
        <f aca="false">N('KNOWIFY PHASES'!N190)</f>
        <v>0</v>
      </c>
      <c r="AK190" s="7" t="n">
        <f aca="false">N('KNOWIFY PHASES'!R190)</f>
        <v>0</v>
      </c>
      <c r="AL190" s="7" t="n">
        <f aca="false">N('KNOWIFY PHASES'!Q190)</f>
        <v>0</v>
      </c>
      <c r="AM190" s="7" t="n">
        <f aca="false">N('KNOWIFY PHASES'!F190)</f>
        <v>0</v>
      </c>
      <c r="AN190" s="7" t="n">
        <f aca="false">N('KNOWIFY PHASES'!E190)</f>
        <v>0</v>
      </c>
      <c r="AO190" s="7" t="n">
        <f aca="false">MAX(AE190,AF190)</f>
        <v>0</v>
      </c>
      <c r="AP190" s="7" t="n">
        <f aca="false">MAX(AG190,AH190)</f>
        <v>0</v>
      </c>
      <c r="AQ190" s="7" t="n">
        <f aca="false">MAX(AI190,AJ190)</f>
        <v>0</v>
      </c>
      <c r="AR190" s="7" t="n">
        <f aca="false">MAX(AK190,AL190)</f>
        <v>0</v>
      </c>
      <c r="AT190" s="7" t="str">
        <f aca="false">IF('KNOWIFY TIME'!B190="","",'KNOWIFY TIME'!B190)</f>
        <v/>
      </c>
      <c r="AU190" s="7" t="n">
        <f aca="false">IF(AT190="",0,IF(ISNUMBER('KNOWIFY TIME'!D190),'KNOWIFY TIME'!D190*24,IFERROR(VALUE(LEFT('KNOWIFY TIME'!D190,FIND(":",'KNOWIFY TIME'!D190)-1))+VALUE(MID('KNOWIFY TIME'!D190,FIND(":",'KNOWIFY TIME'!D190)+1,2))/60,0)))</f>
        <v>0</v>
      </c>
      <c r="AV190" s="7" t="n">
        <f aca="false">N('KNOWIFY TIME'!E190)</f>
        <v>0</v>
      </c>
      <c r="AW190" s="7" t="str">
        <f aca="false">IF(AT190="","",IFERROR(INDEX($BD$5:$BD$60,MATCH(AT190,$BC$5:$BC$60,0)),"Unmapped"))</f>
        <v/>
      </c>
    </row>
    <row r="191" customFormat="false" ht="15" hidden="false" customHeight="false" outlineLevel="0" collapsed="false">
      <c r="AA191" s="7" t="str">
        <f aca="false">IF('KNOWIFY PHASES'!A191="","",'KNOWIFY PHASES'!A191)</f>
        <v/>
      </c>
      <c r="AB191" s="7" t="str">
        <f aca="false">IF(AA191="","",IF(LEFT(AA191,4)="P - ","P",IF(LEFT(AA191,4)="H - ","H",IF(LEFT(AA191,5)="AC - ","AC",IF(OR(LEFT(AA191,4)="V - ",LEFT(AA191,7)="HVAC - "),"V","Other")))))</f>
        <v/>
      </c>
      <c r="AC191" s="7" t="str">
        <f aca="false">IF(AA191="","",IFERROR(LOOKUP(2,1/(($AZ$5:$AZ$60&lt;&gt;"")*ISNUMBER(SEARCH($AZ$5:$AZ$60,AA191))),$BA$5:$BA$60),IF(AB191="Other","Excluded","Unmapped")))</f>
        <v/>
      </c>
      <c r="AD191" s="7" t="str">
        <f aca="false">IF(AA191="","",IF(AND(AB191&lt;&gt;"Other",OR(AND('KNOWIFY PHASES'!B191="Closed",N('KNOWIFY PHASES'!D191)&gt;=0.5),N('KNOWIFY PHASES'!D191)&gt;=1)),1,0))</f>
        <v/>
      </c>
      <c r="AE191" s="7" t="n">
        <f aca="false">N('KNOWIFY PHASES'!L191)</f>
        <v>0</v>
      </c>
      <c r="AF191" s="7" t="n">
        <f aca="false">N('KNOWIFY PHASES'!K191)</f>
        <v>0</v>
      </c>
      <c r="AG191" s="7" t="n">
        <f aca="false">N('KNOWIFY PHASES'!I191)</f>
        <v>0</v>
      </c>
      <c r="AH191" s="7" t="n">
        <f aca="false">N('KNOWIFY PHASES'!H191)</f>
        <v>0</v>
      </c>
      <c r="AI191" s="7" t="n">
        <f aca="false">N('KNOWIFY PHASES'!O191)</f>
        <v>0</v>
      </c>
      <c r="AJ191" s="7" t="n">
        <f aca="false">N('KNOWIFY PHASES'!N191)</f>
        <v>0</v>
      </c>
      <c r="AK191" s="7" t="n">
        <f aca="false">N('KNOWIFY PHASES'!R191)</f>
        <v>0</v>
      </c>
      <c r="AL191" s="7" t="n">
        <f aca="false">N('KNOWIFY PHASES'!Q191)</f>
        <v>0</v>
      </c>
      <c r="AM191" s="7" t="n">
        <f aca="false">N('KNOWIFY PHASES'!F191)</f>
        <v>0</v>
      </c>
      <c r="AN191" s="7" t="n">
        <f aca="false">N('KNOWIFY PHASES'!E191)</f>
        <v>0</v>
      </c>
      <c r="AO191" s="7" t="n">
        <f aca="false">MAX(AE191,AF191)</f>
        <v>0</v>
      </c>
      <c r="AP191" s="7" t="n">
        <f aca="false">MAX(AG191,AH191)</f>
        <v>0</v>
      </c>
      <c r="AQ191" s="7" t="n">
        <f aca="false">MAX(AI191,AJ191)</f>
        <v>0</v>
      </c>
      <c r="AR191" s="7" t="n">
        <f aca="false">MAX(AK191,AL191)</f>
        <v>0</v>
      </c>
      <c r="AT191" s="7" t="str">
        <f aca="false">IF('KNOWIFY TIME'!B191="","",'KNOWIFY TIME'!B191)</f>
        <v/>
      </c>
      <c r="AU191" s="7" t="n">
        <f aca="false">IF(AT191="",0,IF(ISNUMBER('KNOWIFY TIME'!D191),'KNOWIFY TIME'!D191*24,IFERROR(VALUE(LEFT('KNOWIFY TIME'!D191,FIND(":",'KNOWIFY TIME'!D191)-1))+VALUE(MID('KNOWIFY TIME'!D191,FIND(":",'KNOWIFY TIME'!D191)+1,2))/60,0)))</f>
        <v>0</v>
      </c>
      <c r="AV191" s="7" t="n">
        <f aca="false">N('KNOWIFY TIME'!E191)</f>
        <v>0</v>
      </c>
      <c r="AW191" s="7" t="str">
        <f aca="false">IF(AT191="","",IFERROR(INDEX($BD$5:$BD$60,MATCH(AT191,$BC$5:$BC$60,0)),"Unmapped"))</f>
        <v/>
      </c>
    </row>
    <row r="192" customFormat="false" ht="15" hidden="false" customHeight="false" outlineLevel="0" collapsed="false">
      <c r="AA192" s="7" t="str">
        <f aca="false">IF('KNOWIFY PHASES'!A192="","",'KNOWIFY PHASES'!A192)</f>
        <v/>
      </c>
      <c r="AB192" s="7" t="str">
        <f aca="false">IF(AA192="","",IF(LEFT(AA192,4)="P - ","P",IF(LEFT(AA192,4)="H - ","H",IF(LEFT(AA192,5)="AC - ","AC",IF(OR(LEFT(AA192,4)="V - ",LEFT(AA192,7)="HVAC - "),"V","Other")))))</f>
        <v/>
      </c>
      <c r="AC192" s="7" t="str">
        <f aca="false">IF(AA192="","",IFERROR(LOOKUP(2,1/(($AZ$5:$AZ$60&lt;&gt;"")*ISNUMBER(SEARCH($AZ$5:$AZ$60,AA192))),$BA$5:$BA$60),IF(AB192="Other","Excluded","Unmapped")))</f>
        <v/>
      </c>
      <c r="AD192" s="7" t="str">
        <f aca="false">IF(AA192="","",IF(AND(AB192&lt;&gt;"Other",OR(AND('KNOWIFY PHASES'!B192="Closed",N('KNOWIFY PHASES'!D192)&gt;=0.5),N('KNOWIFY PHASES'!D192)&gt;=1)),1,0))</f>
        <v/>
      </c>
      <c r="AE192" s="7" t="n">
        <f aca="false">N('KNOWIFY PHASES'!L192)</f>
        <v>0</v>
      </c>
      <c r="AF192" s="7" t="n">
        <f aca="false">N('KNOWIFY PHASES'!K192)</f>
        <v>0</v>
      </c>
      <c r="AG192" s="7" t="n">
        <f aca="false">N('KNOWIFY PHASES'!I192)</f>
        <v>0</v>
      </c>
      <c r="AH192" s="7" t="n">
        <f aca="false">N('KNOWIFY PHASES'!H192)</f>
        <v>0</v>
      </c>
      <c r="AI192" s="7" t="n">
        <f aca="false">N('KNOWIFY PHASES'!O192)</f>
        <v>0</v>
      </c>
      <c r="AJ192" s="7" t="n">
        <f aca="false">N('KNOWIFY PHASES'!N192)</f>
        <v>0</v>
      </c>
      <c r="AK192" s="7" t="n">
        <f aca="false">N('KNOWIFY PHASES'!R192)</f>
        <v>0</v>
      </c>
      <c r="AL192" s="7" t="n">
        <f aca="false">N('KNOWIFY PHASES'!Q192)</f>
        <v>0</v>
      </c>
      <c r="AM192" s="7" t="n">
        <f aca="false">N('KNOWIFY PHASES'!F192)</f>
        <v>0</v>
      </c>
      <c r="AN192" s="7" t="n">
        <f aca="false">N('KNOWIFY PHASES'!E192)</f>
        <v>0</v>
      </c>
      <c r="AO192" s="7" t="n">
        <f aca="false">MAX(AE192,AF192)</f>
        <v>0</v>
      </c>
      <c r="AP192" s="7" t="n">
        <f aca="false">MAX(AG192,AH192)</f>
        <v>0</v>
      </c>
      <c r="AQ192" s="7" t="n">
        <f aca="false">MAX(AI192,AJ192)</f>
        <v>0</v>
      </c>
      <c r="AR192" s="7" t="n">
        <f aca="false">MAX(AK192,AL192)</f>
        <v>0</v>
      </c>
      <c r="AT192" s="7" t="str">
        <f aca="false">IF('KNOWIFY TIME'!B192="","",'KNOWIFY TIME'!B192)</f>
        <v/>
      </c>
      <c r="AU192" s="7" t="n">
        <f aca="false">IF(AT192="",0,IF(ISNUMBER('KNOWIFY TIME'!D192),'KNOWIFY TIME'!D192*24,IFERROR(VALUE(LEFT('KNOWIFY TIME'!D192,FIND(":",'KNOWIFY TIME'!D192)-1))+VALUE(MID('KNOWIFY TIME'!D192,FIND(":",'KNOWIFY TIME'!D192)+1,2))/60,0)))</f>
        <v>0</v>
      </c>
      <c r="AV192" s="7" t="n">
        <f aca="false">N('KNOWIFY TIME'!E192)</f>
        <v>0</v>
      </c>
      <c r="AW192" s="7" t="str">
        <f aca="false">IF(AT192="","",IFERROR(INDEX($BD$5:$BD$60,MATCH(AT192,$BC$5:$BC$60,0)),"Unmapped"))</f>
        <v/>
      </c>
    </row>
    <row r="193" customFormat="false" ht="15" hidden="false" customHeight="false" outlineLevel="0" collapsed="false">
      <c r="AA193" s="7" t="str">
        <f aca="false">IF('KNOWIFY PHASES'!A193="","",'KNOWIFY PHASES'!A193)</f>
        <v/>
      </c>
      <c r="AB193" s="7" t="str">
        <f aca="false">IF(AA193="","",IF(LEFT(AA193,4)="P - ","P",IF(LEFT(AA193,4)="H - ","H",IF(LEFT(AA193,5)="AC - ","AC",IF(OR(LEFT(AA193,4)="V - ",LEFT(AA193,7)="HVAC - "),"V","Other")))))</f>
        <v/>
      </c>
      <c r="AC193" s="7" t="str">
        <f aca="false">IF(AA193="","",IFERROR(LOOKUP(2,1/(($AZ$5:$AZ$60&lt;&gt;"")*ISNUMBER(SEARCH($AZ$5:$AZ$60,AA193))),$BA$5:$BA$60),IF(AB193="Other","Excluded","Unmapped")))</f>
        <v/>
      </c>
      <c r="AD193" s="7" t="str">
        <f aca="false">IF(AA193="","",IF(AND(AB193&lt;&gt;"Other",OR(AND('KNOWIFY PHASES'!B193="Closed",N('KNOWIFY PHASES'!D193)&gt;=0.5),N('KNOWIFY PHASES'!D193)&gt;=1)),1,0))</f>
        <v/>
      </c>
      <c r="AE193" s="7" t="n">
        <f aca="false">N('KNOWIFY PHASES'!L193)</f>
        <v>0</v>
      </c>
      <c r="AF193" s="7" t="n">
        <f aca="false">N('KNOWIFY PHASES'!K193)</f>
        <v>0</v>
      </c>
      <c r="AG193" s="7" t="n">
        <f aca="false">N('KNOWIFY PHASES'!I193)</f>
        <v>0</v>
      </c>
      <c r="AH193" s="7" t="n">
        <f aca="false">N('KNOWIFY PHASES'!H193)</f>
        <v>0</v>
      </c>
      <c r="AI193" s="7" t="n">
        <f aca="false">N('KNOWIFY PHASES'!O193)</f>
        <v>0</v>
      </c>
      <c r="AJ193" s="7" t="n">
        <f aca="false">N('KNOWIFY PHASES'!N193)</f>
        <v>0</v>
      </c>
      <c r="AK193" s="7" t="n">
        <f aca="false">N('KNOWIFY PHASES'!R193)</f>
        <v>0</v>
      </c>
      <c r="AL193" s="7" t="n">
        <f aca="false">N('KNOWIFY PHASES'!Q193)</f>
        <v>0</v>
      </c>
      <c r="AM193" s="7" t="n">
        <f aca="false">N('KNOWIFY PHASES'!F193)</f>
        <v>0</v>
      </c>
      <c r="AN193" s="7" t="n">
        <f aca="false">N('KNOWIFY PHASES'!E193)</f>
        <v>0</v>
      </c>
      <c r="AO193" s="7" t="n">
        <f aca="false">MAX(AE193,AF193)</f>
        <v>0</v>
      </c>
      <c r="AP193" s="7" t="n">
        <f aca="false">MAX(AG193,AH193)</f>
        <v>0</v>
      </c>
      <c r="AQ193" s="7" t="n">
        <f aca="false">MAX(AI193,AJ193)</f>
        <v>0</v>
      </c>
      <c r="AR193" s="7" t="n">
        <f aca="false">MAX(AK193,AL193)</f>
        <v>0</v>
      </c>
      <c r="AT193" s="7" t="str">
        <f aca="false">IF('KNOWIFY TIME'!B193="","",'KNOWIFY TIME'!B193)</f>
        <v/>
      </c>
      <c r="AU193" s="7" t="n">
        <f aca="false">IF(AT193="",0,IF(ISNUMBER('KNOWIFY TIME'!D193),'KNOWIFY TIME'!D193*24,IFERROR(VALUE(LEFT('KNOWIFY TIME'!D193,FIND(":",'KNOWIFY TIME'!D193)-1))+VALUE(MID('KNOWIFY TIME'!D193,FIND(":",'KNOWIFY TIME'!D193)+1,2))/60,0)))</f>
        <v>0</v>
      </c>
      <c r="AV193" s="7" t="n">
        <f aca="false">N('KNOWIFY TIME'!E193)</f>
        <v>0</v>
      </c>
      <c r="AW193" s="7" t="str">
        <f aca="false">IF(AT193="","",IFERROR(INDEX($BD$5:$BD$60,MATCH(AT193,$BC$5:$BC$60,0)),"Unmapped"))</f>
        <v/>
      </c>
    </row>
    <row r="194" customFormat="false" ht="15" hidden="false" customHeight="false" outlineLevel="0" collapsed="false">
      <c r="AA194" s="7" t="str">
        <f aca="false">IF('KNOWIFY PHASES'!A194="","",'KNOWIFY PHASES'!A194)</f>
        <v/>
      </c>
      <c r="AB194" s="7" t="str">
        <f aca="false">IF(AA194="","",IF(LEFT(AA194,4)="P - ","P",IF(LEFT(AA194,4)="H - ","H",IF(LEFT(AA194,5)="AC - ","AC",IF(OR(LEFT(AA194,4)="V - ",LEFT(AA194,7)="HVAC - "),"V","Other")))))</f>
        <v/>
      </c>
      <c r="AC194" s="7" t="str">
        <f aca="false">IF(AA194="","",IFERROR(LOOKUP(2,1/(($AZ$5:$AZ$60&lt;&gt;"")*ISNUMBER(SEARCH($AZ$5:$AZ$60,AA194))),$BA$5:$BA$60),IF(AB194="Other","Excluded","Unmapped")))</f>
        <v/>
      </c>
      <c r="AD194" s="7" t="str">
        <f aca="false">IF(AA194="","",IF(AND(AB194&lt;&gt;"Other",OR(AND('KNOWIFY PHASES'!B194="Closed",N('KNOWIFY PHASES'!D194)&gt;=0.5),N('KNOWIFY PHASES'!D194)&gt;=1)),1,0))</f>
        <v/>
      </c>
      <c r="AE194" s="7" t="n">
        <f aca="false">N('KNOWIFY PHASES'!L194)</f>
        <v>0</v>
      </c>
      <c r="AF194" s="7" t="n">
        <f aca="false">N('KNOWIFY PHASES'!K194)</f>
        <v>0</v>
      </c>
      <c r="AG194" s="7" t="n">
        <f aca="false">N('KNOWIFY PHASES'!I194)</f>
        <v>0</v>
      </c>
      <c r="AH194" s="7" t="n">
        <f aca="false">N('KNOWIFY PHASES'!H194)</f>
        <v>0</v>
      </c>
      <c r="AI194" s="7" t="n">
        <f aca="false">N('KNOWIFY PHASES'!O194)</f>
        <v>0</v>
      </c>
      <c r="AJ194" s="7" t="n">
        <f aca="false">N('KNOWIFY PHASES'!N194)</f>
        <v>0</v>
      </c>
      <c r="AK194" s="7" t="n">
        <f aca="false">N('KNOWIFY PHASES'!R194)</f>
        <v>0</v>
      </c>
      <c r="AL194" s="7" t="n">
        <f aca="false">N('KNOWIFY PHASES'!Q194)</f>
        <v>0</v>
      </c>
      <c r="AM194" s="7" t="n">
        <f aca="false">N('KNOWIFY PHASES'!F194)</f>
        <v>0</v>
      </c>
      <c r="AN194" s="7" t="n">
        <f aca="false">N('KNOWIFY PHASES'!E194)</f>
        <v>0</v>
      </c>
      <c r="AO194" s="7" t="n">
        <f aca="false">MAX(AE194,AF194)</f>
        <v>0</v>
      </c>
      <c r="AP194" s="7" t="n">
        <f aca="false">MAX(AG194,AH194)</f>
        <v>0</v>
      </c>
      <c r="AQ194" s="7" t="n">
        <f aca="false">MAX(AI194,AJ194)</f>
        <v>0</v>
      </c>
      <c r="AR194" s="7" t="n">
        <f aca="false">MAX(AK194,AL194)</f>
        <v>0</v>
      </c>
      <c r="AT194" s="7" t="str">
        <f aca="false">IF('KNOWIFY TIME'!B194="","",'KNOWIFY TIME'!B194)</f>
        <v/>
      </c>
      <c r="AU194" s="7" t="n">
        <f aca="false">IF(AT194="",0,IF(ISNUMBER('KNOWIFY TIME'!D194),'KNOWIFY TIME'!D194*24,IFERROR(VALUE(LEFT('KNOWIFY TIME'!D194,FIND(":",'KNOWIFY TIME'!D194)-1))+VALUE(MID('KNOWIFY TIME'!D194,FIND(":",'KNOWIFY TIME'!D194)+1,2))/60,0)))</f>
        <v>0</v>
      </c>
      <c r="AV194" s="7" t="n">
        <f aca="false">N('KNOWIFY TIME'!E194)</f>
        <v>0</v>
      </c>
      <c r="AW194" s="7" t="str">
        <f aca="false">IF(AT194="","",IFERROR(INDEX($BD$5:$BD$60,MATCH(AT194,$BC$5:$BC$60,0)),"Unmapped"))</f>
        <v/>
      </c>
    </row>
    <row r="195" customFormat="false" ht="15" hidden="false" customHeight="false" outlineLevel="0" collapsed="false">
      <c r="AA195" s="7" t="str">
        <f aca="false">IF('KNOWIFY PHASES'!A195="","",'KNOWIFY PHASES'!A195)</f>
        <v/>
      </c>
      <c r="AB195" s="7" t="str">
        <f aca="false">IF(AA195="","",IF(LEFT(AA195,4)="P - ","P",IF(LEFT(AA195,4)="H - ","H",IF(LEFT(AA195,5)="AC - ","AC",IF(OR(LEFT(AA195,4)="V - ",LEFT(AA195,7)="HVAC - "),"V","Other")))))</f>
        <v/>
      </c>
      <c r="AC195" s="7" t="str">
        <f aca="false">IF(AA195="","",IFERROR(LOOKUP(2,1/(($AZ$5:$AZ$60&lt;&gt;"")*ISNUMBER(SEARCH($AZ$5:$AZ$60,AA195))),$BA$5:$BA$60),IF(AB195="Other","Excluded","Unmapped")))</f>
        <v/>
      </c>
      <c r="AD195" s="7" t="str">
        <f aca="false">IF(AA195="","",IF(AND(AB195&lt;&gt;"Other",OR(AND('KNOWIFY PHASES'!B195="Closed",N('KNOWIFY PHASES'!D195)&gt;=0.5),N('KNOWIFY PHASES'!D195)&gt;=1)),1,0))</f>
        <v/>
      </c>
      <c r="AE195" s="7" t="n">
        <f aca="false">N('KNOWIFY PHASES'!L195)</f>
        <v>0</v>
      </c>
      <c r="AF195" s="7" t="n">
        <f aca="false">N('KNOWIFY PHASES'!K195)</f>
        <v>0</v>
      </c>
      <c r="AG195" s="7" t="n">
        <f aca="false">N('KNOWIFY PHASES'!I195)</f>
        <v>0</v>
      </c>
      <c r="AH195" s="7" t="n">
        <f aca="false">N('KNOWIFY PHASES'!H195)</f>
        <v>0</v>
      </c>
      <c r="AI195" s="7" t="n">
        <f aca="false">N('KNOWIFY PHASES'!O195)</f>
        <v>0</v>
      </c>
      <c r="AJ195" s="7" t="n">
        <f aca="false">N('KNOWIFY PHASES'!N195)</f>
        <v>0</v>
      </c>
      <c r="AK195" s="7" t="n">
        <f aca="false">N('KNOWIFY PHASES'!R195)</f>
        <v>0</v>
      </c>
      <c r="AL195" s="7" t="n">
        <f aca="false">N('KNOWIFY PHASES'!Q195)</f>
        <v>0</v>
      </c>
      <c r="AM195" s="7" t="n">
        <f aca="false">N('KNOWIFY PHASES'!F195)</f>
        <v>0</v>
      </c>
      <c r="AN195" s="7" t="n">
        <f aca="false">N('KNOWIFY PHASES'!E195)</f>
        <v>0</v>
      </c>
      <c r="AO195" s="7" t="n">
        <f aca="false">MAX(AE195,AF195)</f>
        <v>0</v>
      </c>
      <c r="AP195" s="7" t="n">
        <f aca="false">MAX(AG195,AH195)</f>
        <v>0</v>
      </c>
      <c r="AQ195" s="7" t="n">
        <f aca="false">MAX(AI195,AJ195)</f>
        <v>0</v>
      </c>
      <c r="AR195" s="7" t="n">
        <f aca="false">MAX(AK195,AL195)</f>
        <v>0</v>
      </c>
      <c r="AT195" s="7" t="str">
        <f aca="false">IF('KNOWIFY TIME'!B195="","",'KNOWIFY TIME'!B195)</f>
        <v/>
      </c>
      <c r="AU195" s="7" t="n">
        <f aca="false">IF(AT195="",0,IF(ISNUMBER('KNOWIFY TIME'!D195),'KNOWIFY TIME'!D195*24,IFERROR(VALUE(LEFT('KNOWIFY TIME'!D195,FIND(":",'KNOWIFY TIME'!D195)-1))+VALUE(MID('KNOWIFY TIME'!D195,FIND(":",'KNOWIFY TIME'!D195)+1,2))/60,0)))</f>
        <v>0</v>
      </c>
      <c r="AV195" s="7" t="n">
        <f aca="false">N('KNOWIFY TIME'!E195)</f>
        <v>0</v>
      </c>
      <c r="AW195" s="7" t="str">
        <f aca="false">IF(AT195="","",IFERROR(INDEX($BD$5:$BD$60,MATCH(AT195,$BC$5:$BC$60,0)),"Unmapped"))</f>
        <v/>
      </c>
    </row>
    <row r="196" customFormat="false" ht="15" hidden="false" customHeight="false" outlineLevel="0" collapsed="false">
      <c r="AA196" s="7" t="str">
        <f aca="false">IF('KNOWIFY PHASES'!A196="","",'KNOWIFY PHASES'!A196)</f>
        <v/>
      </c>
      <c r="AB196" s="7" t="str">
        <f aca="false">IF(AA196="","",IF(LEFT(AA196,4)="P - ","P",IF(LEFT(AA196,4)="H - ","H",IF(LEFT(AA196,5)="AC - ","AC",IF(OR(LEFT(AA196,4)="V - ",LEFT(AA196,7)="HVAC - "),"V","Other")))))</f>
        <v/>
      </c>
      <c r="AC196" s="7" t="str">
        <f aca="false">IF(AA196="","",IFERROR(LOOKUP(2,1/(($AZ$5:$AZ$60&lt;&gt;"")*ISNUMBER(SEARCH($AZ$5:$AZ$60,AA196))),$BA$5:$BA$60),IF(AB196="Other","Excluded","Unmapped")))</f>
        <v/>
      </c>
      <c r="AD196" s="7" t="str">
        <f aca="false">IF(AA196="","",IF(AND(AB196&lt;&gt;"Other",OR(AND('KNOWIFY PHASES'!B196="Closed",N('KNOWIFY PHASES'!D196)&gt;=0.5),N('KNOWIFY PHASES'!D196)&gt;=1)),1,0))</f>
        <v/>
      </c>
      <c r="AE196" s="7" t="n">
        <f aca="false">N('KNOWIFY PHASES'!L196)</f>
        <v>0</v>
      </c>
      <c r="AF196" s="7" t="n">
        <f aca="false">N('KNOWIFY PHASES'!K196)</f>
        <v>0</v>
      </c>
      <c r="AG196" s="7" t="n">
        <f aca="false">N('KNOWIFY PHASES'!I196)</f>
        <v>0</v>
      </c>
      <c r="AH196" s="7" t="n">
        <f aca="false">N('KNOWIFY PHASES'!H196)</f>
        <v>0</v>
      </c>
      <c r="AI196" s="7" t="n">
        <f aca="false">N('KNOWIFY PHASES'!O196)</f>
        <v>0</v>
      </c>
      <c r="AJ196" s="7" t="n">
        <f aca="false">N('KNOWIFY PHASES'!N196)</f>
        <v>0</v>
      </c>
      <c r="AK196" s="7" t="n">
        <f aca="false">N('KNOWIFY PHASES'!R196)</f>
        <v>0</v>
      </c>
      <c r="AL196" s="7" t="n">
        <f aca="false">N('KNOWIFY PHASES'!Q196)</f>
        <v>0</v>
      </c>
      <c r="AM196" s="7" t="n">
        <f aca="false">N('KNOWIFY PHASES'!F196)</f>
        <v>0</v>
      </c>
      <c r="AN196" s="7" t="n">
        <f aca="false">N('KNOWIFY PHASES'!E196)</f>
        <v>0</v>
      </c>
      <c r="AO196" s="7" t="n">
        <f aca="false">MAX(AE196,AF196)</f>
        <v>0</v>
      </c>
      <c r="AP196" s="7" t="n">
        <f aca="false">MAX(AG196,AH196)</f>
        <v>0</v>
      </c>
      <c r="AQ196" s="7" t="n">
        <f aca="false">MAX(AI196,AJ196)</f>
        <v>0</v>
      </c>
      <c r="AR196" s="7" t="n">
        <f aca="false">MAX(AK196,AL196)</f>
        <v>0</v>
      </c>
      <c r="AT196" s="7" t="str">
        <f aca="false">IF('KNOWIFY TIME'!B196="","",'KNOWIFY TIME'!B196)</f>
        <v/>
      </c>
      <c r="AU196" s="7" t="n">
        <f aca="false">IF(AT196="",0,IF(ISNUMBER('KNOWIFY TIME'!D196),'KNOWIFY TIME'!D196*24,IFERROR(VALUE(LEFT('KNOWIFY TIME'!D196,FIND(":",'KNOWIFY TIME'!D196)-1))+VALUE(MID('KNOWIFY TIME'!D196,FIND(":",'KNOWIFY TIME'!D196)+1,2))/60,0)))</f>
        <v>0</v>
      </c>
      <c r="AV196" s="7" t="n">
        <f aca="false">N('KNOWIFY TIME'!E196)</f>
        <v>0</v>
      </c>
      <c r="AW196" s="7" t="str">
        <f aca="false">IF(AT196="","",IFERROR(INDEX($BD$5:$BD$60,MATCH(AT196,$BC$5:$BC$60,0)),"Unmapped"))</f>
        <v/>
      </c>
    </row>
    <row r="197" customFormat="false" ht="15" hidden="false" customHeight="false" outlineLevel="0" collapsed="false">
      <c r="AA197" s="7" t="str">
        <f aca="false">IF('KNOWIFY PHASES'!A197="","",'KNOWIFY PHASES'!A197)</f>
        <v/>
      </c>
      <c r="AB197" s="7" t="str">
        <f aca="false">IF(AA197="","",IF(LEFT(AA197,4)="P - ","P",IF(LEFT(AA197,4)="H - ","H",IF(LEFT(AA197,5)="AC - ","AC",IF(OR(LEFT(AA197,4)="V - ",LEFT(AA197,7)="HVAC - "),"V","Other")))))</f>
        <v/>
      </c>
      <c r="AC197" s="7" t="str">
        <f aca="false">IF(AA197="","",IFERROR(LOOKUP(2,1/(($AZ$5:$AZ$60&lt;&gt;"")*ISNUMBER(SEARCH($AZ$5:$AZ$60,AA197))),$BA$5:$BA$60),IF(AB197="Other","Excluded","Unmapped")))</f>
        <v/>
      </c>
      <c r="AD197" s="7" t="str">
        <f aca="false">IF(AA197="","",IF(AND(AB197&lt;&gt;"Other",OR(AND('KNOWIFY PHASES'!B197="Closed",N('KNOWIFY PHASES'!D197)&gt;=0.5),N('KNOWIFY PHASES'!D197)&gt;=1)),1,0))</f>
        <v/>
      </c>
      <c r="AE197" s="7" t="n">
        <f aca="false">N('KNOWIFY PHASES'!L197)</f>
        <v>0</v>
      </c>
      <c r="AF197" s="7" t="n">
        <f aca="false">N('KNOWIFY PHASES'!K197)</f>
        <v>0</v>
      </c>
      <c r="AG197" s="7" t="n">
        <f aca="false">N('KNOWIFY PHASES'!I197)</f>
        <v>0</v>
      </c>
      <c r="AH197" s="7" t="n">
        <f aca="false">N('KNOWIFY PHASES'!H197)</f>
        <v>0</v>
      </c>
      <c r="AI197" s="7" t="n">
        <f aca="false">N('KNOWIFY PHASES'!O197)</f>
        <v>0</v>
      </c>
      <c r="AJ197" s="7" t="n">
        <f aca="false">N('KNOWIFY PHASES'!N197)</f>
        <v>0</v>
      </c>
      <c r="AK197" s="7" t="n">
        <f aca="false">N('KNOWIFY PHASES'!R197)</f>
        <v>0</v>
      </c>
      <c r="AL197" s="7" t="n">
        <f aca="false">N('KNOWIFY PHASES'!Q197)</f>
        <v>0</v>
      </c>
      <c r="AM197" s="7" t="n">
        <f aca="false">N('KNOWIFY PHASES'!F197)</f>
        <v>0</v>
      </c>
      <c r="AN197" s="7" t="n">
        <f aca="false">N('KNOWIFY PHASES'!E197)</f>
        <v>0</v>
      </c>
      <c r="AO197" s="7" t="n">
        <f aca="false">MAX(AE197,AF197)</f>
        <v>0</v>
      </c>
      <c r="AP197" s="7" t="n">
        <f aca="false">MAX(AG197,AH197)</f>
        <v>0</v>
      </c>
      <c r="AQ197" s="7" t="n">
        <f aca="false">MAX(AI197,AJ197)</f>
        <v>0</v>
      </c>
      <c r="AR197" s="7" t="n">
        <f aca="false">MAX(AK197,AL197)</f>
        <v>0</v>
      </c>
      <c r="AT197" s="7" t="str">
        <f aca="false">IF('KNOWIFY TIME'!B197="","",'KNOWIFY TIME'!B197)</f>
        <v/>
      </c>
      <c r="AU197" s="7" t="n">
        <f aca="false">IF(AT197="",0,IF(ISNUMBER('KNOWIFY TIME'!D197),'KNOWIFY TIME'!D197*24,IFERROR(VALUE(LEFT('KNOWIFY TIME'!D197,FIND(":",'KNOWIFY TIME'!D197)-1))+VALUE(MID('KNOWIFY TIME'!D197,FIND(":",'KNOWIFY TIME'!D197)+1,2))/60,0)))</f>
        <v>0</v>
      </c>
      <c r="AV197" s="7" t="n">
        <f aca="false">N('KNOWIFY TIME'!E197)</f>
        <v>0</v>
      </c>
      <c r="AW197" s="7" t="str">
        <f aca="false">IF(AT197="","",IFERROR(INDEX($BD$5:$BD$60,MATCH(AT197,$BC$5:$BC$60,0)),"Unmapped"))</f>
        <v/>
      </c>
    </row>
    <row r="198" customFormat="false" ht="15" hidden="false" customHeight="false" outlineLevel="0" collapsed="false">
      <c r="AA198" s="7" t="str">
        <f aca="false">IF('KNOWIFY PHASES'!A198="","",'KNOWIFY PHASES'!A198)</f>
        <v/>
      </c>
      <c r="AB198" s="7" t="str">
        <f aca="false">IF(AA198="","",IF(LEFT(AA198,4)="P - ","P",IF(LEFT(AA198,4)="H - ","H",IF(LEFT(AA198,5)="AC - ","AC",IF(OR(LEFT(AA198,4)="V - ",LEFT(AA198,7)="HVAC - "),"V","Other")))))</f>
        <v/>
      </c>
      <c r="AC198" s="7" t="str">
        <f aca="false">IF(AA198="","",IFERROR(LOOKUP(2,1/(($AZ$5:$AZ$60&lt;&gt;"")*ISNUMBER(SEARCH($AZ$5:$AZ$60,AA198))),$BA$5:$BA$60),IF(AB198="Other","Excluded","Unmapped")))</f>
        <v/>
      </c>
      <c r="AD198" s="7" t="str">
        <f aca="false">IF(AA198="","",IF(AND(AB198&lt;&gt;"Other",OR(AND('KNOWIFY PHASES'!B198="Closed",N('KNOWIFY PHASES'!D198)&gt;=0.5),N('KNOWIFY PHASES'!D198)&gt;=1)),1,0))</f>
        <v/>
      </c>
      <c r="AE198" s="7" t="n">
        <f aca="false">N('KNOWIFY PHASES'!L198)</f>
        <v>0</v>
      </c>
      <c r="AF198" s="7" t="n">
        <f aca="false">N('KNOWIFY PHASES'!K198)</f>
        <v>0</v>
      </c>
      <c r="AG198" s="7" t="n">
        <f aca="false">N('KNOWIFY PHASES'!I198)</f>
        <v>0</v>
      </c>
      <c r="AH198" s="7" t="n">
        <f aca="false">N('KNOWIFY PHASES'!H198)</f>
        <v>0</v>
      </c>
      <c r="AI198" s="7" t="n">
        <f aca="false">N('KNOWIFY PHASES'!O198)</f>
        <v>0</v>
      </c>
      <c r="AJ198" s="7" t="n">
        <f aca="false">N('KNOWIFY PHASES'!N198)</f>
        <v>0</v>
      </c>
      <c r="AK198" s="7" t="n">
        <f aca="false">N('KNOWIFY PHASES'!R198)</f>
        <v>0</v>
      </c>
      <c r="AL198" s="7" t="n">
        <f aca="false">N('KNOWIFY PHASES'!Q198)</f>
        <v>0</v>
      </c>
      <c r="AM198" s="7" t="n">
        <f aca="false">N('KNOWIFY PHASES'!F198)</f>
        <v>0</v>
      </c>
      <c r="AN198" s="7" t="n">
        <f aca="false">N('KNOWIFY PHASES'!E198)</f>
        <v>0</v>
      </c>
      <c r="AO198" s="7" t="n">
        <f aca="false">MAX(AE198,AF198)</f>
        <v>0</v>
      </c>
      <c r="AP198" s="7" t="n">
        <f aca="false">MAX(AG198,AH198)</f>
        <v>0</v>
      </c>
      <c r="AQ198" s="7" t="n">
        <f aca="false">MAX(AI198,AJ198)</f>
        <v>0</v>
      </c>
      <c r="AR198" s="7" t="n">
        <f aca="false">MAX(AK198,AL198)</f>
        <v>0</v>
      </c>
      <c r="AT198" s="7" t="str">
        <f aca="false">IF('KNOWIFY TIME'!B198="","",'KNOWIFY TIME'!B198)</f>
        <v/>
      </c>
      <c r="AU198" s="7" t="n">
        <f aca="false">IF(AT198="",0,IF(ISNUMBER('KNOWIFY TIME'!D198),'KNOWIFY TIME'!D198*24,IFERROR(VALUE(LEFT('KNOWIFY TIME'!D198,FIND(":",'KNOWIFY TIME'!D198)-1))+VALUE(MID('KNOWIFY TIME'!D198,FIND(":",'KNOWIFY TIME'!D198)+1,2))/60,0)))</f>
        <v>0</v>
      </c>
      <c r="AV198" s="7" t="n">
        <f aca="false">N('KNOWIFY TIME'!E198)</f>
        <v>0</v>
      </c>
      <c r="AW198" s="7" t="str">
        <f aca="false">IF(AT198="","",IFERROR(INDEX($BD$5:$BD$60,MATCH(AT198,$BC$5:$BC$60,0)),"Unmapped"))</f>
        <v/>
      </c>
    </row>
    <row r="199" customFormat="false" ht="15" hidden="false" customHeight="false" outlineLevel="0" collapsed="false">
      <c r="AA199" s="7" t="str">
        <f aca="false">IF('KNOWIFY PHASES'!A199="","",'KNOWIFY PHASES'!A199)</f>
        <v/>
      </c>
      <c r="AB199" s="7" t="str">
        <f aca="false">IF(AA199="","",IF(LEFT(AA199,4)="P - ","P",IF(LEFT(AA199,4)="H - ","H",IF(LEFT(AA199,5)="AC - ","AC",IF(OR(LEFT(AA199,4)="V - ",LEFT(AA199,7)="HVAC - "),"V","Other")))))</f>
        <v/>
      </c>
      <c r="AC199" s="7" t="str">
        <f aca="false">IF(AA199="","",IFERROR(LOOKUP(2,1/(($AZ$5:$AZ$60&lt;&gt;"")*ISNUMBER(SEARCH($AZ$5:$AZ$60,AA199))),$BA$5:$BA$60),IF(AB199="Other","Excluded","Unmapped")))</f>
        <v/>
      </c>
      <c r="AD199" s="7" t="str">
        <f aca="false">IF(AA199="","",IF(AND(AB199&lt;&gt;"Other",OR(AND('KNOWIFY PHASES'!B199="Closed",N('KNOWIFY PHASES'!D199)&gt;=0.5),N('KNOWIFY PHASES'!D199)&gt;=1)),1,0))</f>
        <v/>
      </c>
      <c r="AE199" s="7" t="n">
        <f aca="false">N('KNOWIFY PHASES'!L199)</f>
        <v>0</v>
      </c>
      <c r="AF199" s="7" t="n">
        <f aca="false">N('KNOWIFY PHASES'!K199)</f>
        <v>0</v>
      </c>
      <c r="AG199" s="7" t="n">
        <f aca="false">N('KNOWIFY PHASES'!I199)</f>
        <v>0</v>
      </c>
      <c r="AH199" s="7" t="n">
        <f aca="false">N('KNOWIFY PHASES'!H199)</f>
        <v>0</v>
      </c>
      <c r="AI199" s="7" t="n">
        <f aca="false">N('KNOWIFY PHASES'!O199)</f>
        <v>0</v>
      </c>
      <c r="AJ199" s="7" t="n">
        <f aca="false">N('KNOWIFY PHASES'!N199)</f>
        <v>0</v>
      </c>
      <c r="AK199" s="7" t="n">
        <f aca="false">N('KNOWIFY PHASES'!R199)</f>
        <v>0</v>
      </c>
      <c r="AL199" s="7" t="n">
        <f aca="false">N('KNOWIFY PHASES'!Q199)</f>
        <v>0</v>
      </c>
      <c r="AM199" s="7" t="n">
        <f aca="false">N('KNOWIFY PHASES'!F199)</f>
        <v>0</v>
      </c>
      <c r="AN199" s="7" t="n">
        <f aca="false">N('KNOWIFY PHASES'!E199)</f>
        <v>0</v>
      </c>
      <c r="AO199" s="7" t="n">
        <f aca="false">MAX(AE199,AF199)</f>
        <v>0</v>
      </c>
      <c r="AP199" s="7" t="n">
        <f aca="false">MAX(AG199,AH199)</f>
        <v>0</v>
      </c>
      <c r="AQ199" s="7" t="n">
        <f aca="false">MAX(AI199,AJ199)</f>
        <v>0</v>
      </c>
      <c r="AR199" s="7" t="n">
        <f aca="false">MAX(AK199,AL199)</f>
        <v>0</v>
      </c>
      <c r="AT199" s="7" t="str">
        <f aca="false">IF('KNOWIFY TIME'!B199="","",'KNOWIFY TIME'!B199)</f>
        <v/>
      </c>
      <c r="AU199" s="7" t="n">
        <f aca="false">IF(AT199="",0,IF(ISNUMBER('KNOWIFY TIME'!D199),'KNOWIFY TIME'!D199*24,IFERROR(VALUE(LEFT('KNOWIFY TIME'!D199,FIND(":",'KNOWIFY TIME'!D199)-1))+VALUE(MID('KNOWIFY TIME'!D199,FIND(":",'KNOWIFY TIME'!D199)+1,2))/60,0)))</f>
        <v>0</v>
      </c>
      <c r="AV199" s="7" t="n">
        <f aca="false">N('KNOWIFY TIME'!E199)</f>
        <v>0</v>
      </c>
      <c r="AW199" s="7" t="str">
        <f aca="false">IF(AT199="","",IFERROR(INDEX($BD$5:$BD$60,MATCH(AT199,$BC$5:$BC$60,0)),"Unmapped"))</f>
        <v/>
      </c>
    </row>
    <row r="200" customFormat="false" ht="15" hidden="false" customHeight="false" outlineLevel="0" collapsed="false">
      <c r="AA200" s="7" t="str">
        <f aca="false">IF('KNOWIFY PHASES'!A200="","",'KNOWIFY PHASES'!A200)</f>
        <v/>
      </c>
      <c r="AB200" s="7" t="str">
        <f aca="false">IF(AA200="","",IF(LEFT(AA200,4)="P - ","P",IF(LEFT(AA200,4)="H - ","H",IF(LEFT(AA200,5)="AC - ","AC",IF(OR(LEFT(AA200,4)="V - ",LEFT(AA200,7)="HVAC - "),"V","Other")))))</f>
        <v/>
      </c>
      <c r="AC200" s="7" t="str">
        <f aca="false">IF(AA200="","",IFERROR(LOOKUP(2,1/(($AZ$5:$AZ$60&lt;&gt;"")*ISNUMBER(SEARCH($AZ$5:$AZ$60,AA200))),$BA$5:$BA$60),IF(AB200="Other","Excluded","Unmapped")))</f>
        <v/>
      </c>
      <c r="AD200" s="7" t="str">
        <f aca="false">IF(AA200="","",IF(AND(AB200&lt;&gt;"Other",OR(AND('KNOWIFY PHASES'!B200="Closed",N('KNOWIFY PHASES'!D200)&gt;=0.5),N('KNOWIFY PHASES'!D200)&gt;=1)),1,0))</f>
        <v/>
      </c>
      <c r="AE200" s="7" t="n">
        <f aca="false">N('KNOWIFY PHASES'!L200)</f>
        <v>0</v>
      </c>
      <c r="AF200" s="7" t="n">
        <f aca="false">N('KNOWIFY PHASES'!K200)</f>
        <v>0</v>
      </c>
      <c r="AG200" s="7" t="n">
        <f aca="false">N('KNOWIFY PHASES'!I200)</f>
        <v>0</v>
      </c>
      <c r="AH200" s="7" t="n">
        <f aca="false">N('KNOWIFY PHASES'!H200)</f>
        <v>0</v>
      </c>
      <c r="AI200" s="7" t="n">
        <f aca="false">N('KNOWIFY PHASES'!O200)</f>
        <v>0</v>
      </c>
      <c r="AJ200" s="7" t="n">
        <f aca="false">N('KNOWIFY PHASES'!N200)</f>
        <v>0</v>
      </c>
      <c r="AK200" s="7" t="n">
        <f aca="false">N('KNOWIFY PHASES'!R200)</f>
        <v>0</v>
      </c>
      <c r="AL200" s="7" t="n">
        <f aca="false">N('KNOWIFY PHASES'!Q200)</f>
        <v>0</v>
      </c>
      <c r="AM200" s="7" t="n">
        <f aca="false">N('KNOWIFY PHASES'!F200)</f>
        <v>0</v>
      </c>
      <c r="AN200" s="7" t="n">
        <f aca="false">N('KNOWIFY PHASES'!E200)</f>
        <v>0</v>
      </c>
      <c r="AO200" s="7" t="n">
        <f aca="false">MAX(AE200,AF200)</f>
        <v>0</v>
      </c>
      <c r="AP200" s="7" t="n">
        <f aca="false">MAX(AG200,AH200)</f>
        <v>0</v>
      </c>
      <c r="AQ200" s="7" t="n">
        <f aca="false">MAX(AI200,AJ200)</f>
        <v>0</v>
      </c>
      <c r="AR200" s="7" t="n">
        <f aca="false">MAX(AK200,AL200)</f>
        <v>0</v>
      </c>
      <c r="AT200" s="7" t="str">
        <f aca="false">IF('KNOWIFY TIME'!B200="","",'KNOWIFY TIME'!B200)</f>
        <v/>
      </c>
      <c r="AU200" s="7" t="n">
        <f aca="false">IF(AT200="",0,IF(ISNUMBER('KNOWIFY TIME'!D200),'KNOWIFY TIME'!D200*24,IFERROR(VALUE(LEFT('KNOWIFY TIME'!D200,FIND(":",'KNOWIFY TIME'!D200)-1))+VALUE(MID('KNOWIFY TIME'!D200,FIND(":",'KNOWIFY TIME'!D200)+1,2))/60,0)))</f>
        <v>0</v>
      </c>
      <c r="AV200" s="7" t="n">
        <f aca="false">N('KNOWIFY TIME'!E200)</f>
        <v>0</v>
      </c>
      <c r="AW200" s="7" t="str">
        <f aca="false">IF(AT200="","",IFERROR(INDEX($BD$5:$BD$60,MATCH(AT200,$BC$5:$BC$60,0)),"Unmapped"))</f>
        <v/>
      </c>
    </row>
    <row r="201" customFormat="false" ht="15" hidden="false" customHeight="false" outlineLevel="0" collapsed="false">
      <c r="AA201" s="7" t="str">
        <f aca="false">IF('KNOWIFY PHASES'!A201="","",'KNOWIFY PHASES'!A201)</f>
        <v/>
      </c>
      <c r="AB201" s="7" t="str">
        <f aca="false">IF(AA201="","",IF(LEFT(AA201,4)="P - ","P",IF(LEFT(AA201,4)="H - ","H",IF(LEFT(AA201,5)="AC - ","AC",IF(OR(LEFT(AA201,4)="V - ",LEFT(AA201,7)="HVAC - "),"V","Other")))))</f>
        <v/>
      </c>
      <c r="AC201" s="7" t="str">
        <f aca="false">IF(AA201="","",IFERROR(LOOKUP(2,1/(($AZ$5:$AZ$60&lt;&gt;"")*ISNUMBER(SEARCH($AZ$5:$AZ$60,AA201))),$BA$5:$BA$60),IF(AB201="Other","Excluded","Unmapped")))</f>
        <v/>
      </c>
      <c r="AD201" s="7" t="str">
        <f aca="false">IF(AA201="","",IF(AND(AB201&lt;&gt;"Other",OR(AND('KNOWIFY PHASES'!B201="Closed",N('KNOWIFY PHASES'!D201)&gt;=0.5),N('KNOWIFY PHASES'!D201)&gt;=1)),1,0))</f>
        <v/>
      </c>
      <c r="AE201" s="7" t="n">
        <f aca="false">N('KNOWIFY PHASES'!L201)</f>
        <v>0</v>
      </c>
      <c r="AF201" s="7" t="n">
        <f aca="false">N('KNOWIFY PHASES'!K201)</f>
        <v>0</v>
      </c>
      <c r="AG201" s="7" t="n">
        <f aca="false">N('KNOWIFY PHASES'!I201)</f>
        <v>0</v>
      </c>
      <c r="AH201" s="7" t="n">
        <f aca="false">N('KNOWIFY PHASES'!H201)</f>
        <v>0</v>
      </c>
      <c r="AI201" s="7" t="n">
        <f aca="false">N('KNOWIFY PHASES'!O201)</f>
        <v>0</v>
      </c>
      <c r="AJ201" s="7" t="n">
        <f aca="false">N('KNOWIFY PHASES'!N201)</f>
        <v>0</v>
      </c>
      <c r="AK201" s="7" t="n">
        <f aca="false">N('KNOWIFY PHASES'!R201)</f>
        <v>0</v>
      </c>
      <c r="AL201" s="7" t="n">
        <f aca="false">N('KNOWIFY PHASES'!Q201)</f>
        <v>0</v>
      </c>
      <c r="AM201" s="7" t="n">
        <f aca="false">N('KNOWIFY PHASES'!F201)</f>
        <v>0</v>
      </c>
      <c r="AN201" s="7" t="n">
        <f aca="false">N('KNOWIFY PHASES'!E201)</f>
        <v>0</v>
      </c>
      <c r="AO201" s="7" t="n">
        <f aca="false">MAX(AE201,AF201)</f>
        <v>0</v>
      </c>
      <c r="AP201" s="7" t="n">
        <f aca="false">MAX(AG201,AH201)</f>
        <v>0</v>
      </c>
      <c r="AQ201" s="7" t="n">
        <f aca="false">MAX(AI201,AJ201)</f>
        <v>0</v>
      </c>
      <c r="AR201" s="7" t="n">
        <f aca="false">MAX(AK201,AL201)</f>
        <v>0</v>
      </c>
      <c r="AT201" s="7" t="str">
        <f aca="false">IF('KNOWIFY TIME'!B201="","",'KNOWIFY TIME'!B201)</f>
        <v/>
      </c>
      <c r="AU201" s="7" t="n">
        <f aca="false">IF(AT201="",0,IF(ISNUMBER('KNOWIFY TIME'!D201),'KNOWIFY TIME'!D201*24,IFERROR(VALUE(LEFT('KNOWIFY TIME'!D201,FIND(":",'KNOWIFY TIME'!D201)-1))+VALUE(MID('KNOWIFY TIME'!D201,FIND(":",'KNOWIFY TIME'!D201)+1,2))/60,0)))</f>
        <v>0</v>
      </c>
      <c r="AV201" s="7" t="n">
        <f aca="false">N('KNOWIFY TIME'!E201)</f>
        <v>0</v>
      </c>
      <c r="AW201" s="7" t="str">
        <f aca="false">IF(AT201="","",IFERROR(INDEX($BD$5:$BD$60,MATCH(AT201,$BC$5:$BC$60,0)),"Unmapped"))</f>
        <v/>
      </c>
    </row>
    <row r="202" customFormat="false" ht="15" hidden="false" customHeight="false" outlineLevel="0" collapsed="false">
      <c r="AA202" s="7" t="str">
        <f aca="false">IF('KNOWIFY PHASES'!A202="","",'KNOWIFY PHASES'!A202)</f>
        <v/>
      </c>
      <c r="AB202" s="7" t="str">
        <f aca="false">IF(AA202="","",IF(LEFT(AA202,4)="P - ","P",IF(LEFT(AA202,4)="H - ","H",IF(LEFT(AA202,5)="AC - ","AC",IF(OR(LEFT(AA202,4)="V - ",LEFT(AA202,7)="HVAC - "),"V","Other")))))</f>
        <v/>
      </c>
      <c r="AC202" s="7" t="str">
        <f aca="false">IF(AA202="","",IFERROR(LOOKUP(2,1/(($AZ$5:$AZ$60&lt;&gt;"")*ISNUMBER(SEARCH($AZ$5:$AZ$60,AA202))),$BA$5:$BA$60),IF(AB202="Other","Excluded","Unmapped")))</f>
        <v/>
      </c>
      <c r="AD202" s="7" t="str">
        <f aca="false">IF(AA202="","",IF(AND(AB202&lt;&gt;"Other",OR(AND('KNOWIFY PHASES'!B202="Closed",N('KNOWIFY PHASES'!D202)&gt;=0.5),N('KNOWIFY PHASES'!D202)&gt;=1)),1,0))</f>
        <v/>
      </c>
      <c r="AE202" s="7" t="n">
        <f aca="false">N('KNOWIFY PHASES'!L202)</f>
        <v>0</v>
      </c>
      <c r="AF202" s="7" t="n">
        <f aca="false">N('KNOWIFY PHASES'!K202)</f>
        <v>0</v>
      </c>
      <c r="AG202" s="7" t="n">
        <f aca="false">N('KNOWIFY PHASES'!I202)</f>
        <v>0</v>
      </c>
      <c r="AH202" s="7" t="n">
        <f aca="false">N('KNOWIFY PHASES'!H202)</f>
        <v>0</v>
      </c>
      <c r="AI202" s="7" t="n">
        <f aca="false">N('KNOWIFY PHASES'!O202)</f>
        <v>0</v>
      </c>
      <c r="AJ202" s="7" t="n">
        <f aca="false">N('KNOWIFY PHASES'!N202)</f>
        <v>0</v>
      </c>
      <c r="AK202" s="7" t="n">
        <f aca="false">N('KNOWIFY PHASES'!R202)</f>
        <v>0</v>
      </c>
      <c r="AL202" s="7" t="n">
        <f aca="false">N('KNOWIFY PHASES'!Q202)</f>
        <v>0</v>
      </c>
      <c r="AM202" s="7" t="n">
        <f aca="false">N('KNOWIFY PHASES'!F202)</f>
        <v>0</v>
      </c>
      <c r="AN202" s="7" t="n">
        <f aca="false">N('KNOWIFY PHASES'!E202)</f>
        <v>0</v>
      </c>
      <c r="AO202" s="7" t="n">
        <f aca="false">MAX(AE202,AF202)</f>
        <v>0</v>
      </c>
      <c r="AP202" s="7" t="n">
        <f aca="false">MAX(AG202,AH202)</f>
        <v>0</v>
      </c>
      <c r="AQ202" s="7" t="n">
        <f aca="false">MAX(AI202,AJ202)</f>
        <v>0</v>
      </c>
      <c r="AR202" s="7" t="n">
        <f aca="false">MAX(AK202,AL202)</f>
        <v>0</v>
      </c>
      <c r="AT202" s="7" t="str">
        <f aca="false">IF('KNOWIFY TIME'!B202="","",'KNOWIFY TIME'!B202)</f>
        <v/>
      </c>
      <c r="AU202" s="7" t="n">
        <f aca="false">IF(AT202="",0,IF(ISNUMBER('KNOWIFY TIME'!D202),'KNOWIFY TIME'!D202*24,IFERROR(VALUE(LEFT('KNOWIFY TIME'!D202,FIND(":",'KNOWIFY TIME'!D202)-1))+VALUE(MID('KNOWIFY TIME'!D202,FIND(":",'KNOWIFY TIME'!D202)+1,2))/60,0)))</f>
        <v>0</v>
      </c>
      <c r="AV202" s="7" t="n">
        <f aca="false">N('KNOWIFY TIME'!E202)</f>
        <v>0</v>
      </c>
      <c r="AW202" s="7" t="str">
        <f aca="false">IF(AT202="","",IFERROR(INDEX($BD$5:$BD$60,MATCH(AT202,$BC$5:$BC$60,0)),"Unmapped"))</f>
        <v/>
      </c>
    </row>
    <row r="203" customFormat="false" ht="15" hidden="false" customHeight="false" outlineLevel="0" collapsed="false">
      <c r="AA203" s="7" t="str">
        <f aca="false">IF('KNOWIFY PHASES'!A203="","",'KNOWIFY PHASES'!A203)</f>
        <v/>
      </c>
      <c r="AB203" s="7" t="str">
        <f aca="false">IF(AA203="","",IF(LEFT(AA203,4)="P - ","P",IF(LEFT(AA203,4)="H - ","H",IF(LEFT(AA203,5)="AC - ","AC",IF(OR(LEFT(AA203,4)="V - ",LEFT(AA203,7)="HVAC - "),"V","Other")))))</f>
        <v/>
      </c>
      <c r="AC203" s="7" t="str">
        <f aca="false">IF(AA203="","",IFERROR(LOOKUP(2,1/(($AZ$5:$AZ$60&lt;&gt;"")*ISNUMBER(SEARCH($AZ$5:$AZ$60,AA203))),$BA$5:$BA$60),IF(AB203="Other","Excluded","Unmapped")))</f>
        <v/>
      </c>
      <c r="AD203" s="7" t="str">
        <f aca="false">IF(AA203="","",IF(AND(AB203&lt;&gt;"Other",OR(AND('KNOWIFY PHASES'!B203="Closed",N('KNOWIFY PHASES'!D203)&gt;=0.5),N('KNOWIFY PHASES'!D203)&gt;=1)),1,0))</f>
        <v/>
      </c>
      <c r="AE203" s="7" t="n">
        <f aca="false">N('KNOWIFY PHASES'!L203)</f>
        <v>0</v>
      </c>
      <c r="AF203" s="7" t="n">
        <f aca="false">N('KNOWIFY PHASES'!K203)</f>
        <v>0</v>
      </c>
      <c r="AG203" s="7" t="n">
        <f aca="false">N('KNOWIFY PHASES'!I203)</f>
        <v>0</v>
      </c>
      <c r="AH203" s="7" t="n">
        <f aca="false">N('KNOWIFY PHASES'!H203)</f>
        <v>0</v>
      </c>
      <c r="AI203" s="7" t="n">
        <f aca="false">N('KNOWIFY PHASES'!O203)</f>
        <v>0</v>
      </c>
      <c r="AJ203" s="7" t="n">
        <f aca="false">N('KNOWIFY PHASES'!N203)</f>
        <v>0</v>
      </c>
      <c r="AK203" s="7" t="n">
        <f aca="false">N('KNOWIFY PHASES'!R203)</f>
        <v>0</v>
      </c>
      <c r="AL203" s="7" t="n">
        <f aca="false">N('KNOWIFY PHASES'!Q203)</f>
        <v>0</v>
      </c>
      <c r="AM203" s="7" t="n">
        <f aca="false">N('KNOWIFY PHASES'!F203)</f>
        <v>0</v>
      </c>
      <c r="AN203" s="7" t="n">
        <f aca="false">N('KNOWIFY PHASES'!E203)</f>
        <v>0</v>
      </c>
      <c r="AO203" s="7" t="n">
        <f aca="false">MAX(AE203,AF203)</f>
        <v>0</v>
      </c>
      <c r="AP203" s="7" t="n">
        <f aca="false">MAX(AG203,AH203)</f>
        <v>0</v>
      </c>
      <c r="AQ203" s="7" t="n">
        <f aca="false">MAX(AI203,AJ203)</f>
        <v>0</v>
      </c>
      <c r="AR203" s="7" t="n">
        <f aca="false">MAX(AK203,AL203)</f>
        <v>0</v>
      </c>
      <c r="AT203" s="7" t="str">
        <f aca="false">IF('KNOWIFY TIME'!B203="","",'KNOWIFY TIME'!B203)</f>
        <v/>
      </c>
      <c r="AU203" s="7" t="n">
        <f aca="false">IF(AT203="",0,IF(ISNUMBER('KNOWIFY TIME'!D203),'KNOWIFY TIME'!D203*24,IFERROR(VALUE(LEFT('KNOWIFY TIME'!D203,FIND(":",'KNOWIFY TIME'!D203)-1))+VALUE(MID('KNOWIFY TIME'!D203,FIND(":",'KNOWIFY TIME'!D203)+1,2))/60,0)))</f>
        <v>0</v>
      </c>
      <c r="AV203" s="7" t="n">
        <f aca="false">N('KNOWIFY TIME'!E203)</f>
        <v>0</v>
      </c>
      <c r="AW203" s="7" t="str">
        <f aca="false">IF(AT203="","",IFERROR(INDEX($BD$5:$BD$60,MATCH(AT203,$BC$5:$BC$60,0)),"Unmapped"))</f>
        <v/>
      </c>
    </row>
    <row r="204" customFormat="false" ht="15" hidden="false" customHeight="false" outlineLevel="0" collapsed="false">
      <c r="AA204" s="7" t="str">
        <f aca="false">IF('KNOWIFY PHASES'!A204="","",'KNOWIFY PHASES'!A204)</f>
        <v/>
      </c>
      <c r="AB204" s="7" t="str">
        <f aca="false">IF(AA204="","",IF(LEFT(AA204,4)="P - ","P",IF(LEFT(AA204,4)="H - ","H",IF(LEFT(AA204,5)="AC - ","AC",IF(OR(LEFT(AA204,4)="V - ",LEFT(AA204,7)="HVAC - "),"V","Other")))))</f>
        <v/>
      </c>
      <c r="AC204" s="7" t="str">
        <f aca="false">IF(AA204="","",IFERROR(LOOKUP(2,1/(($AZ$5:$AZ$60&lt;&gt;"")*ISNUMBER(SEARCH($AZ$5:$AZ$60,AA204))),$BA$5:$BA$60),IF(AB204="Other","Excluded","Unmapped")))</f>
        <v/>
      </c>
      <c r="AD204" s="7" t="str">
        <f aca="false">IF(AA204="","",IF(AND(AB204&lt;&gt;"Other",OR(AND('KNOWIFY PHASES'!B204="Closed",N('KNOWIFY PHASES'!D204)&gt;=0.5),N('KNOWIFY PHASES'!D204)&gt;=1)),1,0))</f>
        <v/>
      </c>
      <c r="AE204" s="7" t="n">
        <f aca="false">N('KNOWIFY PHASES'!L204)</f>
        <v>0</v>
      </c>
      <c r="AF204" s="7" t="n">
        <f aca="false">N('KNOWIFY PHASES'!K204)</f>
        <v>0</v>
      </c>
      <c r="AG204" s="7" t="n">
        <f aca="false">N('KNOWIFY PHASES'!I204)</f>
        <v>0</v>
      </c>
      <c r="AH204" s="7" t="n">
        <f aca="false">N('KNOWIFY PHASES'!H204)</f>
        <v>0</v>
      </c>
      <c r="AI204" s="7" t="n">
        <f aca="false">N('KNOWIFY PHASES'!O204)</f>
        <v>0</v>
      </c>
      <c r="AJ204" s="7" t="n">
        <f aca="false">N('KNOWIFY PHASES'!N204)</f>
        <v>0</v>
      </c>
      <c r="AK204" s="7" t="n">
        <f aca="false">N('KNOWIFY PHASES'!R204)</f>
        <v>0</v>
      </c>
      <c r="AL204" s="7" t="n">
        <f aca="false">N('KNOWIFY PHASES'!Q204)</f>
        <v>0</v>
      </c>
      <c r="AM204" s="7" t="n">
        <f aca="false">N('KNOWIFY PHASES'!F204)</f>
        <v>0</v>
      </c>
      <c r="AN204" s="7" t="n">
        <f aca="false">N('KNOWIFY PHASES'!E204)</f>
        <v>0</v>
      </c>
      <c r="AO204" s="7" t="n">
        <f aca="false">MAX(AE204,AF204)</f>
        <v>0</v>
      </c>
      <c r="AP204" s="7" t="n">
        <f aca="false">MAX(AG204,AH204)</f>
        <v>0</v>
      </c>
      <c r="AQ204" s="7" t="n">
        <f aca="false">MAX(AI204,AJ204)</f>
        <v>0</v>
      </c>
      <c r="AR204" s="7" t="n">
        <f aca="false">MAX(AK204,AL204)</f>
        <v>0</v>
      </c>
      <c r="AT204" s="7" t="str">
        <f aca="false">IF('KNOWIFY TIME'!B204="","",'KNOWIFY TIME'!B204)</f>
        <v/>
      </c>
      <c r="AU204" s="7" t="n">
        <f aca="false">IF(AT204="",0,IF(ISNUMBER('KNOWIFY TIME'!D204),'KNOWIFY TIME'!D204*24,IFERROR(VALUE(LEFT('KNOWIFY TIME'!D204,FIND(":",'KNOWIFY TIME'!D204)-1))+VALUE(MID('KNOWIFY TIME'!D204,FIND(":",'KNOWIFY TIME'!D204)+1,2))/60,0)))</f>
        <v>0</v>
      </c>
      <c r="AV204" s="7" t="n">
        <f aca="false">N('KNOWIFY TIME'!E204)</f>
        <v>0</v>
      </c>
      <c r="AW204" s="7" t="str">
        <f aca="false">IF(AT204="","",IFERROR(INDEX($BD$5:$BD$60,MATCH(AT204,$BC$5:$BC$60,0)),"Unmapped"))</f>
        <v/>
      </c>
    </row>
    <row r="205" customFormat="false" ht="15" hidden="false" customHeight="false" outlineLevel="0" collapsed="false">
      <c r="AA205" s="7" t="str">
        <f aca="false">IF('KNOWIFY PHASES'!A205="","",'KNOWIFY PHASES'!A205)</f>
        <v/>
      </c>
      <c r="AB205" s="7" t="str">
        <f aca="false">IF(AA205="","",IF(LEFT(AA205,4)="P - ","P",IF(LEFT(AA205,4)="H - ","H",IF(LEFT(AA205,5)="AC - ","AC",IF(OR(LEFT(AA205,4)="V - ",LEFT(AA205,7)="HVAC - "),"V","Other")))))</f>
        <v/>
      </c>
      <c r="AC205" s="7" t="str">
        <f aca="false">IF(AA205="","",IFERROR(LOOKUP(2,1/(($AZ$5:$AZ$60&lt;&gt;"")*ISNUMBER(SEARCH($AZ$5:$AZ$60,AA205))),$BA$5:$BA$60),IF(AB205="Other","Excluded","Unmapped")))</f>
        <v/>
      </c>
      <c r="AD205" s="7" t="str">
        <f aca="false">IF(AA205="","",IF(AND(AB205&lt;&gt;"Other",OR(AND('KNOWIFY PHASES'!B205="Closed",N('KNOWIFY PHASES'!D205)&gt;=0.5),N('KNOWIFY PHASES'!D205)&gt;=1)),1,0))</f>
        <v/>
      </c>
      <c r="AE205" s="7" t="n">
        <f aca="false">N('KNOWIFY PHASES'!L205)</f>
        <v>0</v>
      </c>
      <c r="AF205" s="7" t="n">
        <f aca="false">N('KNOWIFY PHASES'!K205)</f>
        <v>0</v>
      </c>
      <c r="AG205" s="7" t="n">
        <f aca="false">N('KNOWIFY PHASES'!I205)</f>
        <v>0</v>
      </c>
      <c r="AH205" s="7" t="n">
        <f aca="false">N('KNOWIFY PHASES'!H205)</f>
        <v>0</v>
      </c>
      <c r="AI205" s="7" t="n">
        <f aca="false">N('KNOWIFY PHASES'!O205)</f>
        <v>0</v>
      </c>
      <c r="AJ205" s="7" t="n">
        <f aca="false">N('KNOWIFY PHASES'!N205)</f>
        <v>0</v>
      </c>
      <c r="AK205" s="7" t="n">
        <f aca="false">N('KNOWIFY PHASES'!R205)</f>
        <v>0</v>
      </c>
      <c r="AL205" s="7" t="n">
        <f aca="false">N('KNOWIFY PHASES'!Q205)</f>
        <v>0</v>
      </c>
      <c r="AM205" s="7" t="n">
        <f aca="false">N('KNOWIFY PHASES'!F205)</f>
        <v>0</v>
      </c>
      <c r="AN205" s="7" t="n">
        <f aca="false">N('KNOWIFY PHASES'!E205)</f>
        <v>0</v>
      </c>
      <c r="AO205" s="7" t="n">
        <f aca="false">MAX(AE205,AF205)</f>
        <v>0</v>
      </c>
      <c r="AP205" s="7" t="n">
        <f aca="false">MAX(AG205,AH205)</f>
        <v>0</v>
      </c>
      <c r="AQ205" s="7" t="n">
        <f aca="false">MAX(AI205,AJ205)</f>
        <v>0</v>
      </c>
      <c r="AR205" s="7" t="n">
        <f aca="false">MAX(AK205,AL205)</f>
        <v>0</v>
      </c>
      <c r="AT205" s="7" t="str">
        <f aca="false">IF('KNOWIFY TIME'!B205="","",'KNOWIFY TIME'!B205)</f>
        <v/>
      </c>
      <c r="AU205" s="7" t="n">
        <f aca="false">IF(AT205="",0,IF(ISNUMBER('KNOWIFY TIME'!D205),'KNOWIFY TIME'!D205*24,IFERROR(VALUE(LEFT('KNOWIFY TIME'!D205,FIND(":",'KNOWIFY TIME'!D205)-1))+VALUE(MID('KNOWIFY TIME'!D205,FIND(":",'KNOWIFY TIME'!D205)+1,2))/60,0)))</f>
        <v>0</v>
      </c>
      <c r="AV205" s="7" t="n">
        <f aca="false">N('KNOWIFY TIME'!E205)</f>
        <v>0</v>
      </c>
      <c r="AW205" s="7" t="str">
        <f aca="false">IF(AT205="","",IFERROR(INDEX($BD$5:$BD$60,MATCH(AT205,$BC$5:$BC$60,0)),"Unmapped"))</f>
        <v/>
      </c>
    </row>
    <row r="206" customFormat="false" ht="15" hidden="false" customHeight="false" outlineLevel="0" collapsed="false">
      <c r="AA206" s="7" t="str">
        <f aca="false">IF('KNOWIFY PHASES'!A206="","",'KNOWIFY PHASES'!A206)</f>
        <v/>
      </c>
      <c r="AB206" s="7" t="str">
        <f aca="false">IF(AA206="","",IF(LEFT(AA206,4)="P - ","P",IF(LEFT(AA206,4)="H - ","H",IF(LEFT(AA206,5)="AC - ","AC",IF(OR(LEFT(AA206,4)="V - ",LEFT(AA206,7)="HVAC - "),"V","Other")))))</f>
        <v/>
      </c>
      <c r="AC206" s="7" t="str">
        <f aca="false">IF(AA206="","",IFERROR(LOOKUP(2,1/(($AZ$5:$AZ$60&lt;&gt;"")*ISNUMBER(SEARCH($AZ$5:$AZ$60,AA206))),$BA$5:$BA$60),IF(AB206="Other","Excluded","Unmapped")))</f>
        <v/>
      </c>
      <c r="AD206" s="7" t="str">
        <f aca="false">IF(AA206="","",IF(AND(AB206&lt;&gt;"Other",OR(AND('KNOWIFY PHASES'!B206="Closed",N('KNOWIFY PHASES'!D206)&gt;=0.5),N('KNOWIFY PHASES'!D206)&gt;=1)),1,0))</f>
        <v/>
      </c>
      <c r="AE206" s="7" t="n">
        <f aca="false">N('KNOWIFY PHASES'!L206)</f>
        <v>0</v>
      </c>
      <c r="AF206" s="7" t="n">
        <f aca="false">N('KNOWIFY PHASES'!K206)</f>
        <v>0</v>
      </c>
      <c r="AG206" s="7" t="n">
        <f aca="false">N('KNOWIFY PHASES'!I206)</f>
        <v>0</v>
      </c>
      <c r="AH206" s="7" t="n">
        <f aca="false">N('KNOWIFY PHASES'!H206)</f>
        <v>0</v>
      </c>
      <c r="AI206" s="7" t="n">
        <f aca="false">N('KNOWIFY PHASES'!O206)</f>
        <v>0</v>
      </c>
      <c r="AJ206" s="7" t="n">
        <f aca="false">N('KNOWIFY PHASES'!N206)</f>
        <v>0</v>
      </c>
      <c r="AK206" s="7" t="n">
        <f aca="false">N('KNOWIFY PHASES'!R206)</f>
        <v>0</v>
      </c>
      <c r="AL206" s="7" t="n">
        <f aca="false">N('KNOWIFY PHASES'!Q206)</f>
        <v>0</v>
      </c>
      <c r="AM206" s="7" t="n">
        <f aca="false">N('KNOWIFY PHASES'!F206)</f>
        <v>0</v>
      </c>
      <c r="AN206" s="7" t="n">
        <f aca="false">N('KNOWIFY PHASES'!E206)</f>
        <v>0</v>
      </c>
      <c r="AO206" s="7" t="n">
        <f aca="false">MAX(AE206,AF206)</f>
        <v>0</v>
      </c>
      <c r="AP206" s="7" t="n">
        <f aca="false">MAX(AG206,AH206)</f>
        <v>0</v>
      </c>
      <c r="AQ206" s="7" t="n">
        <f aca="false">MAX(AI206,AJ206)</f>
        <v>0</v>
      </c>
      <c r="AR206" s="7" t="n">
        <f aca="false">MAX(AK206,AL206)</f>
        <v>0</v>
      </c>
      <c r="AT206" s="7" t="str">
        <f aca="false">IF('KNOWIFY TIME'!B206="","",'KNOWIFY TIME'!B206)</f>
        <v/>
      </c>
      <c r="AU206" s="7" t="n">
        <f aca="false">IF(AT206="",0,IF(ISNUMBER('KNOWIFY TIME'!D206),'KNOWIFY TIME'!D206*24,IFERROR(VALUE(LEFT('KNOWIFY TIME'!D206,FIND(":",'KNOWIFY TIME'!D206)-1))+VALUE(MID('KNOWIFY TIME'!D206,FIND(":",'KNOWIFY TIME'!D206)+1,2))/60,0)))</f>
        <v>0</v>
      </c>
      <c r="AV206" s="7" t="n">
        <f aca="false">N('KNOWIFY TIME'!E206)</f>
        <v>0</v>
      </c>
      <c r="AW206" s="7" t="str">
        <f aca="false">IF(AT206="","",IFERROR(INDEX($BD$5:$BD$60,MATCH(AT206,$BC$5:$BC$60,0)),"Unmapped"))</f>
        <v/>
      </c>
    </row>
    <row r="207" customFormat="false" ht="15" hidden="false" customHeight="false" outlineLevel="0" collapsed="false">
      <c r="AA207" s="7" t="str">
        <f aca="false">IF('KNOWIFY PHASES'!A207="","",'KNOWIFY PHASES'!A207)</f>
        <v/>
      </c>
      <c r="AB207" s="7" t="str">
        <f aca="false">IF(AA207="","",IF(LEFT(AA207,4)="P - ","P",IF(LEFT(AA207,4)="H - ","H",IF(LEFT(AA207,5)="AC - ","AC",IF(OR(LEFT(AA207,4)="V - ",LEFT(AA207,7)="HVAC - "),"V","Other")))))</f>
        <v/>
      </c>
      <c r="AC207" s="7" t="str">
        <f aca="false">IF(AA207="","",IFERROR(LOOKUP(2,1/(($AZ$5:$AZ$60&lt;&gt;"")*ISNUMBER(SEARCH($AZ$5:$AZ$60,AA207))),$BA$5:$BA$60),IF(AB207="Other","Excluded","Unmapped")))</f>
        <v/>
      </c>
      <c r="AD207" s="7" t="str">
        <f aca="false">IF(AA207="","",IF(AND(AB207&lt;&gt;"Other",OR(AND('KNOWIFY PHASES'!B207="Closed",N('KNOWIFY PHASES'!D207)&gt;=0.5),N('KNOWIFY PHASES'!D207)&gt;=1)),1,0))</f>
        <v/>
      </c>
      <c r="AE207" s="7" t="n">
        <f aca="false">N('KNOWIFY PHASES'!L207)</f>
        <v>0</v>
      </c>
      <c r="AF207" s="7" t="n">
        <f aca="false">N('KNOWIFY PHASES'!K207)</f>
        <v>0</v>
      </c>
      <c r="AG207" s="7" t="n">
        <f aca="false">N('KNOWIFY PHASES'!I207)</f>
        <v>0</v>
      </c>
      <c r="AH207" s="7" t="n">
        <f aca="false">N('KNOWIFY PHASES'!H207)</f>
        <v>0</v>
      </c>
      <c r="AI207" s="7" t="n">
        <f aca="false">N('KNOWIFY PHASES'!O207)</f>
        <v>0</v>
      </c>
      <c r="AJ207" s="7" t="n">
        <f aca="false">N('KNOWIFY PHASES'!N207)</f>
        <v>0</v>
      </c>
      <c r="AK207" s="7" t="n">
        <f aca="false">N('KNOWIFY PHASES'!R207)</f>
        <v>0</v>
      </c>
      <c r="AL207" s="7" t="n">
        <f aca="false">N('KNOWIFY PHASES'!Q207)</f>
        <v>0</v>
      </c>
      <c r="AM207" s="7" t="n">
        <f aca="false">N('KNOWIFY PHASES'!F207)</f>
        <v>0</v>
      </c>
      <c r="AN207" s="7" t="n">
        <f aca="false">N('KNOWIFY PHASES'!E207)</f>
        <v>0</v>
      </c>
      <c r="AO207" s="7" t="n">
        <f aca="false">MAX(AE207,AF207)</f>
        <v>0</v>
      </c>
      <c r="AP207" s="7" t="n">
        <f aca="false">MAX(AG207,AH207)</f>
        <v>0</v>
      </c>
      <c r="AQ207" s="7" t="n">
        <f aca="false">MAX(AI207,AJ207)</f>
        <v>0</v>
      </c>
      <c r="AR207" s="7" t="n">
        <f aca="false">MAX(AK207,AL207)</f>
        <v>0</v>
      </c>
      <c r="AT207" s="7" t="str">
        <f aca="false">IF('KNOWIFY TIME'!B207="","",'KNOWIFY TIME'!B207)</f>
        <v/>
      </c>
      <c r="AU207" s="7" t="n">
        <f aca="false">IF(AT207="",0,IF(ISNUMBER('KNOWIFY TIME'!D207),'KNOWIFY TIME'!D207*24,IFERROR(VALUE(LEFT('KNOWIFY TIME'!D207,FIND(":",'KNOWIFY TIME'!D207)-1))+VALUE(MID('KNOWIFY TIME'!D207,FIND(":",'KNOWIFY TIME'!D207)+1,2))/60,0)))</f>
        <v>0</v>
      </c>
      <c r="AV207" s="7" t="n">
        <f aca="false">N('KNOWIFY TIME'!E207)</f>
        <v>0</v>
      </c>
      <c r="AW207" s="7" t="str">
        <f aca="false">IF(AT207="","",IFERROR(INDEX($BD$5:$BD$60,MATCH(AT207,$BC$5:$BC$60,0)),"Unmapped"))</f>
        <v/>
      </c>
    </row>
    <row r="208" customFormat="false" ht="15" hidden="false" customHeight="false" outlineLevel="0" collapsed="false">
      <c r="AA208" s="7" t="str">
        <f aca="false">IF('KNOWIFY PHASES'!A208="","",'KNOWIFY PHASES'!A208)</f>
        <v/>
      </c>
      <c r="AB208" s="7" t="str">
        <f aca="false">IF(AA208="","",IF(LEFT(AA208,4)="P - ","P",IF(LEFT(AA208,4)="H - ","H",IF(LEFT(AA208,5)="AC - ","AC",IF(OR(LEFT(AA208,4)="V - ",LEFT(AA208,7)="HVAC - "),"V","Other")))))</f>
        <v/>
      </c>
      <c r="AC208" s="7" t="str">
        <f aca="false">IF(AA208="","",IFERROR(LOOKUP(2,1/(($AZ$5:$AZ$60&lt;&gt;"")*ISNUMBER(SEARCH($AZ$5:$AZ$60,AA208))),$BA$5:$BA$60),IF(AB208="Other","Excluded","Unmapped")))</f>
        <v/>
      </c>
      <c r="AD208" s="7" t="str">
        <f aca="false">IF(AA208="","",IF(AND(AB208&lt;&gt;"Other",OR(AND('KNOWIFY PHASES'!B208="Closed",N('KNOWIFY PHASES'!D208)&gt;=0.5),N('KNOWIFY PHASES'!D208)&gt;=1)),1,0))</f>
        <v/>
      </c>
      <c r="AE208" s="7" t="n">
        <f aca="false">N('KNOWIFY PHASES'!L208)</f>
        <v>0</v>
      </c>
      <c r="AF208" s="7" t="n">
        <f aca="false">N('KNOWIFY PHASES'!K208)</f>
        <v>0</v>
      </c>
      <c r="AG208" s="7" t="n">
        <f aca="false">N('KNOWIFY PHASES'!I208)</f>
        <v>0</v>
      </c>
      <c r="AH208" s="7" t="n">
        <f aca="false">N('KNOWIFY PHASES'!H208)</f>
        <v>0</v>
      </c>
      <c r="AI208" s="7" t="n">
        <f aca="false">N('KNOWIFY PHASES'!O208)</f>
        <v>0</v>
      </c>
      <c r="AJ208" s="7" t="n">
        <f aca="false">N('KNOWIFY PHASES'!N208)</f>
        <v>0</v>
      </c>
      <c r="AK208" s="7" t="n">
        <f aca="false">N('KNOWIFY PHASES'!R208)</f>
        <v>0</v>
      </c>
      <c r="AL208" s="7" t="n">
        <f aca="false">N('KNOWIFY PHASES'!Q208)</f>
        <v>0</v>
      </c>
      <c r="AM208" s="7" t="n">
        <f aca="false">N('KNOWIFY PHASES'!F208)</f>
        <v>0</v>
      </c>
      <c r="AN208" s="7" t="n">
        <f aca="false">N('KNOWIFY PHASES'!E208)</f>
        <v>0</v>
      </c>
      <c r="AO208" s="7" t="n">
        <f aca="false">MAX(AE208,AF208)</f>
        <v>0</v>
      </c>
      <c r="AP208" s="7" t="n">
        <f aca="false">MAX(AG208,AH208)</f>
        <v>0</v>
      </c>
      <c r="AQ208" s="7" t="n">
        <f aca="false">MAX(AI208,AJ208)</f>
        <v>0</v>
      </c>
      <c r="AR208" s="7" t="n">
        <f aca="false">MAX(AK208,AL208)</f>
        <v>0</v>
      </c>
      <c r="AT208" s="7" t="str">
        <f aca="false">IF('KNOWIFY TIME'!B208="","",'KNOWIFY TIME'!B208)</f>
        <v/>
      </c>
      <c r="AU208" s="7" t="n">
        <f aca="false">IF(AT208="",0,IF(ISNUMBER('KNOWIFY TIME'!D208),'KNOWIFY TIME'!D208*24,IFERROR(VALUE(LEFT('KNOWIFY TIME'!D208,FIND(":",'KNOWIFY TIME'!D208)-1))+VALUE(MID('KNOWIFY TIME'!D208,FIND(":",'KNOWIFY TIME'!D208)+1,2))/60,0)))</f>
        <v>0</v>
      </c>
      <c r="AV208" s="7" t="n">
        <f aca="false">N('KNOWIFY TIME'!E208)</f>
        <v>0</v>
      </c>
      <c r="AW208" s="7" t="str">
        <f aca="false">IF(AT208="","",IFERROR(INDEX($BD$5:$BD$60,MATCH(AT208,$BC$5:$BC$60,0)),"Unmapped"))</f>
        <v/>
      </c>
    </row>
    <row r="209" customFormat="false" ht="15" hidden="false" customHeight="false" outlineLevel="0" collapsed="false">
      <c r="AA209" s="7" t="str">
        <f aca="false">IF('KNOWIFY PHASES'!A209="","",'KNOWIFY PHASES'!A209)</f>
        <v/>
      </c>
      <c r="AB209" s="7" t="str">
        <f aca="false">IF(AA209="","",IF(LEFT(AA209,4)="P - ","P",IF(LEFT(AA209,4)="H - ","H",IF(LEFT(AA209,5)="AC - ","AC",IF(OR(LEFT(AA209,4)="V - ",LEFT(AA209,7)="HVAC - "),"V","Other")))))</f>
        <v/>
      </c>
      <c r="AC209" s="7" t="str">
        <f aca="false">IF(AA209="","",IFERROR(LOOKUP(2,1/(($AZ$5:$AZ$60&lt;&gt;"")*ISNUMBER(SEARCH($AZ$5:$AZ$60,AA209))),$BA$5:$BA$60),IF(AB209="Other","Excluded","Unmapped")))</f>
        <v/>
      </c>
      <c r="AD209" s="7" t="str">
        <f aca="false">IF(AA209="","",IF(AND(AB209&lt;&gt;"Other",OR(AND('KNOWIFY PHASES'!B209="Closed",N('KNOWIFY PHASES'!D209)&gt;=0.5),N('KNOWIFY PHASES'!D209)&gt;=1)),1,0))</f>
        <v/>
      </c>
      <c r="AE209" s="7" t="n">
        <f aca="false">N('KNOWIFY PHASES'!L209)</f>
        <v>0</v>
      </c>
      <c r="AF209" s="7" t="n">
        <f aca="false">N('KNOWIFY PHASES'!K209)</f>
        <v>0</v>
      </c>
      <c r="AG209" s="7" t="n">
        <f aca="false">N('KNOWIFY PHASES'!I209)</f>
        <v>0</v>
      </c>
      <c r="AH209" s="7" t="n">
        <f aca="false">N('KNOWIFY PHASES'!H209)</f>
        <v>0</v>
      </c>
      <c r="AI209" s="7" t="n">
        <f aca="false">N('KNOWIFY PHASES'!O209)</f>
        <v>0</v>
      </c>
      <c r="AJ209" s="7" t="n">
        <f aca="false">N('KNOWIFY PHASES'!N209)</f>
        <v>0</v>
      </c>
      <c r="AK209" s="7" t="n">
        <f aca="false">N('KNOWIFY PHASES'!R209)</f>
        <v>0</v>
      </c>
      <c r="AL209" s="7" t="n">
        <f aca="false">N('KNOWIFY PHASES'!Q209)</f>
        <v>0</v>
      </c>
      <c r="AM209" s="7" t="n">
        <f aca="false">N('KNOWIFY PHASES'!F209)</f>
        <v>0</v>
      </c>
      <c r="AN209" s="7" t="n">
        <f aca="false">N('KNOWIFY PHASES'!E209)</f>
        <v>0</v>
      </c>
      <c r="AO209" s="7" t="n">
        <f aca="false">MAX(AE209,AF209)</f>
        <v>0</v>
      </c>
      <c r="AP209" s="7" t="n">
        <f aca="false">MAX(AG209,AH209)</f>
        <v>0</v>
      </c>
      <c r="AQ209" s="7" t="n">
        <f aca="false">MAX(AI209,AJ209)</f>
        <v>0</v>
      </c>
      <c r="AR209" s="7" t="n">
        <f aca="false">MAX(AK209,AL209)</f>
        <v>0</v>
      </c>
      <c r="AT209" s="7" t="str">
        <f aca="false">IF('KNOWIFY TIME'!B209="","",'KNOWIFY TIME'!B209)</f>
        <v/>
      </c>
      <c r="AU209" s="7" t="n">
        <f aca="false">IF(AT209="",0,IF(ISNUMBER('KNOWIFY TIME'!D209),'KNOWIFY TIME'!D209*24,IFERROR(VALUE(LEFT('KNOWIFY TIME'!D209,FIND(":",'KNOWIFY TIME'!D209)-1))+VALUE(MID('KNOWIFY TIME'!D209,FIND(":",'KNOWIFY TIME'!D209)+1,2))/60,0)))</f>
        <v>0</v>
      </c>
      <c r="AV209" s="7" t="n">
        <f aca="false">N('KNOWIFY TIME'!E209)</f>
        <v>0</v>
      </c>
      <c r="AW209" s="7" t="str">
        <f aca="false">IF(AT209="","",IFERROR(INDEX($BD$5:$BD$60,MATCH(AT209,$BC$5:$BC$60,0)),"Unmapped"))</f>
        <v/>
      </c>
    </row>
    <row r="210" customFormat="false" ht="15" hidden="false" customHeight="false" outlineLevel="0" collapsed="false">
      <c r="AA210" s="7" t="str">
        <f aca="false">IF('KNOWIFY PHASES'!A210="","",'KNOWIFY PHASES'!A210)</f>
        <v/>
      </c>
      <c r="AB210" s="7" t="str">
        <f aca="false">IF(AA210="","",IF(LEFT(AA210,4)="P - ","P",IF(LEFT(AA210,4)="H - ","H",IF(LEFT(AA210,5)="AC - ","AC",IF(OR(LEFT(AA210,4)="V - ",LEFT(AA210,7)="HVAC - "),"V","Other")))))</f>
        <v/>
      </c>
      <c r="AC210" s="7" t="str">
        <f aca="false">IF(AA210="","",IFERROR(LOOKUP(2,1/(($AZ$5:$AZ$60&lt;&gt;"")*ISNUMBER(SEARCH($AZ$5:$AZ$60,AA210))),$BA$5:$BA$60),IF(AB210="Other","Excluded","Unmapped")))</f>
        <v/>
      </c>
      <c r="AD210" s="7" t="str">
        <f aca="false">IF(AA210="","",IF(AND(AB210&lt;&gt;"Other",OR(AND('KNOWIFY PHASES'!B210="Closed",N('KNOWIFY PHASES'!D210)&gt;=0.5),N('KNOWIFY PHASES'!D210)&gt;=1)),1,0))</f>
        <v/>
      </c>
      <c r="AE210" s="7" t="n">
        <f aca="false">N('KNOWIFY PHASES'!L210)</f>
        <v>0</v>
      </c>
      <c r="AF210" s="7" t="n">
        <f aca="false">N('KNOWIFY PHASES'!K210)</f>
        <v>0</v>
      </c>
      <c r="AG210" s="7" t="n">
        <f aca="false">N('KNOWIFY PHASES'!I210)</f>
        <v>0</v>
      </c>
      <c r="AH210" s="7" t="n">
        <f aca="false">N('KNOWIFY PHASES'!H210)</f>
        <v>0</v>
      </c>
      <c r="AI210" s="7" t="n">
        <f aca="false">N('KNOWIFY PHASES'!O210)</f>
        <v>0</v>
      </c>
      <c r="AJ210" s="7" t="n">
        <f aca="false">N('KNOWIFY PHASES'!N210)</f>
        <v>0</v>
      </c>
      <c r="AK210" s="7" t="n">
        <f aca="false">N('KNOWIFY PHASES'!R210)</f>
        <v>0</v>
      </c>
      <c r="AL210" s="7" t="n">
        <f aca="false">N('KNOWIFY PHASES'!Q210)</f>
        <v>0</v>
      </c>
      <c r="AM210" s="7" t="n">
        <f aca="false">N('KNOWIFY PHASES'!F210)</f>
        <v>0</v>
      </c>
      <c r="AN210" s="7" t="n">
        <f aca="false">N('KNOWIFY PHASES'!E210)</f>
        <v>0</v>
      </c>
      <c r="AO210" s="7" t="n">
        <f aca="false">MAX(AE210,AF210)</f>
        <v>0</v>
      </c>
      <c r="AP210" s="7" t="n">
        <f aca="false">MAX(AG210,AH210)</f>
        <v>0</v>
      </c>
      <c r="AQ210" s="7" t="n">
        <f aca="false">MAX(AI210,AJ210)</f>
        <v>0</v>
      </c>
      <c r="AR210" s="7" t="n">
        <f aca="false">MAX(AK210,AL210)</f>
        <v>0</v>
      </c>
      <c r="AT210" s="7" t="str">
        <f aca="false">IF('KNOWIFY TIME'!B210="","",'KNOWIFY TIME'!B210)</f>
        <v/>
      </c>
      <c r="AU210" s="7" t="n">
        <f aca="false">IF(AT210="",0,IF(ISNUMBER('KNOWIFY TIME'!D210),'KNOWIFY TIME'!D210*24,IFERROR(VALUE(LEFT('KNOWIFY TIME'!D210,FIND(":",'KNOWIFY TIME'!D210)-1))+VALUE(MID('KNOWIFY TIME'!D210,FIND(":",'KNOWIFY TIME'!D210)+1,2))/60,0)))</f>
        <v>0</v>
      </c>
      <c r="AV210" s="7" t="n">
        <f aca="false">N('KNOWIFY TIME'!E210)</f>
        <v>0</v>
      </c>
      <c r="AW210" s="7" t="str">
        <f aca="false">IF(AT210="","",IFERROR(INDEX($BD$5:$BD$60,MATCH(AT210,$BC$5:$BC$60,0)),"Unmapped"))</f>
        <v/>
      </c>
    </row>
    <row r="211" customFormat="false" ht="15" hidden="false" customHeight="false" outlineLevel="0" collapsed="false">
      <c r="AA211" s="7" t="str">
        <f aca="false">IF('KNOWIFY PHASES'!A211="","",'KNOWIFY PHASES'!A211)</f>
        <v/>
      </c>
      <c r="AB211" s="7" t="str">
        <f aca="false">IF(AA211="","",IF(LEFT(AA211,4)="P - ","P",IF(LEFT(AA211,4)="H - ","H",IF(LEFT(AA211,5)="AC - ","AC",IF(OR(LEFT(AA211,4)="V - ",LEFT(AA211,7)="HVAC - "),"V","Other")))))</f>
        <v/>
      </c>
      <c r="AC211" s="7" t="str">
        <f aca="false">IF(AA211="","",IFERROR(LOOKUP(2,1/(($AZ$5:$AZ$60&lt;&gt;"")*ISNUMBER(SEARCH($AZ$5:$AZ$60,AA211))),$BA$5:$BA$60),IF(AB211="Other","Excluded","Unmapped")))</f>
        <v/>
      </c>
      <c r="AD211" s="7" t="str">
        <f aca="false">IF(AA211="","",IF(AND(AB211&lt;&gt;"Other",OR(AND('KNOWIFY PHASES'!B211="Closed",N('KNOWIFY PHASES'!D211)&gt;=0.5),N('KNOWIFY PHASES'!D211)&gt;=1)),1,0))</f>
        <v/>
      </c>
      <c r="AE211" s="7" t="n">
        <f aca="false">N('KNOWIFY PHASES'!L211)</f>
        <v>0</v>
      </c>
      <c r="AF211" s="7" t="n">
        <f aca="false">N('KNOWIFY PHASES'!K211)</f>
        <v>0</v>
      </c>
      <c r="AG211" s="7" t="n">
        <f aca="false">N('KNOWIFY PHASES'!I211)</f>
        <v>0</v>
      </c>
      <c r="AH211" s="7" t="n">
        <f aca="false">N('KNOWIFY PHASES'!H211)</f>
        <v>0</v>
      </c>
      <c r="AI211" s="7" t="n">
        <f aca="false">N('KNOWIFY PHASES'!O211)</f>
        <v>0</v>
      </c>
      <c r="AJ211" s="7" t="n">
        <f aca="false">N('KNOWIFY PHASES'!N211)</f>
        <v>0</v>
      </c>
      <c r="AK211" s="7" t="n">
        <f aca="false">N('KNOWIFY PHASES'!R211)</f>
        <v>0</v>
      </c>
      <c r="AL211" s="7" t="n">
        <f aca="false">N('KNOWIFY PHASES'!Q211)</f>
        <v>0</v>
      </c>
      <c r="AM211" s="7" t="n">
        <f aca="false">N('KNOWIFY PHASES'!F211)</f>
        <v>0</v>
      </c>
      <c r="AN211" s="7" t="n">
        <f aca="false">N('KNOWIFY PHASES'!E211)</f>
        <v>0</v>
      </c>
      <c r="AO211" s="7" t="n">
        <f aca="false">MAX(AE211,AF211)</f>
        <v>0</v>
      </c>
      <c r="AP211" s="7" t="n">
        <f aca="false">MAX(AG211,AH211)</f>
        <v>0</v>
      </c>
      <c r="AQ211" s="7" t="n">
        <f aca="false">MAX(AI211,AJ211)</f>
        <v>0</v>
      </c>
      <c r="AR211" s="7" t="n">
        <f aca="false">MAX(AK211,AL211)</f>
        <v>0</v>
      </c>
      <c r="AT211" s="7" t="str">
        <f aca="false">IF('KNOWIFY TIME'!B211="","",'KNOWIFY TIME'!B211)</f>
        <v/>
      </c>
      <c r="AU211" s="7" t="n">
        <f aca="false">IF(AT211="",0,IF(ISNUMBER('KNOWIFY TIME'!D211),'KNOWIFY TIME'!D211*24,IFERROR(VALUE(LEFT('KNOWIFY TIME'!D211,FIND(":",'KNOWIFY TIME'!D211)-1))+VALUE(MID('KNOWIFY TIME'!D211,FIND(":",'KNOWIFY TIME'!D211)+1,2))/60,0)))</f>
        <v>0</v>
      </c>
      <c r="AV211" s="7" t="n">
        <f aca="false">N('KNOWIFY TIME'!E211)</f>
        <v>0</v>
      </c>
      <c r="AW211" s="7" t="str">
        <f aca="false">IF(AT211="","",IFERROR(INDEX($BD$5:$BD$60,MATCH(AT211,$BC$5:$BC$60,0)),"Unmapped"))</f>
        <v/>
      </c>
    </row>
    <row r="212" customFormat="false" ht="15" hidden="false" customHeight="false" outlineLevel="0" collapsed="false">
      <c r="AA212" s="7" t="str">
        <f aca="false">IF('KNOWIFY PHASES'!A212="","",'KNOWIFY PHASES'!A212)</f>
        <v/>
      </c>
      <c r="AB212" s="7" t="str">
        <f aca="false">IF(AA212="","",IF(LEFT(AA212,4)="P - ","P",IF(LEFT(AA212,4)="H - ","H",IF(LEFT(AA212,5)="AC - ","AC",IF(OR(LEFT(AA212,4)="V - ",LEFT(AA212,7)="HVAC - "),"V","Other")))))</f>
        <v/>
      </c>
      <c r="AC212" s="7" t="str">
        <f aca="false">IF(AA212="","",IFERROR(LOOKUP(2,1/(($AZ$5:$AZ$60&lt;&gt;"")*ISNUMBER(SEARCH($AZ$5:$AZ$60,AA212))),$BA$5:$BA$60),IF(AB212="Other","Excluded","Unmapped")))</f>
        <v/>
      </c>
      <c r="AD212" s="7" t="str">
        <f aca="false">IF(AA212="","",IF(AND(AB212&lt;&gt;"Other",OR(AND('KNOWIFY PHASES'!B212="Closed",N('KNOWIFY PHASES'!D212)&gt;=0.5),N('KNOWIFY PHASES'!D212)&gt;=1)),1,0))</f>
        <v/>
      </c>
      <c r="AE212" s="7" t="n">
        <f aca="false">N('KNOWIFY PHASES'!L212)</f>
        <v>0</v>
      </c>
      <c r="AF212" s="7" t="n">
        <f aca="false">N('KNOWIFY PHASES'!K212)</f>
        <v>0</v>
      </c>
      <c r="AG212" s="7" t="n">
        <f aca="false">N('KNOWIFY PHASES'!I212)</f>
        <v>0</v>
      </c>
      <c r="AH212" s="7" t="n">
        <f aca="false">N('KNOWIFY PHASES'!H212)</f>
        <v>0</v>
      </c>
      <c r="AI212" s="7" t="n">
        <f aca="false">N('KNOWIFY PHASES'!O212)</f>
        <v>0</v>
      </c>
      <c r="AJ212" s="7" t="n">
        <f aca="false">N('KNOWIFY PHASES'!N212)</f>
        <v>0</v>
      </c>
      <c r="AK212" s="7" t="n">
        <f aca="false">N('KNOWIFY PHASES'!R212)</f>
        <v>0</v>
      </c>
      <c r="AL212" s="7" t="n">
        <f aca="false">N('KNOWIFY PHASES'!Q212)</f>
        <v>0</v>
      </c>
      <c r="AM212" s="7" t="n">
        <f aca="false">N('KNOWIFY PHASES'!F212)</f>
        <v>0</v>
      </c>
      <c r="AN212" s="7" t="n">
        <f aca="false">N('KNOWIFY PHASES'!E212)</f>
        <v>0</v>
      </c>
      <c r="AO212" s="7" t="n">
        <f aca="false">MAX(AE212,AF212)</f>
        <v>0</v>
      </c>
      <c r="AP212" s="7" t="n">
        <f aca="false">MAX(AG212,AH212)</f>
        <v>0</v>
      </c>
      <c r="AQ212" s="7" t="n">
        <f aca="false">MAX(AI212,AJ212)</f>
        <v>0</v>
      </c>
      <c r="AR212" s="7" t="n">
        <f aca="false">MAX(AK212,AL212)</f>
        <v>0</v>
      </c>
      <c r="AT212" s="7" t="str">
        <f aca="false">IF('KNOWIFY TIME'!B212="","",'KNOWIFY TIME'!B212)</f>
        <v/>
      </c>
      <c r="AU212" s="7" t="n">
        <f aca="false">IF(AT212="",0,IF(ISNUMBER('KNOWIFY TIME'!D212),'KNOWIFY TIME'!D212*24,IFERROR(VALUE(LEFT('KNOWIFY TIME'!D212,FIND(":",'KNOWIFY TIME'!D212)-1))+VALUE(MID('KNOWIFY TIME'!D212,FIND(":",'KNOWIFY TIME'!D212)+1,2))/60,0)))</f>
        <v>0</v>
      </c>
      <c r="AV212" s="7" t="n">
        <f aca="false">N('KNOWIFY TIME'!E212)</f>
        <v>0</v>
      </c>
      <c r="AW212" s="7" t="str">
        <f aca="false">IF(AT212="","",IFERROR(INDEX($BD$5:$BD$60,MATCH(AT212,$BC$5:$BC$60,0)),"Unmapped"))</f>
        <v/>
      </c>
    </row>
    <row r="213" customFormat="false" ht="15" hidden="false" customHeight="false" outlineLevel="0" collapsed="false">
      <c r="AA213" s="7" t="str">
        <f aca="false">IF('KNOWIFY PHASES'!A213="","",'KNOWIFY PHASES'!A213)</f>
        <v/>
      </c>
      <c r="AB213" s="7" t="str">
        <f aca="false">IF(AA213="","",IF(LEFT(AA213,4)="P - ","P",IF(LEFT(AA213,4)="H - ","H",IF(LEFT(AA213,5)="AC - ","AC",IF(OR(LEFT(AA213,4)="V - ",LEFT(AA213,7)="HVAC - "),"V","Other")))))</f>
        <v/>
      </c>
      <c r="AC213" s="7" t="str">
        <f aca="false">IF(AA213="","",IFERROR(LOOKUP(2,1/(($AZ$5:$AZ$60&lt;&gt;"")*ISNUMBER(SEARCH($AZ$5:$AZ$60,AA213))),$BA$5:$BA$60),IF(AB213="Other","Excluded","Unmapped")))</f>
        <v/>
      </c>
      <c r="AD213" s="7" t="str">
        <f aca="false">IF(AA213="","",IF(AND(AB213&lt;&gt;"Other",OR(AND('KNOWIFY PHASES'!B213="Closed",N('KNOWIFY PHASES'!D213)&gt;=0.5),N('KNOWIFY PHASES'!D213)&gt;=1)),1,0))</f>
        <v/>
      </c>
      <c r="AE213" s="7" t="n">
        <f aca="false">N('KNOWIFY PHASES'!L213)</f>
        <v>0</v>
      </c>
      <c r="AF213" s="7" t="n">
        <f aca="false">N('KNOWIFY PHASES'!K213)</f>
        <v>0</v>
      </c>
      <c r="AG213" s="7" t="n">
        <f aca="false">N('KNOWIFY PHASES'!I213)</f>
        <v>0</v>
      </c>
      <c r="AH213" s="7" t="n">
        <f aca="false">N('KNOWIFY PHASES'!H213)</f>
        <v>0</v>
      </c>
      <c r="AI213" s="7" t="n">
        <f aca="false">N('KNOWIFY PHASES'!O213)</f>
        <v>0</v>
      </c>
      <c r="AJ213" s="7" t="n">
        <f aca="false">N('KNOWIFY PHASES'!N213)</f>
        <v>0</v>
      </c>
      <c r="AK213" s="7" t="n">
        <f aca="false">N('KNOWIFY PHASES'!R213)</f>
        <v>0</v>
      </c>
      <c r="AL213" s="7" t="n">
        <f aca="false">N('KNOWIFY PHASES'!Q213)</f>
        <v>0</v>
      </c>
      <c r="AM213" s="7" t="n">
        <f aca="false">N('KNOWIFY PHASES'!F213)</f>
        <v>0</v>
      </c>
      <c r="AN213" s="7" t="n">
        <f aca="false">N('KNOWIFY PHASES'!E213)</f>
        <v>0</v>
      </c>
      <c r="AO213" s="7" t="n">
        <f aca="false">MAX(AE213,AF213)</f>
        <v>0</v>
      </c>
      <c r="AP213" s="7" t="n">
        <f aca="false">MAX(AG213,AH213)</f>
        <v>0</v>
      </c>
      <c r="AQ213" s="7" t="n">
        <f aca="false">MAX(AI213,AJ213)</f>
        <v>0</v>
      </c>
      <c r="AR213" s="7" t="n">
        <f aca="false">MAX(AK213,AL213)</f>
        <v>0</v>
      </c>
      <c r="AT213" s="7" t="str">
        <f aca="false">IF('KNOWIFY TIME'!B213="","",'KNOWIFY TIME'!B213)</f>
        <v/>
      </c>
      <c r="AU213" s="7" t="n">
        <f aca="false">IF(AT213="",0,IF(ISNUMBER('KNOWIFY TIME'!D213),'KNOWIFY TIME'!D213*24,IFERROR(VALUE(LEFT('KNOWIFY TIME'!D213,FIND(":",'KNOWIFY TIME'!D213)-1))+VALUE(MID('KNOWIFY TIME'!D213,FIND(":",'KNOWIFY TIME'!D213)+1,2))/60,0)))</f>
        <v>0</v>
      </c>
      <c r="AV213" s="7" t="n">
        <f aca="false">N('KNOWIFY TIME'!E213)</f>
        <v>0</v>
      </c>
      <c r="AW213" s="7" t="str">
        <f aca="false">IF(AT213="","",IFERROR(INDEX($BD$5:$BD$60,MATCH(AT213,$BC$5:$BC$60,0)),"Unmapped"))</f>
        <v/>
      </c>
    </row>
    <row r="214" customFormat="false" ht="15" hidden="false" customHeight="false" outlineLevel="0" collapsed="false">
      <c r="AA214" s="7" t="str">
        <f aca="false">IF('KNOWIFY PHASES'!A214="","",'KNOWIFY PHASES'!A214)</f>
        <v/>
      </c>
      <c r="AB214" s="7" t="str">
        <f aca="false">IF(AA214="","",IF(LEFT(AA214,4)="P - ","P",IF(LEFT(AA214,4)="H - ","H",IF(LEFT(AA214,5)="AC - ","AC",IF(OR(LEFT(AA214,4)="V - ",LEFT(AA214,7)="HVAC - "),"V","Other")))))</f>
        <v/>
      </c>
      <c r="AC214" s="7" t="str">
        <f aca="false">IF(AA214="","",IFERROR(LOOKUP(2,1/(($AZ$5:$AZ$60&lt;&gt;"")*ISNUMBER(SEARCH($AZ$5:$AZ$60,AA214))),$BA$5:$BA$60),IF(AB214="Other","Excluded","Unmapped")))</f>
        <v/>
      </c>
      <c r="AD214" s="7" t="str">
        <f aca="false">IF(AA214="","",IF(AND(AB214&lt;&gt;"Other",OR(AND('KNOWIFY PHASES'!B214="Closed",N('KNOWIFY PHASES'!D214)&gt;=0.5),N('KNOWIFY PHASES'!D214)&gt;=1)),1,0))</f>
        <v/>
      </c>
      <c r="AE214" s="7" t="n">
        <f aca="false">N('KNOWIFY PHASES'!L214)</f>
        <v>0</v>
      </c>
      <c r="AF214" s="7" t="n">
        <f aca="false">N('KNOWIFY PHASES'!K214)</f>
        <v>0</v>
      </c>
      <c r="AG214" s="7" t="n">
        <f aca="false">N('KNOWIFY PHASES'!I214)</f>
        <v>0</v>
      </c>
      <c r="AH214" s="7" t="n">
        <f aca="false">N('KNOWIFY PHASES'!H214)</f>
        <v>0</v>
      </c>
      <c r="AI214" s="7" t="n">
        <f aca="false">N('KNOWIFY PHASES'!O214)</f>
        <v>0</v>
      </c>
      <c r="AJ214" s="7" t="n">
        <f aca="false">N('KNOWIFY PHASES'!N214)</f>
        <v>0</v>
      </c>
      <c r="AK214" s="7" t="n">
        <f aca="false">N('KNOWIFY PHASES'!R214)</f>
        <v>0</v>
      </c>
      <c r="AL214" s="7" t="n">
        <f aca="false">N('KNOWIFY PHASES'!Q214)</f>
        <v>0</v>
      </c>
      <c r="AM214" s="7" t="n">
        <f aca="false">N('KNOWIFY PHASES'!F214)</f>
        <v>0</v>
      </c>
      <c r="AN214" s="7" t="n">
        <f aca="false">N('KNOWIFY PHASES'!E214)</f>
        <v>0</v>
      </c>
      <c r="AO214" s="7" t="n">
        <f aca="false">MAX(AE214,AF214)</f>
        <v>0</v>
      </c>
      <c r="AP214" s="7" t="n">
        <f aca="false">MAX(AG214,AH214)</f>
        <v>0</v>
      </c>
      <c r="AQ214" s="7" t="n">
        <f aca="false">MAX(AI214,AJ214)</f>
        <v>0</v>
      </c>
      <c r="AR214" s="7" t="n">
        <f aca="false">MAX(AK214,AL214)</f>
        <v>0</v>
      </c>
      <c r="AT214" s="7" t="str">
        <f aca="false">IF('KNOWIFY TIME'!B214="","",'KNOWIFY TIME'!B214)</f>
        <v/>
      </c>
      <c r="AU214" s="7" t="n">
        <f aca="false">IF(AT214="",0,IF(ISNUMBER('KNOWIFY TIME'!D214),'KNOWIFY TIME'!D214*24,IFERROR(VALUE(LEFT('KNOWIFY TIME'!D214,FIND(":",'KNOWIFY TIME'!D214)-1))+VALUE(MID('KNOWIFY TIME'!D214,FIND(":",'KNOWIFY TIME'!D214)+1,2))/60,0)))</f>
        <v>0</v>
      </c>
      <c r="AV214" s="7" t="n">
        <f aca="false">N('KNOWIFY TIME'!E214)</f>
        <v>0</v>
      </c>
      <c r="AW214" s="7" t="str">
        <f aca="false">IF(AT214="","",IFERROR(INDEX($BD$5:$BD$60,MATCH(AT214,$BC$5:$BC$60,0)),"Unmapped"))</f>
        <v/>
      </c>
    </row>
    <row r="215" customFormat="false" ht="15" hidden="false" customHeight="false" outlineLevel="0" collapsed="false">
      <c r="AA215" s="7" t="str">
        <f aca="false">IF('KNOWIFY PHASES'!A215="","",'KNOWIFY PHASES'!A215)</f>
        <v/>
      </c>
      <c r="AB215" s="7" t="str">
        <f aca="false">IF(AA215="","",IF(LEFT(AA215,4)="P - ","P",IF(LEFT(AA215,4)="H - ","H",IF(LEFT(AA215,5)="AC - ","AC",IF(OR(LEFT(AA215,4)="V - ",LEFT(AA215,7)="HVAC - "),"V","Other")))))</f>
        <v/>
      </c>
      <c r="AC215" s="7" t="str">
        <f aca="false">IF(AA215="","",IFERROR(LOOKUP(2,1/(($AZ$5:$AZ$60&lt;&gt;"")*ISNUMBER(SEARCH($AZ$5:$AZ$60,AA215))),$BA$5:$BA$60),IF(AB215="Other","Excluded","Unmapped")))</f>
        <v/>
      </c>
      <c r="AD215" s="7" t="str">
        <f aca="false">IF(AA215="","",IF(AND(AB215&lt;&gt;"Other",OR(AND('KNOWIFY PHASES'!B215="Closed",N('KNOWIFY PHASES'!D215)&gt;=0.5),N('KNOWIFY PHASES'!D215)&gt;=1)),1,0))</f>
        <v/>
      </c>
      <c r="AE215" s="7" t="n">
        <f aca="false">N('KNOWIFY PHASES'!L215)</f>
        <v>0</v>
      </c>
      <c r="AF215" s="7" t="n">
        <f aca="false">N('KNOWIFY PHASES'!K215)</f>
        <v>0</v>
      </c>
      <c r="AG215" s="7" t="n">
        <f aca="false">N('KNOWIFY PHASES'!I215)</f>
        <v>0</v>
      </c>
      <c r="AH215" s="7" t="n">
        <f aca="false">N('KNOWIFY PHASES'!H215)</f>
        <v>0</v>
      </c>
      <c r="AI215" s="7" t="n">
        <f aca="false">N('KNOWIFY PHASES'!O215)</f>
        <v>0</v>
      </c>
      <c r="AJ215" s="7" t="n">
        <f aca="false">N('KNOWIFY PHASES'!N215)</f>
        <v>0</v>
      </c>
      <c r="AK215" s="7" t="n">
        <f aca="false">N('KNOWIFY PHASES'!R215)</f>
        <v>0</v>
      </c>
      <c r="AL215" s="7" t="n">
        <f aca="false">N('KNOWIFY PHASES'!Q215)</f>
        <v>0</v>
      </c>
      <c r="AM215" s="7" t="n">
        <f aca="false">N('KNOWIFY PHASES'!F215)</f>
        <v>0</v>
      </c>
      <c r="AN215" s="7" t="n">
        <f aca="false">N('KNOWIFY PHASES'!E215)</f>
        <v>0</v>
      </c>
      <c r="AO215" s="7" t="n">
        <f aca="false">MAX(AE215,AF215)</f>
        <v>0</v>
      </c>
      <c r="AP215" s="7" t="n">
        <f aca="false">MAX(AG215,AH215)</f>
        <v>0</v>
      </c>
      <c r="AQ215" s="7" t="n">
        <f aca="false">MAX(AI215,AJ215)</f>
        <v>0</v>
      </c>
      <c r="AR215" s="7" t="n">
        <f aca="false">MAX(AK215,AL215)</f>
        <v>0</v>
      </c>
      <c r="AT215" s="7" t="str">
        <f aca="false">IF('KNOWIFY TIME'!B215="","",'KNOWIFY TIME'!B215)</f>
        <v/>
      </c>
      <c r="AU215" s="7" t="n">
        <f aca="false">IF(AT215="",0,IF(ISNUMBER('KNOWIFY TIME'!D215),'KNOWIFY TIME'!D215*24,IFERROR(VALUE(LEFT('KNOWIFY TIME'!D215,FIND(":",'KNOWIFY TIME'!D215)-1))+VALUE(MID('KNOWIFY TIME'!D215,FIND(":",'KNOWIFY TIME'!D215)+1,2))/60,0)))</f>
        <v>0</v>
      </c>
      <c r="AV215" s="7" t="n">
        <f aca="false">N('KNOWIFY TIME'!E215)</f>
        <v>0</v>
      </c>
      <c r="AW215" s="7" t="str">
        <f aca="false">IF(AT215="","",IFERROR(INDEX($BD$5:$BD$60,MATCH(AT215,$BC$5:$BC$60,0)),"Unmapped"))</f>
        <v/>
      </c>
    </row>
    <row r="216" customFormat="false" ht="15" hidden="false" customHeight="false" outlineLevel="0" collapsed="false">
      <c r="AA216" s="7" t="str">
        <f aca="false">IF('KNOWIFY PHASES'!A216="","",'KNOWIFY PHASES'!A216)</f>
        <v/>
      </c>
      <c r="AB216" s="7" t="str">
        <f aca="false">IF(AA216="","",IF(LEFT(AA216,4)="P - ","P",IF(LEFT(AA216,4)="H - ","H",IF(LEFT(AA216,5)="AC - ","AC",IF(OR(LEFT(AA216,4)="V - ",LEFT(AA216,7)="HVAC - "),"V","Other")))))</f>
        <v/>
      </c>
      <c r="AC216" s="7" t="str">
        <f aca="false">IF(AA216="","",IFERROR(LOOKUP(2,1/(($AZ$5:$AZ$60&lt;&gt;"")*ISNUMBER(SEARCH($AZ$5:$AZ$60,AA216))),$BA$5:$BA$60),IF(AB216="Other","Excluded","Unmapped")))</f>
        <v/>
      </c>
      <c r="AD216" s="7" t="str">
        <f aca="false">IF(AA216="","",IF(AND(AB216&lt;&gt;"Other",OR(AND('KNOWIFY PHASES'!B216="Closed",N('KNOWIFY PHASES'!D216)&gt;=0.5),N('KNOWIFY PHASES'!D216)&gt;=1)),1,0))</f>
        <v/>
      </c>
      <c r="AE216" s="7" t="n">
        <f aca="false">N('KNOWIFY PHASES'!L216)</f>
        <v>0</v>
      </c>
      <c r="AF216" s="7" t="n">
        <f aca="false">N('KNOWIFY PHASES'!K216)</f>
        <v>0</v>
      </c>
      <c r="AG216" s="7" t="n">
        <f aca="false">N('KNOWIFY PHASES'!I216)</f>
        <v>0</v>
      </c>
      <c r="AH216" s="7" t="n">
        <f aca="false">N('KNOWIFY PHASES'!H216)</f>
        <v>0</v>
      </c>
      <c r="AI216" s="7" t="n">
        <f aca="false">N('KNOWIFY PHASES'!O216)</f>
        <v>0</v>
      </c>
      <c r="AJ216" s="7" t="n">
        <f aca="false">N('KNOWIFY PHASES'!N216)</f>
        <v>0</v>
      </c>
      <c r="AK216" s="7" t="n">
        <f aca="false">N('KNOWIFY PHASES'!R216)</f>
        <v>0</v>
      </c>
      <c r="AL216" s="7" t="n">
        <f aca="false">N('KNOWIFY PHASES'!Q216)</f>
        <v>0</v>
      </c>
      <c r="AM216" s="7" t="n">
        <f aca="false">N('KNOWIFY PHASES'!F216)</f>
        <v>0</v>
      </c>
      <c r="AN216" s="7" t="n">
        <f aca="false">N('KNOWIFY PHASES'!E216)</f>
        <v>0</v>
      </c>
      <c r="AO216" s="7" t="n">
        <f aca="false">MAX(AE216,AF216)</f>
        <v>0</v>
      </c>
      <c r="AP216" s="7" t="n">
        <f aca="false">MAX(AG216,AH216)</f>
        <v>0</v>
      </c>
      <c r="AQ216" s="7" t="n">
        <f aca="false">MAX(AI216,AJ216)</f>
        <v>0</v>
      </c>
      <c r="AR216" s="7" t="n">
        <f aca="false">MAX(AK216,AL216)</f>
        <v>0</v>
      </c>
      <c r="AT216" s="7" t="str">
        <f aca="false">IF('KNOWIFY TIME'!B216="","",'KNOWIFY TIME'!B216)</f>
        <v/>
      </c>
      <c r="AU216" s="7" t="n">
        <f aca="false">IF(AT216="",0,IF(ISNUMBER('KNOWIFY TIME'!D216),'KNOWIFY TIME'!D216*24,IFERROR(VALUE(LEFT('KNOWIFY TIME'!D216,FIND(":",'KNOWIFY TIME'!D216)-1))+VALUE(MID('KNOWIFY TIME'!D216,FIND(":",'KNOWIFY TIME'!D216)+1,2))/60,0)))</f>
        <v>0</v>
      </c>
      <c r="AV216" s="7" t="n">
        <f aca="false">N('KNOWIFY TIME'!E216)</f>
        <v>0</v>
      </c>
      <c r="AW216" s="7" t="str">
        <f aca="false">IF(AT216="","",IFERROR(INDEX($BD$5:$BD$60,MATCH(AT216,$BC$5:$BC$60,0)),"Unmapped"))</f>
        <v/>
      </c>
    </row>
    <row r="217" customFormat="false" ht="15" hidden="false" customHeight="false" outlineLevel="0" collapsed="false">
      <c r="AA217" s="7" t="str">
        <f aca="false">IF('KNOWIFY PHASES'!A217="","",'KNOWIFY PHASES'!A217)</f>
        <v/>
      </c>
      <c r="AB217" s="7" t="str">
        <f aca="false">IF(AA217="","",IF(LEFT(AA217,4)="P - ","P",IF(LEFT(AA217,4)="H - ","H",IF(LEFT(AA217,5)="AC - ","AC",IF(OR(LEFT(AA217,4)="V - ",LEFT(AA217,7)="HVAC - "),"V","Other")))))</f>
        <v/>
      </c>
      <c r="AC217" s="7" t="str">
        <f aca="false">IF(AA217="","",IFERROR(LOOKUP(2,1/(($AZ$5:$AZ$60&lt;&gt;"")*ISNUMBER(SEARCH($AZ$5:$AZ$60,AA217))),$BA$5:$BA$60),IF(AB217="Other","Excluded","Unmapped")))</f>
        <v/>
      </c>
      <c r="AD217" s="7" t="str">
        <f aca="false">IF(AA217="","",IF(AND(AB217&lt;&gt;"Other",OR(AND('KNOWIFY PHASES'!B217="Closed",N('KNOWIFY PHASES'!D217)&gt;=0.5),N('KNOWIFY PHASES'!D217)&gt;=1)),1,0))</f>
        <v/>
      </c>
      <c r="AE217" s="7" t="n">
        <f aca="false">N('KNOWIFY PHASES'!L217)</f>
        <v>0</v>
      </c>
      <c r="AF217" s="7" t="n">
        <f aca="false">N('KNOWIFY PHASES'!K217)</f>
        <v>0</v>
      </c>
      <c r="AG217" s="7" t="n">
        <f aca="false">N('KNOWIFY PHASES'!I217)</f>
        <v>0</v>
      </c>
      <c r="AH217" s="7" t="n">
        <f aca="false">N('KNOWIFY PHASES'!H217)</f>
        <v>0</v>
      </c>
      <c r="AI217" s="7" t="n">
        <f aca="false">N('KNOWIFY PHASES'!O217)</f>
        <v>0</v>
      </c>
      <c r="AJ217" s="7" t="n">
        <f aca="false">N('KNOWIFY PHASES'!N217)</f>
        <v>0</v>
      </c>
      <c r="AK217" s="7" t="n">
        <f aca="false">N('KNOWIFY PHASES'!R217)</f>
        <v>0</v>
      </c>
      <c r="AL217" s="7" t="n">
        <f aca="false">N('KNOWIFY PHASES'!Q217)</f>
        <v>0</v>
      </c>
      <c r="AM217" s="7" t="n">
        <f aca="false">N('KNOWIFY PHASES'!F217)</f>
        <v>0</v>
      </c>
      <c r="AN217" s="7" t="n">
        <f aca="false">N('KNOWIFY PHASES'!E217)</f>
        <v>0</v>
      </c>
      <c r="AO217" s="7" t="n">
        <f aca="false">MAX(AE217,AF217)</f>
        <v>0</v>
      </c>
      <c r="AP217" s="7" t="n">
        <f aca="false">MAX(AG217,AH217)</f>
        <v>0</v>
      </c>
      <c r="AQ217" s="7" t="n">
        <f aca="false">MAX(AI217,AJ217)</f>
        <v>0</v>
      </c>
      <c r="AR217" s="7" t="n">
        <f aca="false">MAX(AK217,AL217)</f>
        <v>0</v>
      </c>
      <c r="AT217" s="7" t="str">
        <f aca="false">IF('KNOWIFY TIME'!B217="","",'KNOWIFY TIME'!B217)</f>
        <v/>
      </c>
      <c r="AU217" s="7" t="n">
        <f aca="false">IF(AT217="",0,IF(ISNUMBER('KNOWIFY TIME'!D217),'KNOWIFY TIME'!D217*24,IFERROR(VALUE(LEFT('KNOWIFY TIME'!D217,FIND(":",'KNOWIFY TIME'!D217)-1))+VALUE(MID('KNOWIFY TIME'!D217,FIND(":",'KNOWIFY TIME'!D217)+1,2))/60,0)))</f>
        <v>0</v>
      </c>
      <c r="AV217" s="7" t="n">
        <f aca="false">N('KNOWIFY TIME'!E217)</f>
        <v>0</v>
      </c>
      <c r="AW217" s="7" t="str">
        <f aca="false">IF(AT217="","",IFERROR(INDEX($BD$5:$BD$60,MATCH(AT217,$BC$5:$BC$60,0)),"Unmapped"))</f>
        <v/>
      </c>
    </row>
    <row r="218" customFormat="false" ht="15" hidden="false" customHeight="false" outlineLevel="0" collapsed="false">
      <c r="AA218" s="7" t="str">
        <f aca="false">IF('KNOWIFY PHASES'!A218="","",'KNOWIFY PHASES'!A218)</f>
        <v/>
      </c>
      <c r="AB218" s="7" t="str">
        <f aca="false">IF(AA218="","",IF(LEFT(AA218,4)="P - ","P",IF(LEFT(AA218,4)="H - ","H",IF(LEFT(AA218,5)="AC - ","AC",IF(OR(LEFT(AA218,4)="V - ",LEFT(AA218,7)="HVAC - "),"V","Other")))))</f>
        <v/>
      </c>
      <c r="AC218" s="7" t="str">
        <f aca="false">IF(AA218="","",IFERROR(LOOKUP(2,1/(($AZ$5:$AZ$60&lt;&gt;"")*ISNUMBER(SEARCH($AZ$5:$AZ$60,AA218))),$BA$5:$BA$60),IF(AB218="Other","Excluded","Unmapped")))</f>
        <v/>
      </c>
      <c r="AD218" s="7" t="str">
        <f aca="false">IF(AA218="","",IF(AND(AB218&lt;&gt;"Other",OR(AND('KNOWIFY PHASES'!B218="Closed",N('KNOWIFY PHASES'!D218)&gt;=0.5),N('KNOWIFY PHASES'!D218)&gt;=1)),1,0))</f>
        <v/>
      </c>
      <c r="AE218" s="7" t="n">
        <f aca="false">N('KNOWIFY PHASES'!L218)</f>
        <v>0</v>
      </c>
      <c r="AF218" s="7" t="n">
        <f aca="false">N('KNOWIFY PHASES'!K218)</f>
        <v>0</v>
      </c>
      <c r="AG218" s="7" t="n">
        <f aca="false">N('KNOWIFY PHASES'!I218)</f>
        <v>0</v>
      </c>
      <c r="AH218" s="7" t="n">
        <f aca="false">N('KNOWIFY PHASES'!H218)</f>
        <v>0</v>
      </c>
      <c r="AI218" s="7" t="n">
        <f aca="false">N('KNOWIFY PHASES'!O218)</f>
        <v>0</v>
      </c>
      <c r="AJ218" s="7" t="n">
        <f aca="false">N('KNOWIFY PHASES'!N218)</f>
        <v>0</v>
      </c>
      <c r="AK218" s="7" t="n">
        <f aca="false">N('KNOWIFY PHASES'!R218)</f>
        <v>0</v>
      </c>
      <c r="AL218" s="7" t="n">
        <f aca="false">N('KNOWIFY PHASES'!Q218)</f>
        <v>0</v>
      </c>
      <c r="AM218" s="7" t="n">
        <f aca="false">N('KNOWIFY PHASES'!F218)</f>
        <v>0</v>
      </c>
      <c r="AN218" s="7" t="n">
        <f aca="false">N('KNOWIFY PHASES'!E218)</f>
        <v>0</v>
      </c>
      <c r="AO218" s="7" t="n">
        <f aca="false">MAX(AE218,AF218)</f>
        <v>0</v>
      </c>
      <c r="AP218" s="7" t="n">
        <f aca="false">MAX(AG218,AH218)</f>
        <v>0</v>
      </c>
      <c r="AQ218" s="7" t="n">
        <f aca="false">MAX(AI218,AJ218)</f>
        <v>0</v>
      </c>
      <c r="AR218" s="7" t="n">
        <f aca="false">MAX(AK218,AL218)</f>
        <v>0</v>
      </c>
      <c r="AT218" s="7" t="str">
        <f aca="false">IF('KNOWIFY TIME'!B218="","",'KNOWIFY TIME'!B218)</f>
        <v/>
      </c>
      <c r="AU218" s="7" t="n">
        <f aca="false">IF(AT218="",0,IF(ISNUMBER('KNOWIFY TIME'!D218),'KNOWIFY TIME'!D218*24,IFERROR(VALUE(LEFT('KNOWIFY TIME'!D218,FIND(":",'KNOWIFY TIME'!D218)-1))+VALUE(MID('KNOWIFY TIME'!D218,FIND(":",'KNOWIFY TIME'!D218)+1,2))/60,0)))</f>
        <v>0</v>
      </c>
      <c r="AV218" s="7" t="n">
        <f aca="false">N('KNOWIFY TIME'!E218)</f>
        <v>0</v>
      </c>
      <c r="AW218" s="7" t="str">
        <f aca="false">IF(AT218="","",IFERROR(INDEX($BD$5:$BD$60,MATCH(AT218,$BC$5:$BC$60,0)),"Unmapped"))</f>
        <v/>
      </c>
    </row>
    <row r="219" customFormat="false" ht="15" hidden="false" customHeight="false" outlineLevel="0" collapsed="false">
      <c r="AA219" s="7" t="str">
        <f aca="false">IF('KNOWIFY PHASES'!A219="","",'KNOWIFY PHASES'!A219)</f>
        <v/>
      </c>
      <c r="AB219" s="7" t="str">
        <f aca="false">IF(AA219="","",IF(LEFT(AA219,4)="P - ","P",IF(LEFT(AA219,4)="H - ","H",IF(LEFT(AA219,5)="AC - ","AC",IF(OR(LEFT(AA219,4)="V - ",LEFT(AA219,7)="HVAC - "),"V","Other")))))</f>
        <v/>
      </c>
      <c r="AC219" s="7" t="str">
        <f aca="false">IF(AA219="","",IFERROR(LOOKUP(2,1/(($AZ$5:$AZ$60&lt;&gt;"")*ISNUMBER(SEARCH($AZ$5:$AZ$60,AA219))),$BA$5:$BA$60),IF(AB219="Other","Excluded","Unmapped")))</f>
        <v/>
      </c>
      <c r="AD219" s="7" t="str">
        <f aca="false">IF(AA219="","",IF(AND(AB219&lt;&gt;"Other",OR(AND('KNOWIFY PHASES'!B219="Closed",N('KNOWIFY PHASES'!D219)&gt;=0.5),N('KNOWIFY PHASES'!D219)&gt;=1)),1,0))</f>
        <v/>
      </c>
      <c r="AE219" s="7" t="n">
        <f aca="false">N('KNOWIFY PHASES'!L219)</f>
        <v>0</v>
      </c>
      <c r="AF219" s="7" t="n">
        <f aca="false">N('KNOWIFY PHASES'!K219)</f>
        <v>0</v>
      </c>
      <c r="AG219" s="7" t="n">
        <f aca="false">N('KNOWIFY PHASES'!I219)</f>
        <v>0</v>
      </c>
      <c r="AH219" s="7" t="n">
        <f aca="false">N('KNOWIFY PHASES'!H219)</f>
        <v>0</v>
      </c>
      <c r="AI219" s="7" t="n">
        <f aca="false">N('KNOWIFY PHASES'!O219)</f>
        <v>0</v>
      </c>
      <c r="AJ219" s="7" t="n">
        <f aca="false">N('KNOWIFY PHASES'!N219)</f>
        <v>0</v>
      </c>
      <c r="AK219" s="7" t="n">
        <f aca="false">N('KNOWIFY PHASES'!R219)</f>
        <v>0</v>
      </c>
      <c r="AL219" s="7" t="n">
        <f aca="false">N('KNOWIFY PHASES'!Q219)</f>
        <v>0</v>
      </c>
      <c r="AM219" s="7" t="n">
        <f aca="false">N('KNOWIFY PHASES'!F219)</f>
        <v>0</v>
      </c>
      <c r="AN219" s="7" t="n">
        <f aca="false">N('KNOWIFY PHASES'!E219)</f>
        <v>0</v>
      </c>
      <c r="AO219" s="7" t="n">
        <f aca="false">MAX(AE219,AF219)</f>
        <v>0</v>
      </c>
      <c r="AP219" s="7" t="n">
        <f aca="false">MAX(AG219,AH219)</f>
        <v>0</v>
      </c>
      <c r="AQ219" s="7" t="n">
        <f aca="false">MAX(AI219,AJ219)</f>
        <v>0</v>
      </c>
      <c r="AR219" s="7" t="n">
        <f aca="false">MAX(AK219,AL219)</f>
        <v>0</v>
      </c>
      <c r="AT219" s="7" t="str">
        <f aca="false">IF('KNOWIFY TIME'!B219="","",'KNOWIFY TIME'!B219)</f>
        <v/>
      </c>
      <c r="AU219" s="7" t="n">
        <f aca="false">IF(AT219="",0,IF(ISNUMBER('KNOWIFY TIME'!D219),'KNOWIFY TIME'!D219*24,IFERROR(VALUE(LEFT('KNOWIFY TIME'!D219,FIND(":",'KNOWIFY TIME'!D219)-1))+VALUE(MID('KNOWIFY TIME'!D219,FIND(":",'KNOWIFY TIME'!D219)+1,2))/60,0)))</f>
        <v>0</v>
      </c>
      <c r="AV219" s="7" t="n">
        <f aca="false">N('KNOWIFY TIME'!E219)</f>
        <v>0</v>
      </c>
      <c r="AW219" s="7" t="str">
        <f aca="false">IF(AT219="","",IFERROR(INDEX($BD$5:$BD$60,MATCH(AT219,$BC$5:$BC$60,0)),"Unmapped"))</f>
        <v/>
      </c>
    </row>
    <row r="220" customFormat="false" ht="15" hidden="false" customHeight="false" outlineLevel="0" collapsed="false">
      <c r="AA220" s="7" t="str">
        <f aca="false">IF('KNOWIFY PHASES'!A220="","",'KNOWIFY PHASES'!A220)</f>
        <v/>
      </c>
      <c r="AB220" s="7" t="str">
        <f aca="false">IF(AA220="","",IF(LEFT(AA220,4)="P - ","P",IF(LEFT(AA220,4)="H - ","H",IF(LEFT(AA220,5)="AC - ","AC",IF(OR(LEFT(AA220,4)="V - ",LEFT(AA220,7)="HVAC - "),"V","Other")))))</f>
        <v/>
      </c>
      <c r="AC220" s="7" t="str">
        <f aca="false">IF(AA220="","",IFERROR(LOOKUP(2,1/(($AZ$5:$AZ$60&lt;&gt;"")*ISNUMBER(SEARCH($AZ$5:$AZ$60,AA220))),$BA$5:$BA$60),IF(AB220="Other","Excluded","Unmapped")))</f>
        <v/>
      </c>
      <c r="AD220" s="7" t="str">
        <f aca="false">IF(AA220="","",IF(AND(AB220&lt;&gt;"Other",OR(AND('KNOWIFY PHASES'!B220="Closed",N('KNOWIFY PHASES'!D220)&gt;=0.5),N('KNOWIFY PHASES'!D220)&gt;=1)),1,0))</f>
        <v/>
      </c>
      <c r="AE220" s="7" t="n">
        <f aca="false">N('KNOWIFY PHASES'!L220)</f>
        <v>0</v>
      </c>
      <c r="AF220" s="7" t="n">
        <f aca="false">N('KNOWIFY PHASES'!K220)</f>
        <v>0</v>
      </c>
      <c r="AG220" s="7" t="n">
        <f aca="false">N('KNOWIFY PHASES'!I220)</f>
        <v>0</v>
      </c>
      <c r="AH220" s="7" t="n">
        <f aca="false">N('KNOWIFY PHASES'!H220)</f>
        <v>0</v>
      </c>
      <c r="AI220" s="7" t="n">
        <f aca="false">N('KNOWIFY PHASES'!O220)</f>
        <v>0</v>
      </c>
      <c r="AJ220" s="7" t="n">
        <f aca="false">N('KNOWIFY PHASES'!N220)</f>
        <v>0</v>
      </c>
      <c r="AK220" s="7" t="n">
        <f aca="false">N('KNOWIFY PHASES'!R220)</f>
        <v>0</v>
      </c>
      <c r="AL220" s="7" t="n">
        <f aca="false">N('KNOWIFY PHASES'!Q220)</f>
        <v>0</v>
      </c>
      <c r="AM220" s="7" t="n">
        <f aca="false">N('KNOWIFY PHASES'!F220)</f>
        <v>0</v>
      </c>
      <c r="AN220" s="7" t="n">
        <f aca="false">N('KNOWIFY PHASES'!E220)</f>
        <v>0</v>
      </c>
      <c r="AO220" s="7" t="n">
        <f aca="false">MAX(AE220,AF220)</f>
        <v>0</v>
      </c>
      <c r="AP220" s="7" t="n">
        <f aca="false">MAX(AG220,AH220)</f>
        <v>0</v>
      </c>
      <c r="AQ220" s="7" t="n">
        <f aca="false">MAX(AI220,AJ220)</f>
        <v>0</v>
      </c>
      <c r="AR220" s="7" t="n">
        <f aca="false">MAX(AK220,AL220)</f>
        <v>0</v>
      </c>
      <c r="AT220" s="7" t="str">
        <f aca="false">IF('KNOWIFY TIME'!B220="","",'KNOWIFY TIME'!B220)</f>
        <v/>
      </c>
      <c r="AU220" s="7" t="n">
        <f aca="false">IF(AT220="",0,IF(ISNUMBER('KNOWIFY TIME'!D220),'KNOWIFY TIME'!D220*24,IFERROR(VALUE(LEFT('KNOWIFY TIME'!D220,FIND(":",'KNOWIFY TIME'!D220)-1))+VALUE(MID('KNOWIFY TIME'!D220,FIND(":",'KNOWIFY TIME'!D220)+1,2))/60,0)))</f>
        <v>0</v>
      </c>
      <c r="AV220" s="7" t="n">
        <f aca="false">N('KNOWIFY TIME'!E220)</f>
        <v>0</v>
      </c>
      <c r="AW220" s="7" t="str">
        <f aca="false">IF(AT220="","",IFERROR(INDEX($BD$5:$BD$60,MATCH(AT220,$BC$5:$BC$60,0)),"Unmapped"))</f>
        <v/>
      </c>
    </row>
    <row r="221" customFormat="false" ht="15" hidden="false" customHeight="false" outlineLevel="0" collapsed="false">
      <c r="AA221" s="7" t="str">
        <f aca="false">IF('KNOWIFY PHASES'!A221="","",'KNOWIFY PHASES'!A221)</f>
        <v/>
      </c>
      <c r="AB221" s="7" t="str">
        <f aca="false">IF(AA221="","",IF(LEFT(AA221,4)="P - ","P",IF(LEFT(AA221,4)="H - ","H",IF(LEFT(AA221,5)="AC - ","AC",IF(OR(LEFT(AA221,4)="V - ",LEFT(AA221,7)="HVAC - "),"V","Other")))))</f>
        <v/>
      </c>
      <c r="AC221" s="7" t="str">
        <f aca="false">IF(AA221="","",IFERROR(LOOKUP(2,1/(($AZ$5:$AZ$60&lt;&gt;"")*ISNUMBER(SEARCH($AZ$5:$AZ$60,AA221))),$BA$5:$BA$60),IF(AB221="Other","Excluded","Unmapped")))</f>
        <v/>
      </c>
      <c r="AD221" s="7" t="str">
        <f aca="false">IF(AA221="","",IF(AND(AB221&lt;&gt;"Other",OR(AND('KNOWIFY PHASES'!B221="Closed",N('KNOWIFY PHASES'!D221)&gt;=0.5),N('KNOWIFY PHASES'!D221)&gt;=1)),1,0))</f>
        <v/>
      </c>
      <c r="AE221" s="7" t="n">
        <f aca="false">N('KNOWIFY PHASES'!L221)</f>
        <v>0</v>
      </c>
      <c r="AF221" s="7" t="n">
        <f aca="false">N('KNOWIFY PHASES'!K221)</f>
        <v>0</v>
      </c>
      <c r="AG221" s="7" t="n">
        <f aca="false">N('KNOWIFY PHASES'!I221)</f>
        <v>0</v>
      </c>
      <c r="AH221" s="7" t="n">
        <f aca="false">N('KNOWIFY PHASES'!H221)</f>
        <v>0</v>
      </c>
      <c r="AI221" s="7" t="n">
        <f aca="false">N('KNOWIFY PHASES'!O221)</f>
        <v>0</v>
      </c>
      <c r="AJ221" s="7" t="n">
        <f aca="false">N('KNOWIFY PHASES'!N221)</f>
        <v>0</v>
      </c>
      <c r="AK221" s="7" t="n">
        <f aca="false">N('KNOWIFY PHASES'!R221)</f>
        <v>0</v>
      </c>
      <c r="AL221" s="7" t="n">
        <f aca="false">N('KNOWIFY PHASES'!Q221)</f>
        <v>0</v>
      </c>
      <c r="AM221" s="7" t="n">
        <f aca="false">N('KNOWIFY PHASES'!F221)</f>
        <v>0</v>
      </c>
      <c r="AN221" s="7" t="n">
        <f aca="false">N('KNOWIFY PHASES'!E221)</f>
        <v>0</v>
      </c>
      <c r="AO221" s="7" t="n">
        <f aca="false">MAX(AE221,AF221)</f>
        <v>0</v>
      </c>
      <c r="AP221" s="7" t="n">
        <f aca="false">MAX(AG221,AH221)</f>
        <v>0</v>
      </c>
      <c r="AQ221" s="7" t="n">
        <f aca="false">MAX(AI221,AJ221)</f>
        <v>0</v>
      </c>
      <c r="AR221" s="7" t="n">
        <f aca="false">MAX(AK221,AL221)</f>
        <v>0</v>
      </c>
      <c r="AT221" s="7" t="str">
        <f aca="false">IF('KNOWIFY TIME'!B221="","",'KNOWIFY TIME'!B221)</f>
        <v/>
      </c>
      <c r="AU221" s="7" t="n">
        <f aca="false">IF(AT221="",0,IF(ISNUMBER('KNOWIFY TIME'!D221),'KNOWIFY TIME'!D221*24,IFERROR(VALUE(LEFT('KNOWIFY TIME'!D221,FIND(":",'KNOWIFY TIME'!D221)-1))+VALUE(MID('KNOWIFY TIME'!D221,FIND(":",'KNOWIFY TIME'!D221)+1,2))/60,0)))</f>
        <v>0</v>
      </c>
      <c r="AV221" s="7" t="n">
        <f aca="false">N('KNOWIFY TIME'!E221)</f>
        <v>0</v>
      </c>
      <c r="AW221" s="7" t="str">
        <f aca="false">IF(AT221="","",IFERROR(INDEX($BD$5:$BD$60,MATCH(AT221,$BC$5:$BC$60,0)),"Unmapped"))</f>
        <v/>
      </c>
    </row>
    <row r="222" customFormat="false" ht="15" hidden="false" customHeight="false" outlineLevel="0" collapsed="false">
      <c r="AA222" s="7" t="str">
        <f aca="false">IF('KNOWIFY PHASES'!A222="","",'KNOWIFY PHASES'!A222)</f>
        <v/>
      </c>
      <c r="AB222" s="7" t="str">
        <f aca="false">IF(AA222="","",IF(LEFT(AA222,4)="P - ","P",IF(LEFT(AA222,4)="H - ","H",IF(LEFT(AA222,5)="AC - ","AC",IF(OR(LEFT(AA222,4)="V - ",LEFT(AA222,7)="HVAC - "),"V","Other")))))</f>
        <v/>
      </c>
      <c r="AC222" s="7" t="str">
        <f aca="false">IF(AA222="","",IFERROR(LOOKUP(2,1/(($AZ$5:$AZ$60&lt;&gt;"")*ISNUMBER(SEARCH($AZ$5:$AZ$60,AA222))),$BA$5:$BA$60),IF(AB222="Other","Excluded","Unmapped")))</f>
        <v/>
      </c>
      <c r="AD222" s="7" t="str">
        <f aca="false">IF(AA222="","",IF(AND(AB222&lt;&gt;"Other",OR(AND('KNOWIFY PHASES'!B222="Closed",N('KNOWIFY PHASES'!D222)&gt;=0.5),N('KNOWIFY PHASES'!D222)&gt;=1)),1,0))</f>
        <v/>
      </c>
      <c r="AE222" s="7" t="n">
        <f aca="false">N('KNOWIFY PHASES'!L222)</f>
        <v>0</v>
      </c>
      <c r="AF222" s="7" t="n">
        <f aca="false">N('KNOWIFY PHASES'!K222)</f>
        <v>0</v>
      </c>
      <c r="AG222" s="7" t="n">
        <f aca="false">N('KNOWIFY PHASES'!I222)</f>
        <v>0</v>
      </c>
      <c r="AH222" s="7" t="n">
        <f aca="false">N('KNOWIFY PHASES'!H222)</f>
        <v>0</v>
      </c>
      <c r="AI222" s="7" t="n">
        <f aca="false">N('KNOWIFY PHASES'!O222)</f>
        <v>0</v>
      </c>
      <c r="AJ222" s="7" t="n">
        <f aca="false">N('KNOWIFY PHASES'!N222)</f>
        <v>0</v>
      </c>
      <c r="AK222" s="7" t="n">
        <f aca="false">N('KNOWIFY PHASES'!R222)</f>
        <v>0</v>
      </c>
      <c r="AL222" s="7" t="n">
        <f aca="false">N('KNOWIFY PHASES'!Q222)</f>
        <v>0</v>
      </c>
      <c r="AM222" s="7" t="n">
        <f aca="false">N('KNOWIFY PHASES'!F222)</f>
        <v>0</v>
      </c>
      <c r="AN222" s="7" t="n">
        <f aca="false">N('KNOWIFY PHASES'!E222)</f>
        <v>0</v>
      </c>
      <c r="AO222" s="7" t="n">
        <f aca="false">MAX(AE222,AF222)</f>
        <v>0</v>
      </c>
      <c r="AP222" s="7" t="n">
        <f aca="false">MAX(AG222,AH222)</f>
        <v>0</v>
      </c>
      <c r="AQ222" s="7" t="n">
        <f aca="false">MAX(AI222,AJ222)</f>
        <v>0</v>
      </c>
      <c r="AR222" s="7" t="n">
        <f aca="false">MAX(AK222,AL222)</f>
        <v>0</v>
      </c>
      <c r="AT222" s="7" t="str">
        <f aca="false">IF('KNOWIFY TIME'!B222="","",'KNOWIFY TIME'!B222)</f>
        <v/>
      </c>
      <c r="AU222" s="7" t="n">
        <f aca="false">IF(AT222="",0,IF(ISNUMBER('KNOWIFY TIME'!D222),'KNOWIFY TIME'!D222*24,IFERROR(VALUE(LEFT('KNOWIFY TIME'!D222,FIND(":",'KNOWIFY TIME'!D222)-1))+VALUE(MID('KNOWIFY TIME'!D222,FIND(":",'KNOWIFY TIME'!D222)+1,2))/60,0)))</f>
        <v>0</v>
      </c>
      <c r="AV222" s="7" t="n">
        <f aca="false">N('KNOWIFY TIME'!E222)</f>
        <v>0</v>
      </c>
      <c r="AW222" s="7" t="str">
        <f aca="false">IF(AT222="","",IFERROR(INDEX($BD$5:$BD$60,MATCH(AT222,$BC$5:$BC$60,0)),"Unmapped"))</f>
        <v/>
      </c>
    </row>
    <row r="223" customFormat="false" ht="15" hidden="false" customHeight="false" outlineLevel="0" collapsed="false">
      <c r="AA223" s="7" t="str">
        <f aca="false">IF('KNOWIFY PHASES'!A223="","",'KNOWIFY PHASES'!A223)</f>
        <v/>
      </c>
      <c r="AB223" s="7" t="str">
        <f aca="false">IF(AA223="","",IF(LEFT(AA223,4)="P - ","P",IF(LEFT(AA223,4)="H - ","H",IF(LEFT(AA223,5)="AC - ","AC",IF(OR(LEFT(AA223,4)="V - ",LEFT(AA223,7)="HVAC - "),"V","Other")))))</f>
        <v/>
      </c>
      <c r="AC223" s="7" t="str">
        <f aca="false">IF(AA223="","",IFERROR(LOOKUP(2,1/(($AZ$5:$AZ$60&lt;&gt;"")*ISNUMBER(SEARCH($AZ$5:$AZ$60,AA223))),$BA$5:$BA$60),IF(AB223="Other","Excluded","Unmapped")))</f>
        <v/>
      </c>
      <c r="AD223" s="7" t="str">
        <f aca="false">IF(AA223="","",IF(AND(AB223&lt;&gt;"Other",OR(AND('KNOWIFY PHASES'!B223="Closed",N('KNOWIFY PHASES'!D223)&gt;=0.5),N('KNOWIFY PHASES'!D223)&gt;=1)),1,0))</f>
        <v/>
      </c>
      <c r="AE223" s="7" t="n">
        <f aca="false">N('KNOWIFY PHASES'!L223)</f>
        <v>0</v>
      </c>
      <c r="AF223" s="7" t="n">
        <f aca="false">N('KNOWIFY PHASES'!K223)</f>
        <v>0</v>
      </c>
      <c r="AG223" s="7" t="n">
        <f aca="false">N('KNOWIFY PHASES'!I223)</f>
        <v>0</v>
      </c>
      <c r="AH223" s="7" t="n">
        <f aca="false">N('KNOWIFY PHASES'!H223)</f>
        <v>0</v>
      </c>
      <c r="AI223" s="7" t="n">
        <f aca="false">N('KNOWIFY PHASES'!O223)</f>
        <v>0</v>
      </c>
      <c r="AJ223" s="7" t="n">
        <f aca="false">N('KNOWIFY PHASES'!N223)</f>
        <v>0</v>
      </c>
      <c r="AK223" s="7" t="n">
        <f aca="false">N('KNOWIFY PHASES'!R223)</f>
        <v>0</v>
      </c>
      <c r="AL223" s="7" t="n">
        <f aca="false">N('KNOWIFY PHASES'!Q223)</f>
        <v>0</v>
      </c>
      <c r="AM223" s="7" t="n">
        <f aca="false">N('KNOWIFY PHASES'!F223)</f>
        <v>0</v>
      </c>
      <c r="AN223" s="7" t="n">
        <f aca="false">N('KNOWIFY PHASES'!E223)</f>
        <v>0</v>
      </c>
      <c r="AO223" s="7" t="n">
        <f aca="false">MAX(AE223,AF223)</f>
        <v>0</v>
      </c>
      <c r="AP223" s="7" t="n">
        <f aca="false">MAX(AG223,AH223)</f>
        <v>0</v>
      </c>
      <c r="AQ223" s="7" t="n">
        <f aca="false">MAX(AI223,AJ223)</f>
        <v>0</v>
      </c>
      <c r="AR223" s="7" t="n">
        <f aca="false">MAX(AK223,AL223)</f>
        <v>0</v>
      </c>
      <c r="AT223" s="7" t="str">
        <f aca="false">IF('KNOWIFY TIME'!B223="","",'KNOWIFY TIME'!B223)</f>
        <v/>
      </c>
      <c r="AU223" s="7" t="n">
        <f aca="false">IF(AT223="",0,IF(ISNUMBER('KNOWIFY TIME'!D223),'KNOWIFY TIME'!D223*24,IFERROR(VALUE(LEFT('KNOWIFY TIME'!D223,FIND(":",'KNOWIFY TIME'!D223)-1))+VALUE(MID('KNOWIFY TIME'!D223,FIND(":",'KNOWIFY TIME'!D223)+1,2))/60,0)))</f>
        <v>0</v>
      </c>
      <c r="AV223" s="7" t="n">
        <f aca="false">N('KNOWIFY TIME'!E223)</f>
        <v>0</v>
      </c>
      <c r="AW223" s="7" t="str">
        <f aca="false">IF(AT223="","",IFERROR(INDEX($BD$5:$BD$60,MATCH(AT223,$BC$5:$BC$60,0)),"Unmapped"))</f>
        <v/>
      </c>
    </row>
    <row r="224" customFormat="false" ht="15" hidden="false" customHeight="false" outlineLevel="0" collapsed="false">
      <c r="AA224" s="7" t="str">
        <f aca="false">IF('KNOWIFY PHASES'!A224="","",'KNOWIFY PHASES'!A224)</f>
        <v/>
      </c>
      <c r="AB224" s="7" t="str">
        <f aca="false">IF(AA224="","",IF(LEFT(AA224,4)="P - ","P",IF(LEFT(AA224,4)="H - ","H",IF(LEFT(AA224,5)="AC - ","AC",IF(OR(LEFT(AA224,4)="V - ",LEFT(AA224,7)="HVAC - "),"V","Other")))))</f>
        <v/>
      </c>
      <c r="AC224" s="7" t="str">
        <f aca="false">IF(AA224="","",IFERROR(LOOKUP(2,1/(($AZ$5:$AZ$60&lt;&gt;"")*ISNUMBER(SEARCH($AZ$5:$AZ$60,AA224))),$BA$5:$BA$60),IF(AB224="Other","Excluded","Unmapped")))</f>
        <v/>
      </c>
      <c r="AD224" s="7" t="str">
        <f aca="false">IF(AA224="","",IF(AND(AB224&lt;&gt;"Other",OR(AND('KNOWIFY PHASES'!B224="Closed",N('KNOWIFY PHASES'!D224)&gt;=0.5),N('KNOWIFY PHASES'!D224)&gt;=1)),1,0))</f>
        <v/>
      </c>
      <c r="AE224" s="7" t="n">
        <f aca="false">N('KNOWIFY PHASES'!L224)</f>
        <v>0</v>
      </c>
      <c r="AF224" s="7" t="n">
        <f aca="false">N('KNOWIFY PHASES'!K224)</f>
        <v>0</v>
      </c>
      <c r="AG224" s="7" t="n">
        <f aca="false">N('KNOWIFY PHASES'!I224)</f>
        <v>0</v>
      </c>
      <c r="AH224" s="7" t="n">
        <f aca="false">N('KNOWIFY PHASES'!H224)</f>
        <v>0</v>
      </c>
      <c r="AI224" s="7" t="n">
        <f aca="false">N('KNOWIFY PHASES'!O224)</f>
        <v>0</v>
      </c>
      <c r="AJ224" s="7" t="n">
        <f aca="false">N('KNOWIFY PHASES'!N224)</f>
        <v>0</v>
      </c>
      <c r="AK224" s="7" t="n">
        <f aca="false">N('KNOWIFY PHASES'!R224)</f>
        <v>0</v>
      </c>
      <c r="AL224" s="7" t="n">
        <f aca="false">N('KNOWIFY PHASES'!Q224)</f>
        <v>0</v>
      </c>
      <c r="AM224" s="7" t="n">
        <f aca="false">N('KNOWIFY PHASES'!F224)</f>
        <v>0</v>
      </c>
      <c r="AN224" s="7" t="n">
        <f aca="false">N('KNOWIFY PHASES'!E224)</f>
        <v>0</v>
      </c>
      <c r="AO224" s="7" t="n">
        <f aca="false">MAX(AE224,AF224)</f>
        <v>0</v>
      </c>
      <c r="AP224" s="7" t="n">
        <f aca="false">MAX(AG224,AH224)</f>
        <v>0</v>
      </c>
      <c r="AQ224" s="7" t="n">
        <f aca="false">MAX(AI224,AJ224)</f>
        <v>0</v>
      </c>
      <c r="AR224" s="7" t="n">
        <f aca="false">MAX(AK224,AL224)</f>
        <v>0</v>
      </c>
      <c r="AT224" s="7" t="str">
        <f aca="false">IF('KNOWIFY TIME'!B224="","",'KNOWIFY TIME'!B224)</f>
        <v/>
      </c>
      <c r="AU224" s="7" t="n">
        <f aca="false">IF(AT224="",0,IF(ISNUMBER('KNOWIFY TIME'!D224),'KNOWIFY TIME'!D224*24,IFERROR(VALUE(LEFT('KNOWIFY TIME'!D224,FIND(":",'KNOWIFY TIME'!D224)-1))+VALUE(MID('KNOWIFY TIME'!D224,FIND(":",'KNOWIFY TIME'!D224)+1,2))/60,0)))</f>
        <v>0</v>
      </c>
      <c r="AV224" s="7" t="n">
        <f aca="false">N('KNOWIFY TIME'!E224)</f>
        <v>0</v>
      </c>
      <c r="AW224" s="7" t="str">
        <f aca="false">IF(AT224="","",IFERROR(INDEX($BD$5:$BD$60,MATCH(AT224,$BC$5:$BC$60,0)),"Unmapped"))</f>
        <v/>
      </c>
    </row>
    <row r="225" customFormat="false" ht="15" hidden="false" customHeight="false" outlineLevel="0" collapsed="false">
      <c r="AA225" s="7" t="str">
        <f aca="false">IF('KNOWIFY PHASES'!A225="","",'KNOWIFY PHASES'!A225)</f>
        <v/>
      </c>
      <c r="AB225" s="7" t="str">
        <f aca="false">IF(AA225="","",IF(LEFT(AA225,4)="P - ","P",IF(LEFT(AA225,4)="H - ","H",IF(LEFT(AA225,5)="AC - ","AC",IF(OR(LEFT(AA225,4)="V - ",LEFT(AA225,7)="HVAC - "),"V","Other")))))</f>
        <v/>
      </c>
      <c r="AC225" s="7" t="str">
        <f aca="false">IF(AA225="","",IFERROR(LOOKUP(2,1/(($AZ$5:$AZ$60&lt;&gt;"")*ISNUMBER(SEARCH($AZ$5:$AZ$60,AA225))),$BA$5:$BA$60),IF(AB225="Other","Excluded","Unmapped")))</f>
        <v/>
      </c>
      <c r="AD225" s="7" t="str">
        <f aca="false">IF(AA225="","",IF(AND(AB225&lt;&gt;"Other",OR(AND('KNOWIFY PHASES'!B225="Closed",N('KNOWIFY PHASES'!D225)&gt;=0.5),N('KNOWIFY PHASES'!D225)&gt;=1)),1,0))</f>
        <v/>
      </c>
      <c r="AE225" s="7" t="n">
        <f aca="false">N('KNOWIFY PHASES'!L225)</f>
        <v>0</v>
      </c>
      <c r="AF225" s="7" t="n">
        <f aca="false">N('KNOWIFY PHASES'!K225)</f>
        <v>0</v>
      </c>
      <c r="AG225" s="7" t="n">
        <f aca="false">N('KNOWIFY PHASES'!I225)</f>
        <v>0</v>
      </c>
      <c r="AH225" s="7" t="n">
        <f aca="false">N('KNOWIFY PHASES'!H225)</f>
        <v>0</v>
      </c>
      <c r="AI225" s="7" t="n">
        <f aca="false">N('KNOWIFY PHASES'!O225)</f>
        <v>0</v>
      </c>
      <c r="AJ225" s="7" t="n">
        <f aca="false">N('KNOWIFY PHASES'!N225)</f>
        <v>0</v>
      </c>
      <c r="AK225" s="7" t="n">
        <f aca="false">N('KNOWIFY PHASES'!R225)</f>
        <v>0</v>
      </c>
      <c r="AL225" s="7" t="n">
        <f aca="false">N('KNOWIFY PHASES'!Q225)</f>
        <v>0</v>
      </c>
      <c r="AM225" s="7" t="n">
        <f aca="false">N('KNOWIFY PHASES'!F225)</f>
        <v>0</v>
      </c>
      <c r="AN225" s="7" t="n">
        <f aca="false">N('KNOWIFY PHASES'!E225)</f>
        <v>0</v>
      </c>
      <c r="AO225" s="7" t="n">
        <f aca="false">MAX(AE225,AF225)</f>
        <v>0</v>
      </c>
      <c r="AP225" s="7" t="n">
        <f aca="false">MAX(AG225,AH225)</f>
        <v>0</v>
      </c>
      <c r="AQ225" s="7" t="n">
        <f aca="false">MAX(AI225,AJ225)</f>
        <v>0</v>
      </c>
      <c r="AR225" s="7" t="n">
        <f aca="false">MAX(AK225,AL225)</f>
        <v>0</v>
      </c>
      <c r="AT225" s="7" t="str">
        <f aca="false">IF('KNOWIFY TIME'!B225="","",'KNOWIFY TIME'!B225)</f>
        <v/>
      </c>
      <c r="AU225" s="7" t="n">
        <f aca="false">IF(AT225="",0,IF(ISNUMBER('KNOWIFY TIME'!D225),'KNOWIFY TIME'!D225*24,IFERROR(VALUE(LEFT('KNOWIFY TIME'!D225,FIND(":",'KNOWIFY TIME'!D225)-1))+VALUE(MID('KNOWIFY TIME'!D225,FIND(":",'KNOWIFY TIME'!D225)+1,2))/60,0)))</f>
        <v>0</v>
      </c>
      <c r="AV225" s="7" t="n">
        <f aca="false">N('KNOWIFY TIME'!E225)</f>
        <v>0</v>
      </c>
      <c r="AW225" s="7" t="str">
        <f aca="false">IF(AT225="","",IFERROR(INDEX($BD$5:$BD$60,MATCH(AT225,$BC$5:$BC$60,0)),"Unmapped"))</f>
        <v/>
      </c>
    </row>
    <row r="226" customFormat="false" ht="15" hidden="false" customHeight="false" outlineLevel="0" collapsed="false">
      <c r="AA226" s="7" t="str">
        <f aca="false">IF('KNOWIFY PHASES'!A226="","",'KNOWIFY PHASES'!A226)</f>
        <v/>
      </c>
      <c r="AB226" s="7" t="str">
        <f aca="false">IF(AA226="","",IF(LEFT(AA226,4)="P - ","P",IF(LEFT(AA226,4)="H - ","H",IF(LEFT(AA226,5)="AC - ","AC",IF(OR(LEFT(AA226,4)="V - ",LEFT(AA226,7)="HVAC - "),"V","Other")))))</f>
        <v/>
      </c>
      <c r="AC226" s="7" t="str">
        <f aca="false">IF(AA226="","",IFERROR(LOOKUP(2,1/(($AZ$5:$AZ$60&lt;&gt;"")*ISNUMBER(SEARCH($AZ$5:$AZ$60,AA226))),$BA$5:$BA$60),IF(AB226="Other","Excluded","Unmapped")))</f>
        <v/>
      </c>
      <c r="AD226" s="7" t="str">
        <f aca="false">IF(AA226="","",IF(AND(AB226&lt;&gt;"Other",OR(AND('KNOWIFY PHASES'!B226="Closed",N('KNOWIFY PHASES'!D226)&gt;=0.5),N('KNOWIFY PHASES'!D226)&gt;=1)),1,0))</f>
        <v/>
      </c>
      <c r="AE226" s="7" t="n">
        <f aca="false">N('KNOWIFY PHASES'!L226)</f>
        <v>0</v>
      </c>
      <c r="AF226" s="7" t="n">
        <f aca="false">N('KNOWIFY PHASES'!K226)</f>
        <v>0</v>
      </c>
      <c r="AG226" s="7" t="n">
        <f aca="false">N('KNOWIFY PHASES'!I226)</f>
        <v>0</v>
      </c>
      <c r="AH226" s="7" t="n">
        <f aca="false">N('KNOWIFY PHASES'!H226)</f>
        <v>0</v>
      </c>
      <c r="AI226" s="7" t="n">
        <f aca="false">N('KNOWIFY PHASES'!O226)</f>
        <v>0</v>
      </c>
      <c r="AJ226" s="7" t="n">
        <f aca="false">N('KNOWIFY PHASES'!N226)</f>
        <v>0</v>
      </c>
      <c r="AK226" s="7" t="n">
        <f aca="false">N('KNOWIFY PHASES'!R226)</f>
        <v>0</v>
      </c>
      <c r="AL226" s="7" t="n">
        <f aca="false">N('KNOWIFY PHASES'!Q226)</f>
        <v>0</v>
      </c>
      <c r="AM226" s="7" t="n">
        <f aca="false">N('KNOWIFY PHASES'!F226)</f>
        <v>0</v>
      </c>
      <c r="AN226" s="7" t="n">
        <f aca="false">N('KNOWIFY PHASES'!E226)</f>
        <v>0</v>
      </c>
      <c r="AO226" s="7" t="n">
        <f aca="false">MAX(AE226,AF226)</f>
        <v>0</v>
      </c>
      <c r="AP226" s="7" t="n">
        <f aca="false">MAX(AG226,AH226)</f>
        <v>0</v>
      </c>
      <c r="AQ226" s="7" t="n">
        <f aca="false">MAX(AI226,AJ226)</f>
        <v>0</v>
      </c>
      <c r="AR226" s="7" t="n">
        <f aca="false">MAX(AK226,AL226)</f>
        <v>0</v>
      </c>
      <c r="AT226" s="7" t="str">
        <f aca="false">IF('KNOWIFY TIME'!B226="","",'KNOWIFY TIME'!B226)</f>
        <v/>
      </c>
      <c r="AU226" s="7" t="n">
        <f aca="false">IF(AT226="",0,IF(ISNUMBER('KNOWIFY TIME'!D226),'KNOWIFY TIME'!D226*24,IFERROR(VALUE(LEFT('KNOWIFY TIME'!D226,FIND(":",'KNOWIFY TIME'!D226)-1))+VALUE(MID('KNOWIFY TIME'!D226,FIND(":",'KNOWIFY TIME'!D226)+1,2))/60,0)))</f>
        <v>0</v>
      </c>
      <c r="AV226" s="7" t="n">
        <f aca="false">N('KNOWIFY TIME'!E226)</f>
        <v>0</v>
      </c>
      <c r="AW226" s="7" t="str">
        <f aca="false">IF(AT226="","",IFERROR(INDEX($BD$5:$BD$60,MATCH(AT226,$BC$5:$BC$60,0)),"Unmapped"))</f>
        <v/>
      </c>
    </row>
    <row r="227" customFormat="false" ht="15" hidden="false" customHeight="false" outlineLevel="0" collapsed="false">
      <c r="AA227" s="7" t="str">
        <f aca="false">IF('KNOWIFY PHASES'!A227="","",'KNOWIFY PHASES'!A227)</f>
        <v/>
      </c>
      <c r="AB227" s="7" t="str">
        <f aca="false">IF(AA227="","",IF(LEFT(AA227,4)="P - ","P",IF(LEFT(AA227,4)="H - ","H",IF(LEFT(AA227,5)="AC - ","AC",IF(OR(LEFT(AA227,4)="V - ",LEFT(AA227,7)="HVAC - "),"V","Other")))))</f>
        <v/>
      </c>
      <c r="AC227" s="7" t="str">
        <f aca="false">IF(AA227="","",IFERROR(LOOKUP(2,1/(($AZ$5:$AZ$60&lt;&gt;"")*ISNUMBER(SEARCH($AZ$5:$AZ$60,AA227))),$BA$5:$BA$60),IF(AB227="Other","Excluded","Unmapped")))</f>
        <v/>
      </c>
      <c r="AD227" s="7" t="str">
        <f aca="false">IF(AA227="","",IF(AND(AB227&lt;&gt;"Other",OR(AND('KNOWIFY PHASES'!B227="Closed",N('KNOWIFY PHASES'!D227)&gt;=0.5),N('KNOWIFY PHASES'!D227)&gt;=1)),1,0))</f>
        <v/>
      </c>
      <c r="AE227" s="7" t="n">
        <f aca="false">N('KNOWIFY PHASES'!L227)</f>
        <v>0</v>
      </c>
      <c r="AF227" s="7" t="n">
        <f aca="false">N('KNOWIFY PHASES'!K227)</f>
        <v>0</v>
      </c>
      <c r="AG227" s="7" t="n">
        <f aca="false">N('KNOWIFY PHASES'!I227)</f>
        <v>0</v>
      </c>
      <c r="AH227" s="7" t="n">
        <f aca="false">N('KNOWIFY PHASES'!H227)</f>
        <v>0</v>
      </c>
      <c r="AI227" s="7" t="n">
        <f aca="false">N('KNOWIFY PHASES'!O227)</f>
        <v>0</v>
      </c>
      <c r="AJ227" s="7" t="n">
        <f aca="false">N('KNOWIFY PHASES'!N227)</f>
        <v>0</v>
      </c>
      <c r="AK227" s="7" t="n">
        <f aca="false">N('KNOWIFY PHASES'!R227)</f>
        <v>0</v>
      </c>
      <c r="AL227" s="7" t="n">
        <f aca="false">N('KNOWIFY PHASES'!Q227)</f>
        <v>0</v>
      </c>
      <c r="AM227" s="7" t="n">
        <f aca="false">N('KNOWIFY PHASES'!F227)</f>
        <v>0</v>
      </c>
      <c r="AN227" s="7" t="n">
        <f aca="false">N('KNOWIFY PHASES'!E227)</f>
        <v>0</v>
      </c>
      <c r="AO227" s="7" t="n">
        <f aca="false">MAX(AE227,AF227)</f>
        <v>0</v>
      </c>
      <c r="AP227" s="7" t="n">
        <f aca="false">MAX(AG227,AH227)</f>
        <v>0</v>
      </c>
      <c r="AQ227" s="7" t="n">
        <f aca="false">MAX(AI227,AJ227)</f>
        <v>0</v>
      </c>
      <c r="AR227" s="7" t="n">
        <f aca="false">MAX(AK227,AL227)</f>
        <v>0</v>
      </c>
      <c r="AT227" s="7" t="str">
        <f aca="false">IF('KNOWIFY TIME'!B227="","",'KNOWIFY TIME'!B227)</f>
        <v/>
      </c>
      <c r="AU227" s="7" t="n">
        <f aca="false">IF(AT227="",0,IF(ISNUMBER('KNOWIFY TIME'!D227),'KNOWIFY TIME'!D227*24,IFERROR(VALUE(LEFT('KNOWIFY TIME'!D227,FIND(":",'KNOWIFY TIME'!D227)-1))+VALUE(MID('KNOWIFY TIME'!D227,FIND(":",'KNOWIFY TIME'!D227)+1,2))/60,0)))</f>
        <v>0</v>
      </c>
      <c r="AV227" s="7" t="n">
        <f aca="false">N('KNOWIFY TIME'!E227)</f>
        <v>0</v>
      </c>
      <c r="AW227" s="7" t="str">
        <f aca="false">IF(AT227="","",IFERROR(INDEX($BD$5:$BD$60,MATCH(AT227,$BC$5:$BC$60,0)),"Unmapped"))</f>
        <v/>
      </c>
    </row>
    <row r="228" customFormat="false" ht="15" hidden="false" customHeight="false" outlineLevel="0" collapsed="false">
      <c r="AA228" s="7" t="str">
        <f aca="false">IF('KNOWIFY PHASES'!A228="","",'KNOWIFY PHASES'!A228)</f>
        <v/>
      </c>
      <c r="AB228" s="7" t="str">
        <f aca="false">IF(AA228="","",IF(LEFT(AA228,4)="P - ","P",IF(LEFT(AA228,4)="H - ","H",IF(LEFT(AA228,5)="AC - ","AC",IF(OR(LEFT(AA228,4)="V - ",LEFT(AA228,7)="HVAC - "),"V","Other")))))</f>
        <v/>
      </c>
      <c r="AC228" s="7" t="str">
        <f aca="false">IF(AA228="","",IFERROR(LOOKUP(2,1/(($AZ$5:$AZ$60&lt;&gt;"")*ISNUMBER(SEARCH($AZ$5:$AZ$60,AA228))),$BA$5:$BA$60),IF(AB228="Other","Excluded","Unmapped")))</f>
        <v/>
      </c>
      <c r="AD228" s="7" t="str">
        <f aca="false">IF(AA228="","",IF(AND(AB228&lt;&gt;"Other",OR(AND('KNOWIFY PHASES'!B228="Closed",N('KNOWIFY PHASES'!D228)&gt;=0.5),N('KNOWIFY PHASES'!D228)&gt;=1)),1,0))</f>
        <v/>
      </c>
      <c r="AE228" s="7" t="n">
        <f aca="false">N('KNOWIFY PHASES'!L228)</f>
        <v>0</v>
      </c>
      <c r="AF228" s="7" t="n">
        <f aca="false">N('KNOWIFY PHASES'!K228)</f>
        <v>0</v>
      </c>
      <c r="AG228" s="7" t="n">
        <f aca="false">N('KNOWIFY PHASES'!I228)</f>
        <v>0</v>
      </c>
      <c r="AH228" s="7" t="n">
        <f aca="false">N('KNOWIFY PHASES'!H228)</f>
        <v>0</v>
      </c>
      <c r="AI228" s="7" t="n">
        <f aca="false">N('KNOWIFY PHASES'!O228)</f>
        <v>0</v>
      </c>
      <c r="AJ228" s="7" t="n">
        <f aca="false">N('KNOWIFY PHASES'!N228)</f>
        <v>0</v>
      </c>
      <c r="AK228" s="7" t="n">
        <f aca="false">N('KNOWIFY PHASES'!R228)</f>
        <v>0</v>
      </c>
      <c r="AL228" s="7" t="n">
        <f aca="false">N('KNOWIFY PHASES'!Q228)</f>
        <v>0</v>
      </c>
      <c r="AM228" s="7" t="n">
        <f aca="false">N('KNOWIFY PHASES'!F228)</f>
        <v>0</v>
      </c>
      <c r="AN228" s="7" t="n">
        <f aca="false">N('KNOWIFY PHASES'!E228)</f>
        <v>0</v>
      </c>
      <c r="AO228" s="7" t="n">
        <f aca="false">MAX(AE228,AF228)</f>
        <v>0</v>
      </c>
      <c r="AP228" s="7" t="n">
        <f aca="false">MAX(AG228,AH228)</f>
        <v>0</v>
      </c>
      <c r="AQ228" s="7" t="n">
        <f aca="false">MAX(AI228,AJ228)</f>
        <v>0</v>
      </c>
      <c r="AR228" s="7" t="n">
        <f aca="false">MAX(AK228,AL228)</f>
        <v>0</v>
      </c>
      <c r="AT228" s="7" t="str">
        <f aca="false">IF('KNOWIFY TIME'!B228="","",'KNOWIFY TIME'!B228)</f>
        <v/>
      </c>
      <c r="AU228" s="7" t="n">
        <f aca="false">IF(AT228="",0,IF(ISNUMBER('KNOWIFY TIME'!D228),'KNOWIFY TIME'!D228*24,IFERROR(VALUE(LEFT('KNOWIFY TIME'!D228,FIND(":",'KNOWIFY TIME'!D228)-1))+VALUE(MID('KNOWIFY TIME'!D228,FIND(":",'KNOWIFY TIME'!D228)+1,2))/60,0)))</f>
        <v>0</v>
      </c>
      <c r="AV228" s="7" t="n">
        <f aca="false">N('KNOWIFY TIME'!E228)</f>
        <v>0</v>
      </c>
      <c r="AW228" s="7" t="str">
        <f aca="false">IF(AT228="","",IFERROR(INDEX($BD$5:$BD$60,MATCH(AT228,$BC$5:$BC$60,0)),"Unmapped"))</f>
        <v/>
      </c>
    </row>
    <row r="229" customFormat="false" ht="15" hidden="false" customHeight="false" outlineLevel="0" collapsed="false">
      <c r="AA229" s="7" t="str">
        <f aca="false">IF('KNOWIFY PHASES'!A229="","",'KNOWIFY PHASES'!A229)</f>
        <v/>
      </c>
      <c r="AB229" s="7" t="str">
        <f aca="false">IF(AA229="","",IF(LEFT(AA229,4)="P - ","P",IF(LEFT(AA229,4)="H - ","H",IF(LEFT(AA229,5)="AC - ","AC",IF(OR(LEFT(AA229,4)="V - ",LEFT(AA229,7)="HVAC - "),"V","Other")))))</f>
        <v/>
      </c>
      <c r="AC229" s="7" t="str">
        <f aca="false">IF(AA229="","",IFERROR(LOOKUP(2,1/(($AZ$5:$AZ$60&lt;&gt;"")*ISNUMBER(SEARCH($AZ$5:$AZ$60,AA229))),$BA$5:$BA$60),IF(AB229="Other","Excluded","Unmapped")))</f>
        <v/>
      </c>
      <c r="AD229" s="7" t="str">
        <f aca="false">IF(AA229="","",IF(AND(AB229&lt;&gt;"Other",OR(AND('KNOWIFY PHASES'!B229="Closed",N('KNOWIFY PHASES'!D229)&gt;=0.5),N('KNOWIFY PHASES'!D229)&gt;=1)),1,0))</f>
        <v/>
      </c>
      <c r="AE229" s="7" t="n">
        <f aca="false">N('KNOWIFY PHASES'!L229)</f>
        <v>0</v>
      </c>
      <c r="AF229" s="7" t="n">
        <f aca="false">N('KNOWIFY PHASES'!K229)</f>
        <v>0</v>
      </c>
      <c r="AG229" s="7" t="n">
        <f aca="false">N('KNOWIFY PHASES'!I229)</f>
        <v>0</v>
      </c>
      <c r="AH229" s="7" t="n">
        <f aca="false">N('KNOWIFY PHASES'!H229)</f>
        <v>0</v>
      </c>
      <c r="AI229" s="7" t="n">
        <f aca="false">N('KNOWIFY PHASES'!O229)</f>
        <v>0</v>
      </c>
      <c r="AJ229" s="7" t="n">
        <f aca="false">N('KNOWIFY PHASES'!N229)</f>
        <v>0</v>
      </c>
      <c r="AK229" s="7" t="n">
        <f aca="false">N('KNOWIFY PHASES'!R229)</f>
        <v>0</v>
      </c>
      <c r="AL229" s="7" t="n">
        <f aca="false">N('KNOWIFY PHASES'!Q229)</f>
        <v>0</v>
      </c>
      <c r="AM229" s="7" t="n">
        <f aca="false">N('KNOWIFY PHASES'!F229)</f>
        <v>0</v>
      </c>
      <c r="AN229" s="7" t="n">
        <f aca="false">N('KNOWIFY PHASES'!E229)</f>
        <v>0</v>
      </c>
      <c r="AO229" s="7" t="n">
        <f aca="false">MAX(AE229,AF229)</f>
        <v>0</v>
      </c>
      <c r="AP229" s="7" t="n">
        <f aca="false">MAX(AG229,AH229)</f>
        <v>0</v>
      </c>
      <c r="AQ229" s="7" t="n">
        <f aca="false">MAX(AI229,AJ229)</f>
        <v>0</v>
      </c>
      <c r="AR229" s="7" t="n">
        <f aca="false">MAX(AK229,AL229)</f>
        <v>0</v>
      </c>
      <c r="AT229" s="7" t="str">
        <f aca="false">IF('KNOWIFY TIME'!B229="","",'KNOWIFY TIME'!B229)</f>
        <v/>
      </c>
      <c r="AU229" s="7" t="n">
        <f aca="false">IF(AT229="",0,IF(ISNUMBER('KNOWIFY TIME'!D229),'KNOWIFY TIME'!D229*24,IFERROR(VALUE(LEFT('KNOWIFY TIME'!D229,FIND(":",'KNOWIFY TIME'!D229)-1))+VALUE(MID('KNOWIFY TIME'!D229,FIND(":",'KNOWIFY TIME'!D229)+1,2))/60,0)))</f>
        <v>0</v>
      </c>
      <c r="AV229" s="7" t="n">
        <f aca="false">N('KNOWIFY TIME'!E229)</f>
        <v>0</v>
      </c>
      <c r="AW229" s="7" t="str">
        <f aca="false">IF(AT229="","",IFERROR(INDEX($BD$5:$BD$60,MATCH(AT229,$BC$5:$BC$60,0)),"Unmapped"))</f>
        <v/>
      </c>
    </row>
    <row r="230" customFormat="false" ht="15" hidden="false" customHeight="false" outlineLevel="0" collapsed="false">
      <c r="AA230" s="7" t="str">
        <f aca="false">IF('KNOWIFY PHASES'!A230="","",'KNOWIFY PHASES'!A230)</f>
        <v/>
      </c>
      <c r="AB230" s="7" t="str">
        <f aca="false">IF(AA230="","",IF(LEFT(AA230,4)="P - ","P",IF(LEFT(AA230,4)="H - ","H",IF(LEFT(AA230,5)="AC - ","AC",IF(OR(LEFT(AA230,4)="V - ",LEFT(AA230,7)="HVAC - "),"V","Other")))))</f>
        <v/>
      </c>
      <c r="AC230" s="7" t="str">
        <f aca="false">IF(AA230="","",IFERROR(LOOKUP(2,1/(($AZ$5:$AZ$60&lt;&gt;"")*ISNUMBER(SEARCH($AZ$5:$AZ$60,AA230))),$BA$5:$BA$60),IF(AB230="Other","Excluded","Unmapped")))</f>
        <v/>
      </c>
      <c r="AD230" s="7" t="str">
        <f aca="false">IF(AA230="","",IF(AND(AB230&lt;&gt;"Other",OR(AND('KNOWIFY PHASES'!B230="Closed",N('KNOWIFY PHASES'!D230)&gt;=0.5),N('KNOWIFY PHASES'!D230)&gt;=1)),1,0))</f>
        <v/>
      </c>
      <c r="AE230" s="7" t="n">
        <f aca="false">N('KNOWIFY PHASES'!L230)</f>
        <v>0</v>
      </c>
      <c r="AF230" s="7" t="n">
        <f aca="false">N('KNOWIFY PHASES'!K230)</f>
        <v>0</v>
      </c>
      <c r="AG230" s="7" t="n">
        <f aca="false">N('KNOWIFY PHASES'!I230)</f>
        <v>0</v>
      </c>
      <c r="AH230" s="7" t="n">
        <f aca="false">N('KNOWIFY PHASES'!H230)</f>
        <v>0</v>
      </c>
      <c r="AI230" s="7" t="n">
        <f aca="false">N('KNOWIFY PHASES'!O230)</f>
        <v>0</v>
      </c>
      <c r="AJ230" s="7" t="n">
        <f aca="false">N('KNOWIFY PHASES'!N230)</f>
        <v>0</v>
      </c>
      <c r="AK230" s="7" t="n">
        <f aca="false">N('KNOWIFY PHASES'!R230)</f>
        <v>0</v>
      </c>
      <c r="AL230" s="7" t="n">
        <f aca="false">N('KNOWIFY PHASES'!Q230)</f>
        <v>0</v>
      </c>
      <c r="AM230" s="7" t="n">
        <f aca="false">N('KNOWIFY PHASES'!F230)</f>
        <v>0</v>
      </c>
      <c r="AN230" s="7" t="n">
        <f aca="false">N('KNOWIFY PHASES'!E230)</f>
        <v>0</v>
      </c>
      <c r="AO230" s="7" t="n">
        <f aca="false">MAX(AE230,AF230)</f>
        <v>0</v>
      </c>
      <c r="AP230" s="7" t="n">
        <f aca="false">MAX(AG230,AH230)</f>
        <v>0</v>
      </c>
      <c r="AQ230" s="7" t="n">
        <f aca="false">MAX(AI230,AJ230)</f>
        <v>0</v>
      </c>
      <c r="AR230" s="7" t="n">
        <f aca="false">MAX(AK230,AL230)</f>
        <v>0</v>
      </c>
      <c r="AT230" s="7" t="str">
        <f aca="false">IF('KNOWIFY TIME'!B230="","",'KNOWIFY TIME'!B230)</f>
        <v/>
      </c>
      <c r="AU230" s="7" t="n">
        <f aca="false">IF(AT230="",0,IF(ISNUMBER('KNOWIFY TIME'!D230),'KNOWIFY TIME'!D230*24,IFERROR(VALUE(LEFT('KNOWIFY TIME'!D230,FIND(":",'KNOWIFY TIME'!D230)-1))+VALUE(MID('KNOWIFY TIME'!D230,FIND(":",'KNOWIFY TIME'!D230)+1,2))/60,0)))</f>
        <v>0</v>
      </c>
      <c r="AV230" s="7" t="n">
        <f aca="false">N('KNOWIFY TIME'!E230)</f>
        <v>0</v>
      </c>
      <c r="AW230" s="7" t="str">
        <f aca="false">IF(AT230="","",IFERROR(INDEX($BD$5:$BD$60,MATCH(AT230,$BC$5:$BC$60,0)),"Unmapped"))</f>
        <v/>
      </c>
    </row>
    <row r="231" customFormat="false" ht="15" hidden="false" customHeight="false" outlineLevel="0" collapsed="false">
      <c r="AA231" s="7" t="str">
        <f aca="false">IF('KNOWIFY PHASES'!A231="","",'KNOWIFY PHASES'!A231)</f>
        <v/>
      </c>
      <c r="AB231" s="7" t="str">
        <f aca="false">IF(AA231="","",IF(LEFT(AA231,4)="P - ","P",IF(LEFT(AA231,4)="H - ","H",IF(LEFT(AA231,5)="AC - ","AC",IF(OR(LEFT(AA231,4)="V - ",LEFT(AA231,7)="HVAC - "),"V","Other")))))</f>
        <v/>
      </c>
      <c r="AC231" s="7" t="str">
        <f aca="false">IF(AA231="","",IFERROR(LOOKUP(2,1/(($AZ$5:$AZ$60&lt;&gt;"")*ISNUMBER(SEARCH($AZ$5:$AZ$60,AA231))),$BA$5:$BA$60),IF(AB231="Other","Excluded","Unmapped")))</f>
        <v/>
      </c>
      <c r="AD231" s="7" t="str">
        <f aca="false">IF(AA231="","",IF(AND(AB231&lt;&gt;"Other",OR(AND('KNOWIFY PHASES'!B231="Closed",N('KNOWIFY PHASES'!D231)&gt;=0.5),N('KNOWIFY PHASES'!D231)&gt;=1)),1,0))</f>
        <v/>
      </c>
      <c r="AE231" s="7" t="n">
        <f aca="false">N('KNOWIFY PHASES'!L231)</f>
        <v>0</v>
      </c>
      <c r="AF231" s="7" t="n">
        <f aca="false">N('KNOWIFY PHASES'!K231)</f>
        <v>0</v>
      </c>
      <c r="AG231" s="7" t="n">
        <f aca="false">N('KNOWIFY PHASES'!I231)</f>
        <v>0</v>
      </c>
      <c r="AH231" s="7" t="n">
        <f aca="false">N('KNOWIFY PHASES'!H231)</f>
        <v>0</v>
      </c>
      <c r="AI231" s="7" t="n">
        <f aca="false">N('KNOWIFY PHASES'!O231)</f>
        <v>0</v>
      </c>
      <c r="AJ231" s="7" t="n">
        <f aca="false">N('KNOWIFY PHASES'!N231)</f>
        <v>0</v>
      </c>
      <c r="AK231" s="7" t="n">
        <f aca="false">N('KNOWIFY PHASES'!R231)</f>
        <v>0</v>
      </c>
      <c r="AL231" s="7" t="n">
        <f aca="false">N('KNOWIFY PHASES'!Q231)</f>
        <v>0</v>
      </c>
      <c r="AM231" s="7" t="n">
        <f aca="false">N('KNOWIFY PHASES'!F231)</f>
        <v>0</v>
      </c>
      <c r="AN231" s="7" t="n">
        <f aca="false">N('KNOWIFY PHASES'!E231)</f>
        <v>0</v>
      </c>
      <c r="AO231" s="7" t="n">
        <f aca="false">MAX(AE231,AF231)</f>
        <v>0</v>
      </c>
      <c r="AP231" s="7" t="n">
        <f aca="false">MAX(AG231,AH231)</f>
        <v>0</v>
      </c>
      <c r="AQ231" s="7" t="n">
        <f aca="false">MAX(AI231,AJ231)</f>
        <v>0</v>
      </c>
      <c r="AR231" s="7" t="n">
        <f aca="false">MAX(AK231,AL231)</f>
        <v>0</v>
      </c>
      <c r="AT231" s="7" t="str">
        <f aca="false">IF('KNOWIFY TIME'!B231="","",'KNOWIFY TIME'!B231)</f>
        <v/>
      </c>
      <c r="AU231" s="7" t="n">
        <f aca="false">IF(AT231="",0,IF(ISNUMBER('KNOWIFY TIME'!D231),'KNOWIFY TIME'!D231*24,IFERROR(VALUE(LEFT('KNOWIFY TIME'!D231,FIND(":",'KNOWIFY TIME'!D231)-1))+VALUE(MID('KNOWIFY TIME'!D231,FIND(":",'KNOWIFY TIME'!D231)+1,2))/60,0)))</f>
        <v>0</v>
      </c>
      <c r="AV231" s="7" t="n">
        <f aca="false">N('KNOWIFY TIME'!E231)</f>
        <v>0</v>
      </c>
      <c r="AW231" s="7" t="str">
        <f aca="false">IF(AT231="","",IFERROR(INDEX($BD$5:$BD$60,MATCH(AT231,$BC$5:$BC$60,0)),"Unmapped"))</f>
        <v/>
      </c>
    </row>
    <row r="232" customFormat="false" ht="15" hidden="false" customHeight="false" outlineLevel="0" collapsed="false">
      <c r="AA232" s="7" t="str">
        <f aca="false">IF('KNOWIFY PHASES'!A232="","",'KNOWIFY PHASES'!A232)</f>
        <v/>
      </c>
      <c r="AB232" s="7" t="str">
        <f aca="false">IF(AA232="","",IF(LEFT(AA232,4)="P - ","P",IF(LEFT(AA232,4)="H - ","H",IF(LEFT(AA232,5)="AC - ","AC",IF(OR(LEFT(AA232,4)="V - ",LEFT(AA232,7)="HVAC - "),"V","Other")))))</f>
        <v/>
      </c>
      <c r="AC232" s="7" t="str">
        <f aca="false">IF(AA232="","",IFERROR(LOOKUP(2,1/(($AZ$5:$AZ$60&lt;&gt;"")*ISNUMBER(SEARCH($AZ$5:$AZ$60,AA232))),$BA$5:$BA$60),IF(AB232="Other","Excluded","Unmapped")))</f>
        <v/>
      </c>
      <c r="AD232" s="7" t="str">
        <f aca="false">IF(AA232="","",IF(AND(AB232&lt;&gt;"Other",OR(AND('KNOWIFY PHASES'!B232="Closed",N('KNOWIFY PHASES'!D232)&gt;=0.5),N('KNOWIFY PHASES'!D232)&gt;=1)),1,0))</f>
        <v/>
      </c>
      <c r="AE232" s="7" t="n">
        <f aca="false">N('KNOWIFY PHASES'!L232)</f>
        <v>0</v>
      </c>
      <c r="AF232" s="7" t="n">
        <f aca="false">N('KNOWIFY PHASES'!K232)</f>
        <v>0</v>
      </c>
      <c r="AG232" s="7" t="n">
        <f aca="false">N('KNOWIFY PHASES'!I232)</f>
        <v>0</v>
      </c>
      <c r="AH232" s="7" t="n">
        <f aca="false">N('KNOWIFY PHASES'!H232)</f>
        <v>0</v>
      </c>
      <c r="AI232" s="7" t="n">
        <f aca="false">N('KNOWIFY PHASES'!O232)</f>
        <v>0</v>
      </c>
      <c r="AJ232" s="7" t="n">
        <f aca="false">N('KNOWIFY PHASES'!N232)</f>
        <v>0</v>
      </c>
      <c r="AK232" s="7" t="n">
        <f aca="false">N('KNOWIFY PHASES'!R232)</f>
        <v>0</v>
      </c>
      <c r="AL232" s="7" t="n">
        <f aca="false">N('KNOWIFY PHASES'!Q232)</f>
        <v>0</v>
      </c>
      <c r="AM232" s="7" t="n">
        <f aca="false">N('KNOWIFY PHASES'!F232)</f>
        <v>0</v>
      </c>
      <c r="AN232" s="7" t="n">
        <f aca="false">N('KNOWIFY PHASES'!E232)</f>
        <v>0</v>
      </c>
      <c r="AO232" s="7" t="n">
        <f aca="false">MAX(AE232,AF232)</f>
        <v>0</v>
      </c>
      <c r="AP232" s="7" t="n">
        <f aca="false">MAX(AG232,AH232)</f>
        <v>0</v>
      </c>
      <c r="AQ232" s="7" t="n">
        <f aca="false">MAX(AI232,AJ232)</f>
        <v>0</v>
      </c>
      <c r="AR232" s="7" t="n">
        <f aca="false">MAX(AK232,AL232)</f>
        <v>0</v>
      </c>
      <c r="AT232" s="7" t="str">
        <f aca="false">IF('KNOWIFY TIME'!B232="","",'KNOWIFY TIME'!B232)</f>
        <v/>
      </c>
      <c r="AU232" s="7" t="n">
        <f aca="false">IF(AT232="",0,IF(ISNUMBER('KNOWIFY TIME'!D232),'KNOWIFY TIME'!D232*24,IFERROR(VALUE(LEFT('KNOWIFY TIME'!D232,FIND(":",'KNOWIFY TIME'!D232)-1))+VALUE(MID('KNOWIFY TIME'!D232,FIND(":",'KNOWIFY TIME'!D232)+1,2))/60,0)))</f>
        <v>0</v>
      </c>
      <c r="AV232" s="7" t="n">
        <f aca="false">N('KNOWIFY TIME'!E232)</f>
        <v>0</v>
      </c>
      <c r="AW232" s="7" t="str">
        <f aca="false">IF(AT232="","",IFERROR(INDEX($BD$5:$BD$60,MATCH(AT232,$BC$5:$BC$60,0)),"Unmapped"))</f>
        <v/>
      </c>
    </row>
    <row r="233" customFormat="false" ht="15" hidden="false" customHeight="false" outlineLevel="0" collapsed="false">
      <c r="AA233" s="7" t="str">
        <f aca="false">IF('KNOWIFY PHASES'!A233="","",'KNOWIFY PHASES'!A233)</f>
        <v/>
      </c>
      <c r="AB233" s="7" t="str">
        <f aca="false">IF(AA233="","",IF(LEFT(AA233,4)="P - ","P",IF(LEFT(AA233,4)="H - ","H",IF(LEFT(AA233,5)="AC - ","AC",IF(OR(LEFT(AA233,4)="V - ",LEFT(AA233,7)="HVAC - "),"V","Other")))))</f>
        <v/>
      </c>
      <c r="AC233" s="7" t="str">
        <f aca="false">IF(AA233="","",IFERROR(LOOKUP(2,1/(($AZ$5:$AZ$60&lt;&gt;"")*ISNUMBER(SEARCH($AZ$5:$AZ$60,AA233))),$BA$5:$BA$60),IF(AB233="Other","Excluded","Unmapped")))</f>
        <v/>
      </c>
      <c r="AD233" s="7" t="str">
        <f aca="false">IF(AA233="","",IF(AND(AB233&lt;&gt;"Other",OR(AND('KNOWIFY PHASES'!B233="Closed",N('KNOWIFY PHASES'!D233)&gt;=0.5),N('KNOWIFY PHASES'!D233)&gt;=1)),1,0))</f>
        <v/>
      </c>
      <c r="AE233" s="7" t="n">
        <f aca="false">N('KNOWIFY PHASES'!L233)</f>
        <v>0</v>
      </c>
      <c r="AF233" s="7" t="n">
        <f aca="false">N('KNOWIFY PHASES'!K233)</f>
        <v>0</v>
      </c>
      <c r="AG233" s="7" t="n">
        <f aca="false">N('KNOWIFY PHASES'!I233)</f>
        <v>0</v>
      </c>
      <c r="AH233" s="7" t="n">
        <f aca="false">N('KNOWIFY PHASES'!H233)</f>
        <v>0</v>
      </c>
      <c r="AI233" s="7" t="n">
        <f aca="false">N('KNOWIFY PHASES'!O233)</f>
        <v>0</v>
      </c>
      <c r="AJ233" s="7" t="n">
        <f aca="false">N('KNOWIFY PHASES'!N233)</f>
        <v>0</v>
      </c>
      <c r="AK233" s="7" t="n">
        <f aca="false">N('KNOWIFY PHASES'!R233)</f>
        <v>0</v>
      </c>
      <c r="AL233" s="7" t="n">
        <f aca="false">N('KNOWIFY PHASES'!Q233)</f>
        <v>0</v>
      </c>
      <c r="AM233" s="7" t="n">
        <f aca="false">N('KNOWIFY PHASES'!F233)</f>
        <v>0</v>
      </c>
      <c r="AN233" s="7" t="n">
        <f aca="false">N('KNOWIFY PHASES'!E233)</f>
        <v>0</v>
      </c>
      <c r="AO233" s="7" t="n">
        <f aca="false">MAX(AE233,AF233)</f>
        <v>0</v>
      </c>
      <c r="AP233" s="7" t="n">
        <f aca="false">MAX(AG233,AH233)</f>
        <v>0</v>
      </c>
      <c r="AQ233" s="7" t="n">
        <f aca="false">MAX(AI233,AJ233)</f>
        <v>0</v>
      </c>
      <c r="AR233" s="7" t="n">
        <f aca="false">MAX(AK233,AL233)</f>
        <v>0</v>
      </c>
      <c r="AT233" s="7" t="str">
        <f aca="false">IF('KNOWIFY TIME'!B233="","",'KNOWIFY TIME'!B233)</f>
        <v/>
      </c>
      <c r="AU233" s="7" t="n">
        <f aca="false">IF(AT233="",0,IF(ISNUMBER('KNOWIFY TIME'!D233),'KNOWIFY TIME'!D233*24,IFERROR(VALUE(LEFT('KNOWIFY TIME'!D233,FIND(":",'KNOWIFY TIME'!D233)-1))+VALUE(MID('KNOWIFY TIME'!D233,FIND(":",'KNOWIFY TIME'!D233)+1,2))/60,0)))</f>
        <v>0</v>
      </c>
      <c r="AV233" s="7" t="n">
        <f aca="false">N('KNOWIFY TIME'!E233)</f>
        <v>0</v>
      </c>
      <c r="AW233" s="7" t="str">
        <f aca="false">IF(AT233="","",IFERROR(INDEX($BD$5:$BD$60,MATCH(AT233,$BC$5:$BC$60,0)),"Unmapped"))</f>
        <v/>
      </c>
    </row>
    <row r="234" customFormat="false" ht="15" hidden="false" customHeight="false" outlineLevel="0" collapsed="false">
      <c r="AA234" s="7" t="str">
        <f aca="false">IF('KNOWIFY PHASES'!A234="","",'KNOWIFY PHASES'!A234)</f>
        <v/>
      </c>
      <c r="AB234" s="7" t="str">
        <f aca="false">IF(AA234="","",IF(LEFT(AA234,4)="P - ","P",IF(LEFT(AA234,4)="H - ","H",IF(LEFT(AA234,5)="AC - ","AC",IF(OR(LEFT(AA234,4)="V - ",LEFT(AA234,7)="HVAC - "),"V","Other")))))</f>
        <v/>
      </c>
      <c r="AC234" s="7" t="str">
        <f aca="false">IF(AA234="","",IFERROR(LOOKUP(2,1/(($AZ$5:$AZ$60&lt;&gt;"")*ISNUMBER(SEARCH($AZ$5:$AZ$60,AA234))),$BA$5:$BA$60),IF(AB234="Other","Excluded","Unmapped")))</f>
        <v/>
      </c>
      <c r="AD234" s="7" t="str">
        <f aca="false">IF(AA234="","",IF(AND(AB234&lt;&gt;"Other",OR(AND('KNOWIFY PHASES'!B234="Closed",N('KNOWIFY PHASES'!D234)&gt;=0.5),N('KNOWIFY PHASES'!D234)&gt;=1)),1,0))</f>
        <v/>
      </c>
      <c r="AE234" s="7" t="n">
        <f aca="false">N('KNOWIFY PHASES'!L234)</f>
        <v>0</v>
      </c>
      <c r="AF234" s="7" t="n">
        <f aca="false">N('KNOWIFY PHASES'!K234)</f>
        <v>0</v>
      </c>
      <c r="AG234" s="7" t="n">
        <f aca="false">N('KNOWIFY PHASES'!I234)</f>
        <v>0</v>
      </c>
      <c r="AH234" s="7" t="n">
        <f aca="false">N('KNOWIFY PHASES'!H234)</f>
        <v>0</v>
      </c>
      <c r="AI234" s="7" t="n">
        <f aca="false">N('KNOWIFY PHASES'!O234)</f>
        <v>0</v>
      </c>
      <c r="AJ234" s="7" t="n">
        <f aca="false">N('KNOWIFY PHASES'!N234)</f>
        <v>0</v>
      </c>
      <c r="AK234" s="7" t="n">
        <f aca="false">N('KNOWIFY PHASES'!R234)</f>
        <v>0</v>
      </c>
      <c r="AL234" s="7" t="n">
        <f aca="false">N('KNOWIFY PHASES'!Q234)</f>
        <v>0</v>
      </c>
      <c r="AM234" s="7" t="n">
        <f aca="false">N('KNOWIFY PHASES'!F234)</f>
        <v>0</v>
      </c>
      <c r="AN234" s="7" t="n">
        <f aca="false">N('KNOWIFY PHASES'!E234)</f>
        <v>0</v>
      </c>
      <c r="AO234" s="7" t="n">
        <f aca="false">MAX(AE234,AF234)</f>
        <v>0</v>
      </c>
      <c r="AP234" s="7" t="n">
        <f aca="false">MAX(AG234,AH234)</f>
        <v>0</v>
      </c>
      <c r="AQ234" s="7" t="n">
        <f aca="false">MAX(AI234,AJ234)</f>
        <v>0</v>
      </c>
      <c r="AR234" s="7" t="n">
        <f aca="false">MAX(AK234,AL234)</f>
        <v>0</v>
      </c>
      <c r="AT234" s="7" t="str">
        <f aca="false">IF('KNOWIFY TIME'!B234="","",'KNOWIFY TIME'!B234)</f>
        <v/>
      </c>
      <c r="AU234" s="7" t="n">
        <f aca="false">IF(AT234="",0,IF(ISNUMBER('KNOWIFY TIME'!D234),'KNOWIFY TIME'!D234*24,IFERROR(VALUE(LEFT('KNOWIFY TIME'!D234,FIND(":",'KNOWIFY TIME'!D234)-1))+VALUE(MID('KNOWIFY TIME'!D234,FIND(":",'KNOWIFY TIME'!D234)+1,2))/60,0)))</f>
        <v>0</v>
      </c>
      <c r="AV234" s="7" t="n">
        <f aca="false">N('KNOWIFY TIME'!E234)</f>
        <v>0</v>
      </c>
      <c r="AW234" s="7" t="str">
        <f aca="false">IF(AT234="","",IFERROR(INDEX($BD$5:$BD$60,MATCH(AT234,$BC$5:$BC$60,0)),"Unmapped"))</f>
        <v/>
      </c>
    </row>
    <row r="235" customFormat="false" ht="15" hidden="false" customHeight="false" outlineLevel="0" collapsed="false">
      <c r="AA235" s="7" t="str">
        <f aca="false">IF('KNOWIFY PHASES'!A235="","",'KNOWIFY PHASES'!A235)</f>
        <v/>
      </c>
      <c r="AB235" s="7" t="str">
        <f aca="false">IF(AA235="","",IF(LEFT(AA235,4)="P - ","P",IF(LEFT(AA235,4)="H - ","H",IF(LEFT(AA235,5)="AC - ","AC",IF(OR(LEFT(AA235,4)="V - ",LEFT(AA235,7)="HVAC - "),"V","Other")))))</f>
        <v/>
      </c>
      <c r="AC235" s="7" t="str">
        <f aca="false">IF(AA235="","",IFERROR(LOOKUP(2,1/(($AZ$5:$AZ$60&lt;&gt;"")*ISNUMBER(SEARCH($AZ$5:$AZ$60,AA235))),$BA$5:$BA$60),IF(AB235="Other","Excluded","Unmapped")))</f>
        <v/>
      </c>
      <c r="AD235" s="7" t="str">
        <f aca="false">IF(AA235="","",IF(AND(AB235&lt;&gt;"Other",OR(AND('KNOWIFY PHASES'!B235="Closed",N('KNOWIFY PHASES'!D235)&gt;=0.5),N('KNOWIFY PHASES'!D235)&gt;=1)),1,0))</f>
        <v/>
      </c>
      <c r="AE235" s="7" t="n">
        <f aca="false">N('KNOWIFY PHASES'!L235)</f>
        <v>0</v>
      </c>
      <c r="AF235" s="7" t="n">
        <f aca="false">N('KNOWIFY PHASES'!K235)</f>
        <v>0</v>
      </c>
      <c r="AG235" s="7" t="n">
        <f aca="false">N('KNOWIFY PHASES'!I235)</f>
        <v>0</v>
      </c>
      <c r="AH235" s="7" t="n">
        <f aca="false">N('KNOWIFY PHASES'!H235)</f>
        <v>0</v>
      </c>
      <c r="AI235" s="7" t="n">
        <f aca="false">N('KNOWIFY PHASES'!O235)</f>
        <v>0</v>
      </c>
      <c r="AJ235" s="7" t="n">
        <f aca="false">N('KNOWIFY PHASES'!N235)</f>
        <v>0</v>
      </c>
      <c r="AK235" s="7" t="n">
        <f aca="false">N('KNOWIFY PHASES'!R235)</f>
        <v>0</v>
      </c>
      <c r="AL235" s="7" t="n">
        <f aca="false">N('KNOWIFY PHASES'!Q235)</f>
        <v>0</v>
      </c>
      <c r="AM235" s="7" t="n">
        <f aca="false">N('KNOWIFY PHASES'!F235)</f>
        <v>0</v>
      </c>
      <c r="AN235" s="7" t="n">
        <f aca="false">N('KNOWIFY PHASES'!E235)</f>
        <v>0</v>
      </c>
      <c r="AO235" s="7" t="n">
        <f aca="false">MAX(AE235,AF235)</f>
        <v>0</v>
      </c>
      <c r="AP235" s="7" t="n">
        <f aca="false">MAX(AG235,AH235)</f>
        <v>0</v>
      </c>
      <c r="AQ235" s="7" t="n">
        <f aca="false">MAX(AI235,AJ235)</f>
        <v>0</v>
      </c>
      <c r="AR235" s="7" t="n">
        <f aca="false">MAX(AK235,AL235)</f>
        <v>0</v>
      </c>
      <c r="AT235" s="7" t="str">
        <f aca="false">IF('KNOWIFY TIME'!B235="","",'KNOWIFY TIME'!B235)</f>
        <v/>
      </c>
      <c r="AU235" s="7" t="n">
        <f aca="false">IF(AT235="",0,IF(ISNUMBER('KNOWIFY TIME'!D235),'KNOWIFY TIME'!D235*24,IFERROR(VALUE(LEFT('KNOWIFY TIME'!D235,FIND(":",'KNOWIFY TIME'!D235)-1))+VALUE(MID('KNOWIFY TIME'!D235,FIND(":",'KNOWIFY TIME'!D235)+1,2))/60,0)))</f>
        <v>0</v>
      </c>
      <c r="AV235" s="7" t="n">
        <f aca="false">N('KNOWIFY TIME'!E235)</f>
        <v>0</v>
      </c>
      <c r="AW235" s="7" t="str">
        <f aca="false">IF(AT235="","",IFERROR(INDEX($BD$5:$BD$60,MATCH(AT235,$BC$5:$BC$60,0)),"Unmapped"))</f>
        <v/>
      </c>
    </row>
    <row r="236" customFormat="false" ht="15" hidden="false" customHeight="false" outlineLevel="0" collapsed="false">
      <c r="AA236" s="7" t="str">
        <f aca="false">IF('KNOWIFY PHASES'!A236="","",'KNOWIFY PHASES'!A236)</f>
        <v/>
      </c>
      <c r="AB236" s="7" t="str">
        <f aca="false">IF(AA236="","",IF(LEFT(AA236,4)="P - ","P",IF(LEFT(AA236,4)="H - ","H",IF(LEFT(AA236,5)="AC - ","AC",IF(OR(LEFT(AA236,4)="V - ",LEFT(AA236,7)="HVAC - "),"V","Other")))))</f>
        <v/>
      </c>
      <c r="AC236" s="7" t="str">
        <f aca="false">IF(AA236="","",IFERROR(LOOKUP(2,1/(($AZ$5:$AZ$60&lt;&gt;"")*ISNUMBER(SEARCH($AZ$5:$AZ$60,AA236))),$BA$5:$BA$60),IF(AB236="Other","Excluded","Unmapped")))</f>
        <v/>
      </c>
      <c r="AD236" s="7" t="str">
        <f aca="false">IF(AA236="","",IF(AND(AB236&lt;&gt;"Other",OR(AND('KNOWIFY PHASES'!B236="Closed",N('KNOWIFY PHASES'!D236)&gt;=0.5),N('KNOWIFY PHASES'!D236)&gt;=1)),1,0))</f>
        <v/>
      </c>
      <c r="AE236" s="7" t="n">
        <f aca="false">N('KNOWIFY PHASES'!L236)</f>
        <v>0</v>
      </c>
      <c r="AF236" s="7" t="n">
        <f aca="false">N('KNOWIFY PHASES'!K236)</f>
        <v>0</v>
      </c>
      <c r="AG236" s="7" t="n">
        <f aca="false">N('KNOWIFY PHASES'!I236)</f>
        <v>0</v>
      </c>
      <c r="AH236" s="7" t="n">
        <f aca="false">N('KNOWIFY PHASES'!H236)</f>
        <v>0</v>
      </c>
      <c r="AI236" s="7" t="n">
        <f aca="false">N('KNOWIFY PHASES'!O236)</f>
        <v>0</v>
      </c>
      <c r="AJ236" s="7" t="n">
        <f aca="false">N('KNOWIFY PHASES'!N236)</f>
        <v>0</v>
      </c>
      <c r="AK236" s="7" t="n">
        <f aca="false">N('KNOWIFY PHASES'!R236)</f>
        <v>0</v>
      </c>
      <c r="AL236" s="7" t="n">
        <f aca="false">N('KNOWIFY PHASES'!Q236)</f>
        <v>0</v>
      </c>
      <c r="AM236" s="7" t="n">
        <f aca="false">N('KNOWIFY PHASES'!F236)</f>
        <v>0</v>
      </c>
      <c r="AN236" s="7" t="n">
        <f aca="false">N('KNOWIFY PHASES'!E236)</f>
        <v>0</v>
      </c>
      <c r="AO236" s="7" t="n">
        <f aca="false">MAX(AE236,AF236)</f>
        <v>0</v>
      </c>
      <c r="AP236" s="7" t="n">
        <f aca="false">MAX(AG236,AH236)</f>
        <v>0</v>
      </c>
      <c r="AQ236" s="7" t="n">
        <f aca="false">MAX(AI236,AJ236)</f>
        <v>0</v>
      </c>
      <c r="AR236" s="7" t="n">
        <f aca="false">MAX(AK236,AL236)</f>
        <v>0</v>
      </c>
      <c r="AT236" s="7" t="str">
        <f aca="false">IF('KNOWIFY TIME'!B236="","",'KNOWIFY TIME'!B236)</f>
        <v/>
      </c>
      <c r="AU236" s="7" t="n">
        <f aca="false">IF(AT236="",0,IF(ISNUMBER('KNOWIFY TIME'!D236),'KNOWIFY TIME'!D236*24,IFERROR(VALUE(LEFT('KNOWIFY TIME'!D236,FIND(":",'KNOWIFY TIME'!D236)-1))+VALUE(MID('KNOWIFY TIME'!D236,FIND(":",'KNOWIFY TIME'!D236)+1,2))/60,0)))</f>
        <v>0</v>
      </c>
      <c r="AV236" s="7" t="n">
        <f aca="false">N('KNOWIFY TIME'!E236)</f>
        <v>0</v>
      </c>
      <c r="AW236" s="7" t="str">
        <f aca="false">IF(AT236="","",IFERROR(INDEX($BD$5:$BD$60,MATCH(AT236,$BC$5:$BC$60,0)),"Unmapped"))</f>
        <v/>
      </c>
    </row>
    <row r="237" customFormat="false" ht="15" hidden="false" customHeight="false" outlineLevel="0" collapsed="false">
      <c r="AA237" s="7" t="str">
        <f aca="false">IF('KNOWIFY PHASES'!A237="","",'KNOWIFY PHASES'!A237)</f>
        <v/>
      </c>
      <c r="AB237" s="7" t="str">
        <f aca="false">IF(AA237="","",IF(LEFT(AA237,4)="P - ","P",IF(LEFT(AA237,4)="H - ","H",IF(LEFT(AA237,5)="AC - ","AC",IF(OR(LEFT(AA237,4)="V - ",LEFT(AA237,7)="HVAC - "),"V","Other")))))</f>
        <v/>
      </c>
      <c r="AC237" s="7" t="str">
        <f aca="false">IF(AA237="","",IFERROR(LOOKUP(2,1/(($AZ$5:$AZ$60&lt;&gt;"")*ISNUMBER(SEARCH($AZ$5:$AZ$60,AA237))),$BA$5:$BA$60),IF(AB237="Other","Excluded","Unmapped")))</f>
        <v/>
      </c>
      <c r="AD237" s="7" t="str">
        <f aca="false">IF(AA237="","",IF(AND(AB237&lt;&gt;"Other",OR(AND('KNOWIFY PHASES'!B237="Closed",N('KNOWIFY PHASES'!D237)&gt;=0.5),N('KNOWIFY PHASES'!D237)&gt;=1)),1,0))</f>
        <v/>
      </c>
      <c r="AE237" s="7" t="n">
        <f aca="false">N('KNOWIFY PHASES'!L237)</f>
        <v>0</v>
      </c>
      <c r="AF237" s="7" t="n">
        <f aca="false">N('KNOWIFY PHASES'!K237)</f>
        <v>0</v>
      </c>
      <c r="AG237" s="7" t="n">
        <f aca="false">N('KNOWIFY PHASES'!I237)</f>
        <v>0</v>
      </c>
      <c r="AH237" s="7" t="n">
        <f aca="false">N('KNOWIFY PHASES'!H237)</f>
        <v>0</v>
      </c>
      <c r="AI237" s="7" t="n">
        <f aca="false">N('KNOWIFY PHASES'!O237)</f>
        <v>0</v>
      </c>
      <c r="AJ237" s="7" t="n">
        <f aca="false">N('KNOWIFY PHASES'!N237)</f>
        <v>0</v>
      </c>
      <c r="AK237" s="7" t="n">
        <f aca="false">N('KNOWIFY PHASES'!R237)</f>
        <v>0</v>
      </c>
      <c r="AL237" s="7" t="n">
        <f aca="false">N('KNOWIFY PHASES'!Q237)</f>
        <v>0</v>
      </c>
      <c r="AM237" s="7" t="n">
        <f aca="false">N('KNOWIFY PHASES'!F237)</f>
        <v>0</v>
      </c>
      <c r="AN237" s="7" t="n">
        <f aca="false">N('KNOWIFY PHASES'!E237)</f>
        <v>0</v>
      </c>
      <c r="AO237" s="7" t="n">
        <f aca="false">MAX(AE237,AF237)</f>
        <v>0</v>
      </c>
      <c r="AP237" s="7" t="n">
        <f aca="false">MAX(AG237,AH237)</f>
        <v>0</v>
      </c>
      <c r="AQ237" s="7" t="n">
        <f aca="false">MAX(AI237,AJ237)</f>
        <v>0</v>
      </c>
      <c r="AR237" s="7" t="n">
        <f aca="false">MAX(AK237,AL237)</f>
        <v>0</v>
      </c>
      <c r="AT237" s="7" t="str">
        <f aca="false">IF('KNOWIFY TIME'!B237="","",'KNOWIFY TIME'!B237)</f>
        <v/>
      </c>
      <c r="AU237" s="7" t="n">
        <f aca="false">IF(AT237="",0,IF(ISNUMBER('KNOWIFY TIME'!D237),'KNOWIFY TIME'!D237*24,IFERROR(VALUE(LEFT('KNOWIFY TIME'!D237,FIND(":",'KNOWIFY TIME'!D237)-1))+VALUE(MID('KNOWIFY TIME'!D237,FIND(":",'KNOWIFY TIME'!D237)+1,2))/60,0)))</f>
        <v>0</v>
      </c>
      <c r="AV237" s="7" t="n">
        <f aca="false">N('KNOWIFY TIME'!E237)</f>
        <v>0</v>
      </c>
      <c r="AW237" s="7" t="str">
        <f aca="false">IF(AT237="","",IFERROR(INDEX($BD$5:$BD$60,MATCH(AT237,$BC$5:$BC$60,0)),"Unmapped"))</f>
        <v/>
      </c>
    </row>
    <row r="238" customFormat="false" ht="15" hidden="false" customHeight="false" outlineLevel="0" collapsed="false">
      <c r="AA238" s="7" t="str">
        <f aca="false">IF('KNOWIFY PHASES'!A238="","",'KNOWIFY PHASES'!A238)</f>
        <v/>
      </c>
      <c r="AB238" s="7" t="str">
        <f aca="false">IF(AA238="","",IF(LEFT(AA238,4)="P - ","P",IF(LEFT(AA238,4)="H - ","H",IF(LEFT(AA238,5)="AC - ","AC",IF(OR(LEFT(AA238,4)="V - ",LEFT(AA238,7)="HVAC - "),"V","Other")))))</f>
        <v/>
      </c>
      <c r="AC238" s="7" t="str">
        <f aca="false">IF(AA238="","",IFERROR(LOOKUP(2,1/(($AZ$5:$AZ$60&lt;&gt;"")*ISNUMBER(SEARCH($AZ$5:$AZ$60,AA238))),$BA$5:$BA$60),IF(AB238="Other","Excluded","Unmapped")))</f>
        <v/>
      </c>
      <c r="AD238" s="7" t="str">
        <f aca="false">IF(AA238="","",IF(AND(AB238&lt;&gt;"Other",OR(AND('KNOWIFY PHASES'!B238="Closed",N('KNOWIFY PHASES'!D238)&gt;=0.5),N('KNOWIFY PHASES'!D238)&gt;=1)),1,0))</f>
        <v/>
      </c>
      <c r="AE238" s="7" t="n">
        <f aca="false">N('KNOWIFY PHASES'!L238)</f>
        <v>0</v>
      </c>
      <c r="AF238" s="7" t="n">
        <f aca="false">N('KNOWIFY PHASES'!K238)</f>
        <v>0</v>
      </c>
      <c r="AG238" s="7" t="n">
        <f aca="false">N('KNOWIFY PHASES'!I238)</f>
        <v>0</v>
      </c>
      <c r="AH238" s="7" t="n">
        <f aca="false">N('KNOWIFY PHASES'!H238)</f>
        <v>0</v>
      </c>
      <c r="AI238" s="7" t="n">
        <f aca="false">N('KNOWIFY PHASES'!O238)</f>
        <v>0</v>
      </c>
      <c r="AJ238" s="7" t="n">
        <f aca="false">N('KNOWIFY PHASES'!N238)</f>
        <v>0</v>
      </c>
      <c r="AK238" s="7" t="n">
        <f aca="false">N('KNOWIFY PHASES'!R238)</f>
        <v>0</v>
      </c>
      <c r="AL238" s="7" t="n">
        <f aca="false">N('KNOWIFY PHASES'!Q238)</f>
        <v>0</v>
      </c>
      <c r="AM238" s="7" t="n">
        <f aca="false">N('KNOWIFY PHASES'!F238)</f>
        <v>0</v>
      </c>
      <c r="AN238" s="7" t="n">
        <f aca="false">N('KNOWIFY PHASES'!E238)</f>
        <v>0</v>
      </c>
      <c r="AO238" s="7" t="n">
        <f aca="false">MAX(AE238,AF238)</f>
        <v>0</v>
      </c>
      <c r="AP238" s="7" t="n">
        <f aca="false">MAX(AG238,AH238)</f>
        <v>0</v>
      </c>
      <c r="AQ238" s="7" t="n">
        <f aca="false">MAX(AI238,AJ238)</f>
        <v>0</v>
      </c>
      <c r="AR238" s="7" t="n">
        <f aca="false">MAX(AK238,AL238)</f>
        <v>0</v>
      </c>
      <c r="AT238" s="7" t="str">
        <f aca="false">IF('KNOWIFY TIME'!B238="","",'KNOWIFY TIME'!B238)</f>
        <v/>
      </c>
      <c r="AU238" s="7" t="n">
        <f aca="false">IF(AT238="",0,IF(ISNUMBER('KNOWIFY TIME'!D238),'KNOWIFY TIME'!D238*24,IFERROR(VALUE(LEFT('KNOWIFY TIME'!D238,FIND(":",'KNOWIFY TIME'!D238)-1))+VALUE(MID('KNOWIFY TIME'!D238,FIND(":",'KNOWIFY TIME'!D238)+1,2))/60,0)))</f>
        <v>0</v>
      </c>
      <c r="AV238" s="7" t="n">
        <f aca="false">N('KNOWIFY TIME'!E238)</f>
        <v>0</v>
      </c>
      <c r="AW238" s="7" t="str">
        <f aca="false">IF(AT238="","",IFERROR(INDEX($BD$5:$BD$60,MATCH(AT238,$BC$5:$BC$60,0)),"Unmapped"))</f>
        <v/>
      </c>
    </row>
    <row r="239" customFormat="false" ht="15" hidden="false" customHeight="false" outlineLevel="0" collapsed="false">
      <c r="AA239" s="7" t="str">
        <f aca="false">IF('KNOWIFY PHASES'!A239="","",'KNOWIFY PHASES'!A239)</f>
        <v/>
      </c>
      <c r="AB239" s="7" t="str">
        <f aca="false">IF(AA239="","",IF(LEFT(AA239,4)="P - ","P",IF(LEFT(AA239,4)="H - ","H",IF(LEFT(AA239,5)="AC - ","AC",IF(OR(LEFT(AA239,4)="V - ",LEFT(AA239,7)="HVAC - "),"V","Other")))))</f>
        <v/>
      </c>
      <c r="AC239" s="7" t="str">
        <f aca="false">IF(AA239="","",IFERROR(LOOKUP(2,1/(($AZ$5:$AZ$60&lt;&gt;"")*ISNUMBER(SEARCH($AZ$5:$AZ$60,AA239))),$BA$5:$BA$60),IF(AB239="Other","Excluded","Unmapped")))</f>
        <v/>
      </c>
      <c r="AD239" s="7" t="str">
        <f aca="false">IF(AA239="","",IF(AND(AB239&lt;&gt;"Other",OR(AND('KNOWIFY PHASES'!B239="Closed",N('KNOWIFY PHASES'!D239)&gt;=0.5),N('KNOWIFY PHASES'!D239)&gt;=1)),1,0))</f>
        <v/>
      </c>
      <c r="AE239" s="7" t="n">
        <f aca="false">N('KNOWIFY PHASES'!L239)</f>
        <v>0</v>
      </c>
      <c r="AF239" s="7" t="n">
        <f aca="false">N('KNOWIFY PHASES'!K239)</f>
        <v>0</v>
      </c>
      <c r="AG239" s="7" t="n">
        <f aca="false">N('KNOWIFY PHASES'!I239)</f>
        <v>0</v>
      </c>
      <c r="AH239" s="7" t="n">
        <f aca="false">N('KNOWIFY PHASES'!H239)</f>
        <v>0</v>
      </c>
      <c r="AI239" s="7" t="n">
        <f aca="false">N('KNOWIFY PHASES'!O239)</f>
        <v>0</v>
      </c>
      <c r="AJ239" s="7" t="n">
        <f aca="false">N('KNOWIFY PHASES'!N239)</f>
        <v>0</v>
      </c>
      <c r="AK239" s="7" t="n">
        <f aca="false">N('KNOWIFY PHASES'!R239)</f>
        <v>0</v>
      </c>
      <c r="AL239" s="7" t="n">
        <f aca="false">N('KNOWIFY PHASES'!Q239)</f>
        <v>0</v>
      </c>
      <c r="AM239" s="7" t="n">
        <f aca="false">N('KNOWIFY PHASES'!F239)</f>
        <v>0</v>
      </c>
      <c r="AN239" s="7" t="n">
        <f aca="false">N('KNOWIFY PHASES'!E239)</f>
        <v>0</v>
      </c>
      <c r="AO239" s="7" t="n">
        <f aca="false">MAX(AE239,AF239)</f>
        <v>0</v>
      </c>
      <c r="AP239" s="7" t="n">
        <f aca="false">MAX(AG239,AH239)</f>
        <v>0</v>
      </c>
      <c r="AQ239" s="7" t="n">
        <f aca="false">MAX(AI239,AJ239)</f>
        <v>0</v>
      </c>
      <c r="AR239" s="7" t="n">
        <f aca="false">MAX(AK239,AL239)</f>
        <v>0</v>
      </c>
      <c r="AT239" s="7" t="str">
        <f aca="false">IF('KNOWIFY TIME'!B239="","",'KNOWIFY TIME'!B239)</f>
        <v/>
      </c>
      <c r="AU239" s="7" t="n">
        <f aca="false">IF(AT239="",0,IF(ISNUMBER('KNOWIFY TIME'!D239),'KNOWIFY TIME'!D239*24,IFERROR(VALUE(LEFT('KNOWIFY TIME'!D239,FIND(":",'KNOWIFY TIME'!D239)-1))+VALUE(MID('KNOWIFY TIME'!D239,FIND(":",'KNOWIFY TIME'!D239)+1,2))/60,0)))</f>
        <v>0</v>
      </c>
      <c r="AV239" s="7" t="n">
        <f aca="false">N('KNOWIFY TIME'!E239)</f>
        <v>0</v>
      </c>
      <c r="AW239" s="7" t="str">
        <f aca="false">IF(AT239="","",IFERROR(INDEX($BD$5:$BD$60,MATCH(AT239,$BC$5:$BC$60,0)),"Unmapped"))</f>
        <v/>
      </c>
    </row>
    <row r="240" customFormat="false" ht="15" hidden="false" customHeight="false" outlineLevel="0" collapsed="false">
      <c r="AA240" s="7" t="str">
        <f aca="false">IF('KNOWIFY PHASES'!A240="","",'KNOWIFY PHASES'!A240)</f>
        <v/>
      </c>
      <c r="AB240" s="7" t="str">
        <f aca="false">IF(AA240="","",IF(LEFT(AA240,4)="P - ","P",IF(LEFT(AA240,4)="H - ","H",IF(LEFT(AA240,5)="AC - ","AC",IF(OR(LEFT(AA240,4)="V - ",LEFT(AA240,7)="HVAC - "),"V","Other")))))</f>
        <v/>
      </c>
      <c r="AC240" s="7" t="str">
        <f aca="false">IF(AA240="","",IFERROR(LOOKUP(2,1/(($AZ$5:$AZ$60&lt;&gt;"")*ISNUMBER(SEARCH($AZ$5:$AZ$60,AA240))),$BA$5:$BA$60),IF(AB240="Other","Excluded","Unmapped")))</f>
        <v/>
      </c>
      <c r="AD240" s="7" t="str">
        <f aca="false">IF(AA240="","",IF(AND(AB240&lt;&gt;"Other",OR(AND('KNOWIFY PHASES'!B240="Closed",N('KNOWIFY PHASES'!D240)&gt;=0.5),N('KNOWIFY PHASES'!D240)&gt;=1)),1,0))</f>
        <v/>
      </c>
      <c r="AE240" s="7" t="n">
        <f aca="false">N('KNOWIFY PHASES'!L240)</f>
        <v>0</v>
      </c>
      <c r="AF240" s="7" t="n">
        <f aca="false">N('KNOWIFY PHASES'!K240)</f>
        <v>0</v>
      </c>
      <c r="AG240" s="7" t="n">
        <f aca="false">N('KNOWIFY PHASES'!I240)</f>
        <v>0</v>
      </c>
      <c r="AH240" s="7" t="n">
        <f aca="false">N('KNOWIFY PHASES'!H240)</f>
        <v>0</v>
      </c>
      <c r="AI240" s="7" t="n">
        <f aca="false">N('KNOWIFY PHASES'!O240)</f>
        <v>0</v>
      </c>
      <c r="AJ240" s="7" t="n">
        <f aca="false">N('KNOWIFY PHASES'!N240)</f>
        <v>0</v>
      </c>
      <c r="AK240" s="7" t="n">
        <f aca="false">N('KNOWIFY PHASES'!R240)</f>
        <v>0</v>
      </c>
      <c r="AL240" s="7" t="n">
        <f aca="false">N('KNOWIFY PHASES'!Q240)</f>
        <v>0</v>
      </c>
      <c r="AM240" s="7" t="n">
        <f aca="false">N('KNOWIFY PHASES'!F240)</f>
        <v>0</v>
      </c>
      <c r="AN240" s="7" t="n">
        <f aca="false">N('KNOWIFY PHASES'!E240)</f>
        <v>0</v>
      </c>
      <c r="AO240" s="7" t="n">
        <f aca="false">MAX(AE240,AF240)</f>
        <v>0</v>
      </c>
      <c r="AP240" s="7" t="n">
        <f aca="false">MAX(AG240,AH240)</f>
        <v>0</v>
      </c>
      <c r="AQ240" s="7" t="n">
        <f aca="false">MAX(AI240,AJ240)</f>
        <v>0</v>
      </c>
      <c r="AR240" s="7" t="n">
        <f aca="false">MAX(AK240,AL240)</f>
        <v>0</v>
      </c>
      <c r="AT240" s="7" t="str">
        <f aca="false">IF('KNOWIFY TIME'!B240="","",'KNOWIFY TIME'!B240)</f>
        <v/>
      </c>
      <c r="AU240" s="7" t="n">
        <f aca="false">IF(AT240="",0,IF(ISNUMBER('KNOWIFY TIME'!D240),'KNOWIFY TIME'!D240*24,IFERROR(VALUE(LEFT('KNOWIFY TIME'!D240,FIND(":",'KNOWIFY TIME'!D240)-1))+VALUE(MID('KNOWIFY TIME'!D240,FIND(":",'KNOWIFY TIME'!D240)+1,2))/60,0)))</f>
        <v>0</v>
      </c>
      <c r="AV240" s="7" t="n">
        <f aca="false">N('KNOWIFY TIME'!E240)</f>
        <v>0</v>
      </c>
      <c r="AW240" s="7" t="str">
        <f aca="false">IF(AT240="","",IFERROR(INDEX($BD$5:$BD$60,MATCH(AT240,$BC$5:$BC$60,0)),"Unmapped"))</f>
        <v/>
      </c>
    </row>
    <row r="241" customFormat="false" ht="15" hidden="false" customHeight="false" outlineLevel="0" collapsed="false">
      <c r="AA241" s="7" t="str">
        <f aca="false">IF('KNOWIFY PHASES'!A241="","",'KNOWIFY PHASES'!A241)</f>
        <v/>
      </c>
      <c r="AB241" s="7" t="str">
        <f aca="false">IF(AA241="","",IF(LEFT(AA241,4)="P - ","P",IF(LEFT(AA241,4)="H - ","H",IF(LEFT(AA241,5)="AC - ","AC",IF(OR(LEFT(AA241,4)="V - ",LEFT(AA241,7)="HVAC - "),"V","Other")))))</f>
        <v/>
      </c>
      <c r="AC241" s="7" t="str">
        <f aca="false">IF(AA241="","",IFERROR(LOOKUP(2,1/(($AZ$5:$AZ$60&lt;&gt;"")*ISNUMBER(SEARCH($AZ$5:$AZ$60,AA241))),$BA$5:$BA$60),IF(AB241="Other","Excluded","Unmapped")))</f>
        <v/>
      </c>
      <c r="AD241" s="7" t="str">
        <f aca="false">IF(AA241="","",IF(AND(AB241&lt;&gt;"Other",OR(AND('KNOWIFY PHASES'!B241="Closed",N('KNOWIFY PHASES'!D241)&gt;=0.5),N('KNOWIFY PHASES'!D241)&gt;=1)),1,0))</f>
        <v/>
      </c>
      <c r="AE241" s="7" t="n">
        <f aca="false">N('KNOWIFY PHASES'!L241)</f>
        <v>0</v>
      </c>
      <c r="AF241" s="7" t="n">
        <f aca="false">N('KNOWIFY PHASES'!K241)</f>
        <v>0</v>
      </c>
      <c r="AG241" s="7" t="n">
        <f aca="false">N('KNOWIFY PHASES'!I241)</f>
        <v>0</v>
      </c>
      <c r="AH241" s="7" t="n">
        <f aca="false">N('KNOWIFY PHASES'!H241)</f>
        <v>0</v>
      </c>
      <c r="AI241" s="7" t="n">
        <f aca="false">N('KNOWIFY PHASES'!O241)</f>
        <v>0</v>
      </c>
      <c r="AJ241" s="7" t="n">
        <f aca="false">N('KNOWIFY PHASES'!N241)</f>
        <v>0</v>
      </c>
      <c r="AK241" s="7" t="n">
        <f aca="false">N('KNOWIFY PHASES'!R241)</f>
        <v>0</v>
      </c>
      <c r="AL241" s="7" t="n">
        <f aca="false">N('KNOWIFY PHASES'!Q241)</f>
        <v>0</v>
      </c>
      <c r="AM241" s="7" t="n">
        <f aca="false">N('KNOWIFY PHASES'!F241)</f>
        <v>0</v>
      </c>
      <c r="AN241" s="7" t="n">
        <f aca="false">N('KNOWIFY PHASES'!E241)</f>
        <v>0</v>
      </c>
      <c r="AO241" s="7" t="n">
        <f aca="false">MAX(AE241,AF241)</f>
        <v>0</v>
      </c>
      <c r="AP241" s="7" t="n">
        <f aca="false">MAX(AG241,AH241)</f>
        <v>0</v>
      </c>
      <c r="AQ241" s="7" t="n">
        <f aca="false">MAX(AI241,AJ241)</f>
        <v>0</v>
      </c>
      <c r="AR241" s="7" t="n">
        <f aca="false">MAX(AK241,AL241)</f>
        <v>0</v>
      </c>
      <c r="AT241" s="7" t="str">
        <f aca="false">IF('KNOWIFY TIME'!B241="","",'KNOWIFY TIME'!B241)</f>
        <v/>
      </c>
      <c r="AU241" s="7" t="n">
        <f aca="false">IF(AT241="",0,IF(ISNUMBER('KNOWIFY TIME'!D241),'KNOWIFY TIME'!D241*24,IFERROR(VALUE(LEFT('KNOWIFY TIME'!D241,FIND(":",'KNOWIFY TIME'!D241)-1))+VALUE(MID('KNOWIFY TIME'!D241,FIND(":",'KNOWIFY TIME'!D241)+1,2))/60,0)))</f>
        <v>0</v>
      </c>
      <c r="AV241" s="7" t="n">
        <f aca="false">N('KNOWIFY TIME'!E241)</f>
        <v>0</v>
      </c>
      <c r="AW241" s="7" t="str">
        <f aca="false">IF(AT241="","",IFERROR(INDEX($BD$5:$BD$60,MATCH(AT241,$BC$5:$BC$60,0)),"Unmapped"))</f>
        <v/>
      </c>
    </row>
    <row r="242" customFormat="false" ht="15" hidden="false" customHeight="false" outlineLevel="0" collapsed="false">
      <c r="AA242" s="7" t="str">
        <f aca="false">IF('KNOWIFY PHASES'!A242="","",'KNOWIFY PHASES'!A242)</f>
        <v/>
      </c>
      <c r="AB242" s="7" t="str">
        <f aca="false">IF(AA242="","",IF(LEFT(AA242,4)="P - ","P",IF(LEFT(AA242,4)="H - ","H",IF(LEFT(AA242,5)="AC - ","AC",IF(OR(LEFT(AA242,4)="V - ",LEFT(AA242,7)="HVAC - "),"V","Other")))))</f>
        <v/>
      </c>
      <c r="AC242" s="7" t="str">
        <f aca="false">IF(AA242="","",IFERROR(LOOKUP(2,1/(($AZ$5:$AZ$60&lt;&gt;"")*ISNUMBER(SEARCH($AZ$5:$AZ$60,AA242))),$BA$5:$BA$60),IF(AB242="Other","Excluded","Unmapped")))</f>
        <v/>
      </c>
      <c r="AD242" s="7" t="str">
        <f aca="false">IF(AA242="","",IF(AND(AB242&lt;&gt;"Other",OR(AND('KNOWIFY PHASES'!B242="Closed",N('KNOWIFY PHASES'!D242)&gt;=0.5),N('KNOWIFY PHASES'!D242)&gt;=1)),1,0))</f>
        <v/>
      </c>
      <c r="AE242" s="7" t="n">
        <f aca="false">N('KNOWIFY PHASES'!L242)</f>
        <v>0</v>
      </c>
      <c r="AF242" s="7" t="n">
        <f aca="false">N('KNOWIFY PHASES'!K242)</f>
        <v>0</v>
      </c>
      <c r="AG242" s="7" t="n">
        <f aca="false">N('KNOWIFY PHASES'!I242)</f>
        <v>0</v>
      </c>
      <c r="AH242" s="7" t="n">
        <f aca="false">N('KNOWIFY PHASES'!H242)</f>
        <v>0</v>
      </c>
      <c r="AI242" s="7" t="n">
        <f aca="false">N('KNOWIFY PHASES'!O242)</f>
        <v>0</v>
      </c>
      <c r="AJ242" s="7" t="n">
        <f aca="false">N('KNOWIFY PHASES'!N242)</f>
        <v>0</v>
      </c>
      <c r="AK242" s="7" t="n">
        <f aca="false">N('KNOWIFY PHASES'!R242)</f>
        <v>0</v>
      </c>
      <c r="AL242" s="7" t="n">
        <f aca="false">N('KNOWIFY PHASES'!Q242)</f>
        <v>0</v>
      </c>
      <c r="AM242" s="7" t="n">
        <f aca="false">N('KNOWIFY PHASES'!F242)</f>
        <v>0</v>
      </c>
      <c r="AN242" s="7" t="n">
        <f aca="false">N('KNOWIFY PHASES'!E242)</f>
        <v>0</v>
      </c>
      <c r="AO242" s="7" t="n">
        <f aca="false">MAX(AE242,AF242)</f>
        <v>0</v>
      </c>
      <c r="AP242" s="7" t="n">
        <f aca="false">MAX(AG242,AH242)</f>
        <v>0</v>
      </c>
      <c r="AQ242" s="7" t="n">
        <f aca="false">MAX(AI242,AJ242)</f>
        <v>0</v>
      </c>
      <c r="AR242" s="7" t="n">
        <f aca="false">MAX(AK242,AL242)</f>
        <v>0</v>
      </c>
      <c r="AT242" s="7" t="str">
        <f aca="false">IF('KNOWIFY TIME'!B242="","",'KNOWIFY TIME'!B242)</f>
        <v/>
      </c>
      <c r="AU242" s="7" t="n">
        <f aca="false">IF(AT242="",0,IF(ISNUMBER('KNOWIFY TIME'!D242),'KNOWIFY TIME'!D242*24,IFERROR(VALUE(LEFT('KNOWIFY TIME'!D242,FIND(":",'KNOWIFY TIME'!D242)-1))+VALUE(MID('KNOWIFY TIME'!D242,FIND(":",'KNOWIFY TIME'!D242)+1,2))/60,0)))</f>
        <v>0</v>
      </c>
      <c r="AV242" s="7" t="n">
        <f aca="false">N('KNOWIFY TIME'!E242)</f>
        <v>0</v>
      </c>
      <c r="AW242" s="7" t="str">
        <f aca="false">IF(AT242="","",IFERROR(INDEX($BD$5:$BD$60,MATCH(AT242,$BC$5:$BC$60,0)),"Unmapped"))</f>
        <v/>
      </c>
    </row>
    <row r="243" customFormat="false" ht="15" hidden="false" customHeight="false" outlineLevel="0" collapsed="false">
      <c r="AA243" s="7" t="str">
        <f aca="false">IF('KNOWIFY PHASES'!A243="","",'KNOWIFY PHASES'!A243)</f>
        <v/>
      </c>
      <c r="AB243" s="7" t="str">
        <f aca="false">IF(AA243="","",IF(LEFT(AA243,4)="P - ","P",IF(LEFT(AA243,4)="H - ","H",IF(LEFT(AA243,5)="AC - ","AC",IF(OR(LEFT(AA243,4)="V - ",LEFT(AA243,7)="HVAC - "),"V","Other")))))</f>
        <v/>
      </c>
      <c r="AC243" s="7" t="str">
        <f aca="false">IF(AA243="","",IFERROR(LOOKUP(2,1/(($AZ$5:$AZ$60&lt;&gt;"")*ISNUMBER(SEARCH($AZ$5:$AZ$60,AA243))),$BA$5:$BA$60),IF(AB243="Other","Excluded","Unmapped")))</f>
        <v/>
      </c>
      <c r="AD243" s="7" t="str">
        <f aca="false">IF(AA243="","",IF(AND(AB243&lt;&gt;"Other",OR(AND('KNOWIFY PHASES'!B243="Closed",N('KNOWIFY PHASES'!D243)&gt;=0.5),N('KNOWIFY PHASES'!D243)&gt;=1)),1,0))</f>
        <v/>
      </c>
      <c r="AE243" s="7" t="n">
        <f aca="false">N('KNOWIFY PHASES'!L243)</f>
        <v>0</v>
      </c>
      <c r="AF243" s="7" t="n">
        <f aca="false">N('KNOWIFY PHASES'!K243)</f>
        <v>0</v>
      </c>
      <c r="AG243" s="7" t="n">
        <f aca="false">N('KNOWIFY PHASES'!I243)</f>
        <v>0</v>
      </c>
      <c r="AH243" s="7" t="n">
        <f aca="false">N('KNOWIFY PHASES'!H243)</f>
        <v>0</v>
      </c>
      <c r="AI243" s="7" t="n">
        <f aca="false">N('KNOWIFY PHASES'!O243)</f>
        <v>0</v>
      </c>
      <c r="AJ243" s="7" t="n">
        <f aca="false">N('KNOWIFY PHASES'!N243)</f>
        <v>0</v>
      </c>
      <c r="AK243" s="7" t="n">
        <f aca="false">N('KNOWIFY PHASES'!R243)</f>
        <v>0</v>
      </c>
      <c r="AL243" s="7" t="n">
        <f aca="false">N('KNOWIFY PHASES'!Q243)</f>
        <v>0</v>
      </c>
      <c r="AM243" s="7" t="n">
        <f aca="false">N('KNOWIFY PHASES'!F243)</f>
        <v>0</v>
      </c>
      <c r="AN243" s="7" t="n">
        <f aca="false">N('KNOWIFY PHASES'!E243)</f>
        <v>0</v>
      </c>
      <c r="AO243" s="7" t="n">
        <f aca="false">MAX(AE243,AF243)</f>
        <v>0</v>
      </c>
      <c r="AP243" s="7" t="n">
        <f aca="false">MAX(AG243,AH243)</f>
        <v>0</v>
      </c>
      <c r="AQ243" s="7" t="n">
        <f aca="false">MAX(AI243,AJ243)</f>
        <v>0</v>
      </c>
      <c r="AR243" s="7" t="n">
        <f aca="false">MAX(AK243,AL243)</f>
        <v>0</v>
      </c>
      <c r="AT243" s="7" t="str">
        <f aca="false">IF('KNOWIFY TIME'!B243="","",'KNOWIFY TIME'!B243)</f>
        <v/>
      </c>
      <c r="AU243" s="7" t="n">
        <f aca="false">IF(AT243="",0,IF(ISNUMBER('KNOWIFY TIME'!D243),'KNOWIFY TIME'!D243*24,IFERROR(VALUE(LEFT('KNOWIFY TIME'!D243,FIND(":",'KNOWIFY TIME'!D243)-1))+VALUE(MID('KNOWIFY TIME'!D243,FIND(":",'KNOWIFY TIME'!D243)+1,2))/60,0)))</f>
        <v>0</v>
      </c>
      <c r="AV243" s="7" t="n">
        <f aca="false">N('KNOWIFY TIME'!E243)</f>
        <v>0</v>
      </c>
      <c r="AW243" s="7" t="str">
        <f aca="false">IF(AT243="","",IFERROR(INDEX($BD$5:$BD$60,MATCH(AT243,$BC$5:$BC$60,0)),"Unmapped"))</f>
        <v/>
      </c>
    </row>
    <row r="244" customFormat="false" ht="15" hidden="false" customHeight="false" outlineLevel="0" collapsed="false">
      <c r="AA244" s="7" t="str">
        <f aca="false">IF('KNOWIFY PHASES'!A244="","",'KNOWIFY PHASES'!A244)</f>
        <v/>
      </c>
      <c r="AB244" s="7" t="str">
        <f aca="false">IF(AA244="","",IF(LEFT(AA244,4)="P - ","P",IF(LEFT(AA244,4)="H - ","H",IF(LEFT(AA244,5)="AC - ","AC",IF(OR(LEFT(AA244,4)="V - ",LEFT(AA244,7)="HVAC - "),"V","Other")))))</f>
        <v/>
      </c>
      <c r="AC244" s="7" t="str">
        <f aca="false">IF(AA244="","",IFERROR(LOOKUP(2,1/(($AZ$5:$AZ$60&lt;&gt;"")*ISNUMBER(SEARCH($AZ$5:$AZ$60,AA244))),$BA$5:$BA$60),IF(AB244="Other","Excluded","Unmapped")))</f>
        <v/>
      </c>
      <c r="AD244" s="7" t="str">
        <f aca="false">IF(AA244="","",IF(AND(AB244&lt;&gt;"Other",OR(AND('KNOWIFY PHASES'!B244="Closed",N('KNOWIFY PHASES'!D244)&gt;=0.5),N('KNOWIFY PHASES'!D244)&gt;=1)),1,0))</f>
        <v/>
      </c>
      <c r="AE244" s="7" t="n">
        <f aca="false">N('KNOWIFY PHASES'!L244)</f>
        <v>0</v>
      </c>
      <c r="AF244" s="7" t="n">
        <f aca="false">N('KNOWIFY PHASES'!K244)</f>
        <v>0</v>
      </c>
      <c r="AG244" s="7" t="n">
        <f aca="false">N('KNOWIFY PHASES'!I244)</f>
        <v>0</v>
      </c>
      <c r="AH244" s="7" t="n">
        <f aca="false">N('KNOWIFY PHASES'!H244)</f>
        <v>0</v>
      </c>
      <c r="AI244" s="7" t="n">
        <f aca="false">N('KNOWIFY PHASES'!O244)</f>
        <v>0</v>
      </c>
      <c r="AJ244" s="7" t="n">
        <f aca="false">N('KNOWIFY PHASES'!N244)</f>
        <v>0</v>
      </c>
      <c r="AK244" s="7" t="n">
        <f aca="false">N('KNOWIFY PHASES'!R244)</f>
        <v>0</v>
      </c>
      <c r="AL244" s="7" t="n">
        <f aca="false">N('KNOWIFY PHASES'!Q244)</f>
        <v>0</v>
      </c>
      <c r="AM244" s="7" t="n">
        <f aca="false">N('KNOWIFY PHASES'!F244)</f>
        <v>0</v>
      </c>
      <c r="AN244" s="7" t="n">
        <f aca="false">N('KNOWIFY PHASES'!E244)</f>
        <v>0</v>
      </c>
      <c r="AO244" s="7" t="n">
        <f aca="false">MAX(AE244,AF244)</f>
        <v>0</v>
      </c>
      <c r="AP244" s="7" t="n">
        <f aca="false">MAX(AG244,AH244)</f>
        <v>0</v>
      </c>
      <c r="AQ244" s="7" t="n">
        <f aca="false">MAX(AI244,AJ244)</f>
        <v>0</v>
      </c>
      <c r="AR244" s="7" t="n">
        <f aca="false">MAX(AK244,AL244)</f>
        <v>0</v>
      </c>
      <c r="AT244" s="7" t="str">
        <f aca="false">IF('KNOWIFY TIME'!B244="","",'KNOWIFY TIME'!B244)</f>
        <v/>
      </c>
      <c r="AU244" s="7" t="n">
        <f aca="false">IF(AT244="",0,IF(ISNUMBER('KNOWIFY TIME'!D244),'KNOWIFY TIME'!D244*24,IFERROR(VALUE(LEFT('KNOWIFY TIME'!D244,FIND(":",'KNOWIFY TIME'!D244)-1))+VALUE(MID('KNOWIFY TIME'!D244,FIND(":",'KNOWIFY TIME'!D244)+1,2))/60,0)))</f>
        <v>0</v>
      </c>
      <c r="AV244" s="7" t="n">
        <f aca="false">N('KNOWIFY TIME'!E244)</f>
        <v>0</v>
      </c>
      <c r="AW244" s="7" t="str">
        <f aca="false">IF(AT244="","",IFERROR(INDEX($BD$5:$BD$60,MATCH(AT244,$BC$5:$BC$60,0)),"Unmapped"))</f>
        <v/>
      </c>
    </row>
    <row r="245" customFormat="false" ht="15" hidden="false" customHeight="false" outlineLevel="0" collapsed="false">
      <c r="AA245" s="7" t="str">
        <f aca="false">IF('KNOWIFY PHASES'!A245="","",'KNOWIFY PHASES'!A245)</f>
        <v/>
      </c>
      <c r="AB245" s="7" t="str">
        <f aca="false">IF(AA245="","",IF(LEFT(AA245,4)="P - ","P",IF(LEFT(AA245,4)="H - ","H",IF(LEFT(AA245,5)="AC - ","AC",IF(OR(LEFT(AA245,4)="V - ",LEFT(AA245,7)="HVAC - "),"V","Other")))))</f>
        <v/>
      </c>
      <c r="AC245" s="7" t="str">
        <f aca="false">IF(AA245="","",IFERROR(LOOKUP(2,1/(($AZ$5:$AZ$60&lt;&gt;"")*ISNUMBER(SEARCH($AZ$5:$AZ$60,AA245))),$BA$5:$BA$60),IF(AB245="Other","Excluded","Unmapped")))</f>
        <v/>
      </c>
      <c r="AD245" s="7" t="str">
        <f aca="false">IF(AA245="","",IF(AND(AB245&lt;&gt;"Other",OR(AND('KNOWIFY PHASES'!B245="Closed",N('KNOWIFY PHASES'!D245)&gt;=0.5),N('KNOWIFY PHASES'!D245)&gt;=1)),1,0))</f>
        <v/>
      </c>
      <c r="AE245" s="7" t="n">
        <f aca="false">N('KNOWIFY PHASES'!L245)</f>
        <v>0</v>
      </c>
      <c r="AF245" s="7" t="n">
        <f aca="false">N('KNOWIFY PHASES'!K245)</f>
        <v>0</v>
      </c>
      <c r="AG245" s="7" t="n">
        <f aca="false">N('KNOWIFY PHASES'!I245)</f>
        <v>0</v>
      </c>
      <c r="AH245" s="7" t="n">
        <f aca="false">N('KNOWIFY PHASES'!H245)</f>
        <v>0</v>
      </c>
      <c r="AI245" s="7" t="n">
        <f aca="false">N('KNOWIFY PHASES'!O245)</f>
        <v>0</v>
      </c>
      <c r="AJ245" s="7" t="n">
        <f aca="false">N('KNOWIFY PHASES'!N245)</f>
        <v>0</v>
      </c>
      <c r="AK245" s="7" t="n">
        <f aca="false">N('KNOWIFY PHASES'!R245)</f>
        <v>0</v>
      </c>
      <c r="AL245" s="7" t="n">
        <f aca="false">N('KNOWIFY PHASES'!Q245)</f>
        <v>0</v>
      </c>
      <c r="AM245" s="7" t="n">
        <f aca="false">N('KNOWIFY PHASES'!F245)</f>
        <v>0</v>
      </c>
      <c r="AN245" s="7" t="n">
        <f aca="false">N('KNOWIFY PHASES'!E245)</f>
        <v>0</v>
      </c>
      <c r="AO245" s="7" t="n">
        <f aca="false">MAX(AE245,AF245)</f>
        <v>0</v>
      </c>
      <c r="AP245" s="7" t="n">
        <f aca="false">MAX(AG245,AH245)</f>
        <v>0</v>
      </c>
      <c r="AQ245" s="7" t="n">
        <f aca="false">MAX(AI245,AJ245)</f>
        <v>0</v>
      </c>
      <c r="AR245" s="7" t="n">
        <f aca="false">MAX(AK245,AL245)</f>
        <v>0</v>
      </c>
      <c r="AT245" s="7" t="str">
        <f aca="false">IF('KNOWIFY TIME'!B245="","",'KNOWIFY TIME'!B245)</f>
        <v/>
      </c>
      <c r="AU245" s="7" t="n">
        <f aca="false">IF(AT245="",0,IF(ISNUMBER('KNOWIFY TIME'!D245),'KNOWIFY TIME'!D245*24,IFERROR(VALUE(LEFT('KNOWIFY TIME'!D245,FIND(":",'KNOWIFY TIME'!D245)-1))+VALUE(MID('KNOWIFY TIME'!D245,FIND(":",'KNOWIFY TIME'!D245)+1,2))/60,0)))</f>
        <v>0</v>
      </c>
      <c r="AV245" s="7" t="n">
        <f aca="false">N('KNOWIFY TIME'!E245)</f>
        <v>0</v>
      </c>
      <c r="AW245" s="7" t="str">
        <f aca="false">IF(AT245="","",IFERROR(INDEX($BD$5:$BD$60,MATCH(AT245,$BC$5:$BC$60,0)),"Unmapped"))</f>
        <v/>
      </c>
    </row>
    <row r="246" customFormat="false" ht="15" hidden="false" customHeight="false" outlineLevel="0" collapsed="false">
      <c r="AA246" s="7" t="str">
        <f aca="false">IF('KNOWIFY PHASES'!A246="","",'KNOWIFY PHASES'!A246)</f>
        <v/>
      </c>
      <c r="AB246" s="7" t="str">
        <f aca="false">IF(AA246="","",IF(LEFT(AA246,4)="P - ","P",IF(LEFT(AA246,4)="H - ","H",IF(LEFT(AA246,5)="AC - ","AC",IF(OR(LEFT(AA246,4)="V - ",LEFT(AA246,7)="HVAC - "),"V","Other")))))</f>
        <v/>
      </c>
      <c r="AC246" s="7" t="str">
        <f aca="false">IF(AA246="","",IFERROR(LOOKUP(2,1/(($AZ$5:$AZ$60&lt;&gt;"")*ISNUMBER(SEARCH($AZ$5:$AZ$60,AA246))),$BA$5:$BA$60),IF(AB246="Other","Excluded","Unmapped")))</f>
        <v/>
      </c>
      <c r="AD246" s="7" t="str">
        <f aca="false">IF(AA246="","",IF(AND(AB246&lt;&gt;"Other",OR(AND('KNOWIFY PHASES'!B246="Closed",N('KNOWIFY PHASES'!D246)&gt;=0.5),N('KNOWIFY PHASES'!D246)&gt;=1)),1,0))</f>
        <v/>
      </c>
      <c r="AE246" s="7" t="n">
        <f aca="false">N('KNOWIFY PHASES'!L246)</f>
        <v>0</v>
      </c>
      <c r="AF246" s="7" t="n">
        <f aca="false">N('KNOWIFY PHASES'!K246)</f>
        <v>0</v>
      </c>
      <c r="AG246" s="7" t="n">
        <f aca="false">N('KNOWIFY PHASES'!I246)</f>
        <v>0</v>
      </c>
      <c r="AH246" s="7" t="n">
        <f aca="false">N('KNOWIFY PHASES'!H246)</f>
        <v>0</v>
      </c>
      <c r="AI246" s="7" t="n">
        <f aca="false">N('KNOWIFY PHASES'!O246)</f>
        <v>0</v>
      </c>
      <c r="AJ246" s="7" t="n">
        <f aca="false">N('KNOWIFY PHASES'!N246)</f>
        <v>0</v>
      </c>
      <c r="AK246" s="7" t="n">
        <f aca="false">N('KNOWIFY PHASES'!R246)</f>
        <v>0</v>
      </c>
      <c r="AL246" s="7" t="n">
        <f aca="false">N('KNOWIFY PHASES'!Q246)</f>
        <v>0</v>
      </c>
      <c r="AM246" s="7" t="n">
        <f aca="false">N('KNOWIFY PHASES'!F246)</f>
        <v>0</v>
      </c>
      <c r="AN246" s="7" t="n">
        <f aca="false">N('KNOWIFY PHASES'!E246)</f>
        <v>0</v>
      </c>
      <c r="AO246" s="7" t="n">
        <f aca="false">MAX(AE246,AF246)</f>
        <v>0</v>
      </c>
      <c r="AP246" s="7" t="n">
        <f aca="false">MAX(AG246,AH246)</f>
        <v>0</v>
      </c>
      <c r="AQ246" s="7" t="n">
        <f aca="false">MAX(AI246,AJ246)</f>
        <v>0</v>
      </c>
      <c r="AR246" s="7" t="n">
        <f aca="false">MAX(AK246,AL246)</f>
        <v>0</v>
      </c>
      <c r="AT246" s="7" t="str">
        <f aca="false">IF('KNOWIFY TIME'!B246="","",'KNOWIFY TIME'!B246)</f>
        <v/>
      </c>
      <c r="AU246" s="7" t="n">
        <f aca="false">IF(AT246="",0,IF(ISNUMBER('KNOWIFY TIME'!D246),'KNOWIFY TIME'!D246*24,IFERROR(VALUE(LEFT('KNOWIFY TIME'!D246,FIND(":",'KNOWIFY TIME'!D246)-1))+VALUE(MID('KNOWIFY TIME'!D246,FIND(":",'KNOWIFY TIME'!D246)+1,2))/60,0)))</f>
        <v>0</v>
      </c>
      <c r="AV246" s="7" t="n">
        <f aca="false">N('KNOWIFY TIME'!E246)</f>
        <v>0</v>
      </c>
      <c r="AW246" s="7" t="str">
        <f aca="false">IF(AT246="","",IFERROR(INDEX($BD$5:$BD$60,MATCH(AT246,$BC$5:$BC$60,0)),"Unmapped"))</f>
        <v/>
      </c>
    </row>
    <row r="247" customFormat="false" ht="15" hidden="false" customHeight="false" outlineLevel="0" collapsed="false">
      <c r="AA247" s="7" t="str">
        <f aca="false">IF('KNOWIFY PHASES'!A247="","",'KNOWIFY PHASES'!A247)</f>
        <v/>
      </c>
      <c r="AB247" s="7" t="str">
        <f aca="false">IF(AA247="","",IF(LEFT(AA247,4)="P - ","P",IF(LEFT(AA247,4)="H - ","H",IF(LEFT(AA247,5)="AC - ","AC",IF(OR(LEFT(AA247,4)="V - ",LEFT(AA247,7)="HVAC - "),"V","Other")))))</f>
        <v/>
      </c>
      <c r="AC247" s="7" t="str">
        <f aca="false">IF(AA247="","",IFERROR(LOOKUP(2,1/(($AZ$5:$AZ$60&lt;&gt;"")*ISNUMBER(SEARCH($AZ$5:$AZ$60,AA247))),$BA$5:$BA$60),IF(AB247="Other","Excluded","Unmapped")))</f>
        <v/>
      </c>
      <c r="AD247" s="7" t="str">
        <f aca="false">IF(AA247="","",IF(AND(AB247&lt;&gt;"Other",OR(AND('KNOWIFY PHASES'!B247="Closed",N('KNOWIFY PHASES'!D247)&gt;=0.5),N('KNOWIFY PHASES'!D247)&gt;=1)),1,0))</f>
        <v/>
      </c>
      <c r="AE247" s="7" t="n">
        <f aca="false">N('KNOWIFY PHASES'!L247)</f>
        <v>0</v>
      </c>
      <c r="AF247" s="7" t="n">
        <f aca="false">N('KNOWIFY PHASES'!K247)</f>
        <v>0</v>
      </c>
      <c r="AG247" s="7" t="n">
        <f aca="false">N('KNOWIFY PHASES'!I247)</f>
        <v>0</v>
      </c>
      <c r="AH247" s="7" t="n">
        <f aca="false">N('KNOWIFY PHASES'!H247)</f>
        <v>0</v>
      </c>
      <c r="AI247" s="7" t="n">
        <f aca="false">N('KNOWIFY PHASES'!O247)</f>
        <v>0</v>
      </c>
      <c r="AJ247" s="7" t="n">
        <f aca="false">N('KNOWIFY PHASES'!N247)</f>
        <v>0</v>
      </c>
      <c r="AK247" s="7" t="n">
        <f aca="false">N('KNOWIFY PHASES'!R247)</f>
        <v>0</v>
      </c>
      <c r="AL247" s="7" t="n">
        <f aca="false">N('KNOWIFY PHASES'!Q247)</f>
        <v>0</v>
      </c>
      <c r="AM247" s="7" t="n">
        <f aca="false">N('KNOWIFY PHASES'!F247)</f>
        <v>0</v>
      </c>
      <c r="AN247" s="7" t="n">
        <f aca="false">N('KNOWIFY PHASES'!E247)</f>
        <v>0</v>
      </c>
      <c r="AO247" s="7" t="n">
        <f aca="false">MAX(AE247,AF247)</f>
        <v>0</v>
      </c>
      <c r="AP247" s="7" t="n">
        <f aca="false">MAX(AG247,AH247)</f>
        <v>0</v>
      </c>
      <c r="AQ247" s="7" t="n">
        <f aca="false">MAX(AI247,AJ247)</f>
        <v>0</v>
      </c>
      <c r="AR247" s="7" t="n">
        <f aca="false">MAX(AK247,AL247)</f>
        <v>0</v>
      </c>
      <c r="AT247" s="7" t="str">
        <f aca="false">IF('KNOWIFY TIME'!B247="","",'KNOWIFY TIME'!B247)</f>
        <v/>
      </c>
      <c r="AU247" s="7" t="n">
        <f aca="false">IF(AT247="",0,IF(ISNUMBER('KNOWIFY TIME'!D247),'KNOWIFY TIME'!D247*24,IFERROR(VALUE(LEFT('KNOWIFY TIME'!D247,FIND(":",'KNOWIFY TIME'!D247)-1))+VALUE(MID('KNOWIFY TIME'!D247,FIND(":",'KNOWIFY TIME'!D247)+1,2))/60,0)))</f>
        <v>0</v>
      </c>
      <c r="AV247" s="7" t="n">
        <f aca="false">N('KNOWIFY TIME'!E247)</f>
        <v>0</v>
      </c>
      <c r="AW247" s="7" t="str">
        <f aca="false">IF(AT247="","",IFERROR(INDEX($BD$5:$BD$60,MATCH(AT247,$BC$5:$BC$60,0)),"Unmapped"))</f>
        <v/>
      </c>
    </row>
    <row r="248" customFormat="false" ht="15" hidden="false" customHeight="false" outlineLevel="0" collapsed="false">
      <c r="AA248" s="7" t="str">
        <f aca="false">IF('KNOWIFY PHASES'!A248="","",'KNOWIFY PHASES'!A248)</f>
        <v/>
      </c>
      <c r="AB248" s="7" t="str">
        <f aca="false">IF(AA248="","",IF(LEFT(AA248,4)="P - ","P",IF(LEFT(AA248,4)="H - ","H",IF(LEFT(AA248,5)="AC - ","AC",IF(OR(LEFT(AA248,4)="V - ",LEFT(AA248,7)="HVAC - "),"V","Other")))))</f>
        <v/>
      </c>
      <c r="AC248" s="7" t="str">
        <f aca="false">IF(AA248="","",IFERROR(LOOKUP(2,1/(($AZ$5:$AZ$60&lt;&gt;"")*ISNUMBER(SEARCH($AZ$5:$AZ$60,AA248))),$BA$5:$BA$60),IF(AB248="Other","Excluded","Unmapped")))</f>
        <v/>
      </c>
      <c r="AD248" s="7" t="str">
        <f aca="false">IF(AA248="","",IF(AND(AB248&lt;&gt;"Other",OR(AND('KNOWIFY PHASES'!B248="Closed",N('KNOWIFY PHASES'!D248)&gt;=0.5),N('KNOWIFY PHASES'!D248)&gt;=1)),1,0))</f>
        <v/>
      </c>
      <c r="AE248" s="7" t="n">
        <f aca="false">N('KNOWIFY PHASES'!L248)</f>
        <v>0</v>
      </c>
      <c r="AF248" s="7" t="n">
        <f aca="false">N('KNOWIFY PHASES'!K248)</f>
        <v>0</v>
      </c>
      <c r="AG248" s="7" t="n">
        <f aca="false">N('KNOWIFY PHASES'!I248)</f>
        <v>0</v>
      </c>
      <c r="AH248" s="7" t="n">
        <f aca="false">N('KNOWIFY PHASES'!H248)</f>
        <v>0</v>
      </c>
      <c r="AI248" s="7" t="n">
        <f aca="false">N('KNOWIFY PHASES'!O248)</f>
        <v>0</v>
      </c>
      <c r="AJ248" s="7" t="n">
        <f aca="false">N('KNOWIFY PHASES'!N248)</f>
        <v>0</v>
      </c>
      <c r="AK248" s="7" t="n">
        <f aca="false">N('KNOWIFY PHASES'!R248)</f>
        <v>0</v>
      </c>
      <c r="AL248" s="7" t="n">
        <f aca="false">N('KNOWIFY PHASES'!Q248)</f>
        <v>0</v>
      </c>
      <c r="AM248" s="7" t="n">
        <f aca="false">N('KNOWIFY PHASES'!F248)</f>
        <v>0</v>
      </c>
      <c r="AN248" s="7" t="n">
        <f aca="false">N('KNOWIFY PHASES'!E248)</f>
        <v>0</v>
      </c>
      <c r="AO248" s="7" t="n">
        <f aca="false">MAX(AE248,AF248)</f>
        <v>0</v>
      </c>
      <c r="AP248" s="7" t="n">
        <f aca="false">MAX(AG248,AH248)</f>
        <v>0</v>
      </c>
      <c r="AQ248" s="7" t="n">
        <f aca="false">MAX(AI248,AJ248)</f>
        <v>0</v>
      </c>
      <c r="AR248" s="7" t="n">
        <f aca="false">MAX(AK248,AL248)</f>
        <v>0</v>
      </c>
      <c r="AT248" s="7" t="str">
        <f aca="false">IF('KNOWIFY TIME'!B248="","",'KNOWIFY TIME'!B248)</f>
        <v/>
      </c>
      <c r="AU248" s="7" t="n">
        <f aca="false">IF(AT248="",0,IF(ISNUMBER('KNOWIFY TIME'!D248),'KNOWIFY TIME'!D248*24,IFERROR(VALUE(LEFT('KNOWIFY TIME'!D248,FIND(":",'KNOWIFY TIME'!D248)-1))+VALUE(MID('KNOWIFY TIME'!D248,FIND(":",'KNOWIFY TIME'!D248)+1,2))/60,0)))</f>
        <v>0</v>
      </c>
      <c r="AV248" s="7" t="n">
        <f aca="false">N('KNOWIFY TIME'!E248)</f>
        <v>0</v>
      </c>
      <c r="AW248" s="7" t="str">
        <f aca="false">IF(AT248="","",IFERROR(INDEX($BD$5:$BD$60,MATCH(AT248,$BC$5:$BC$60,0)),"Unmapped"))</f>
        <v/>
      </c>
    </row>
    <row r="249" customFormat="false" ht="15" hidden="false" customHeight="false" outlineLevel="0" collapsed="false">
      <c r="AA249" s="7" t="str">
        <f aca="false">IF('KNOWIFY PHASES'!A249="","",'KNOWIFY PHASES'!A249)</f>
        <v/>
      </c>
      <c r="AB249" s="7" t="str">
        <f aca="false">IF(AA249="","",IF(LEFT(AA249,4)="P - ","P",IF(LEFT(AA249,4)="H - ","H",IF(LEFT(AA249,5)="AC - ","AC",IF(OR(LEFT(AA249,4)="V - ",LEFT(AA249,7)="HVAC - "),"V","Other")))))</f>
        <v/>
      </c>
      <c r="AC249" s="7" t="str">
        <f aca="false">IF(AA249="","",IFERROR(LOOKUP(2,1/(($AZ$5:$AZ$60&lt;&gt;"")*ISNUMBER(SEARCH($AZ$5:$AZ$60,AA249))),$BA$5:$BA$60),IF(AB249="Other","Excluded","Unmapped")))</f>
        <v/>
      </c>
      <c r="AD249" s="7" t="str">
        <f aca="false">IF(AA249="","",IF(AND(AB249&lt;&gt;"Other",OR(AND('KNOWIFY PHASES'!B249="Closed",N('KNOWIFY PHASES'!D249)&gt;=0.5),N('KNOWIFY PHASES'!D249)&gt;=1)),1,0))</f>
        <v/>
      </c>
      <c r="AE249" s="7" t="n">
        <f aca="false">N('KNOWIFY PHASES'!L249)</f>
        <v>0</v>
      </c>
      <c r="AF249" s="7" t="n">
        <f aca="false">N('KNOWIFY PHASES'!K249)</f>
        <v>0</v>
      </c>
      <c r="AG249" s="7" t="n">
        <f aca="false">N('KNOWIFY PHASES'!I249)</f>
        <v>0</v>
      </c>
      <c r="AH249" s="7" t="n">
        <f aca="false">N('KNOWIFY PHASES'!H249)</f>
        <v>0</v>
      </c>
      <c r="AI249" s="7" t="n">
        <f aca="false">N('KNOWIFY PHASES'!O249)</f>
        <v>0</v>
      </c>
      <c r="AJ249" s="7" t="n">
        <f aca="false">N('KNOWIFY PHASES'!N249)</f>
        <v>0</v>
      </c>
      <c r="AK249" s="7" t="n">
        <f aca="false">N('KNOWIFY PHASES'!R249)</f>
        <v>0</v>
      </c>
      <c r="AL249" s="7" t="n">
        <f aca="false">N('KNOWIFY PHASES'!Q249)</f>
        <v>0</v>
      </c>
      <c r="AM249" s="7" t="n">
        <f aca="false">N('KNOWIFY PHASES'!F249)</f>
        <v>0</v>
      </c>
      <c r="AN249" s="7" t="n">
        <f aca="false">N('KNOWIFY PHASES'!E249)</f>
        <v>0</v>
      </c>
      <c r="AO249" s="7" t="n">
        <f aca="false">MAX(AE249,AF249)</f>
        <v>0</v>
      </c>
      <c r="AP249" s="7" t="n">
        <f aca="false">MAX(AG249,AH249)</f>
        <v>0</v>
      </c>
      <c r="AQ249" s="7" t="n">
        <f aca="false">MAX(AI249,AJ249)</f>
        <v>0</v>
      </c>
      <c r="AR249" s="7" t="n">
        <f aca="false">MAX(AK249,AL249)</f>
        <v>0</v>
      </c>
      <c r="AT249" s="7" t="str">
        <f aca="false">IF('KNOWIFY TIME'!B249="","",'KNOWIFY TIME'!B249)</f>
        <v/>
      </c>
      <c r="AU249" s="7" t="n">
        <f aca="false">IF(AT249="",0,IF(ISNUMBER('KNOWIFY TIME'!D249),'KNOWIFY TIME'!D249*24,IFERROR(VALUE(LEFT('KNOWIFY TIME'!D249,FIND(":",'KNOWIFY TIME'!D249)-1))+VALUE(MID('KNOWIFY TIME'!D249,FIND(":",'KNOWIFY TIME'!D249)+1,2))/60,0)))</f>
        <v>0</v>
      </c>
      <c r="AV249" s="7" t="n">
        <f aca="false">N('KNOWIFY TIME'!E249)</f>
        <v>0</v>
      </c>
      <c r="AW249" s="7" t="str">
        <f aca="false">IF(AT249="","",IFERROR(INDEX($BD$5:$BD$60,MATCH(AT249,$BC$5:$BC$60,0)),"Unmapped"))</f>
        <v/>
      </c>
    </row>
    <row r="250" customFormat="false" ht="15" hidden="false" customHeight="false" outlineLevel="0" collapsed="false">
      <c r="AA250" s="7" t="str">
        <f aca="false">IF('KNOWIFY PHASES'!A250="","",'KNOWIFY PHASES'!A250)</f>
        <v/>
      </c>
      <c r="AB250" s="7" t="str">
        <f aca="false">IF(AA250="","",IF(LEFT(AA250,4)="P - ","P",IF(LEFT(AA250,4)="H - ","H",IF(LEFT(AA250,5)="AC - ","AC",IF(OR(LEFT(AA250,4)="V - ",LEFT(AA250,7)="HVAC - "),"V","Other")))))</f>
        <v/>
      </c>
      <c r="AC250" s="7" t="str">
        <f aca="false">IF(AA250="","",IFERROR(LOOKUP(2,1/(($AZ$5:$AZ$60&lt;&gt;"")*ISNUMBER(SEARCH($AZ$5:$AZ$60,AA250))),$BA$5:$BA$60),IF(AB250="Other","Excluded","Unmapped")))</f>
        <v/>
      </c>
      <c r="AD250" s="7" t="str">
        <f aca="false">IF(AA250="","",IF(AND(AB250&lt;&gt;"Other",OR(AND('KNOWIFY PHASES'!B250="Closed",N('KNOWIFY PHASES'!D250)&gt;=0.5),N('KNOWIFY PHASES'!D250)&gt;=1)),1,0))</f>
        <v/>
      </c>
      <c r="AE250" s="7" t="n">
        <f aca="false">N('KNOWIFY PHASES'!L250)</f>
        <v>0</v>
      </c>
      <c r="AF250" s="7" t="n">
        <f aca="false">N('KNOWIFY PHASES'!K250)</f>
        <v>0</v>
      </c>
      <c r="AG250" s="7" t="n">
        <f aca="false">N('KNOWIFY PHASES'!I250)</f>
        <v>0</v>
      </c>
      <c r="AH250" s="7" t="n">
        <f aca="false">N('KNOWIFY PHASES'!H250)</f>
        <v>0</v>
      </c>
      <c r="AI250" s="7" t="n">
        <f aca="false">N('KNOWIFY PHASES'!O250)</f>
        <v>0</v>
      </c>
      <c r="AJ250" s="7" t="n">
        <f aca="false">N('KNOWIFY PHASES'!N250)</f>
        <v>0</v>
      </c>
      <c r="AK250" s="7" t="n">
        <f aca="false">N('KNOWIFY PHASES'!R250)</f>
        <v>0</v>
      </c>
      <c r="AL250" s="7" t="n">
        <f aca="false">N('KNOWIFY PHASES'!Q250)</f>
        <v>0</v>
      </c>
      <c r="AM250" s="7" t="n">
        <f aca="false">N('KNOWIFY PHASES'!F250)</f>
        <v>0</v>
      </c>
      <c r="AN250" s="7" t="n">
        <f aca="false">N('KNOWIFY PHASES'!E250)</f>
        <v>0</v>
      </c>
      <c r="AO250" s="7" t="n">
        <f aca="false">MAX(AE250,AF250)</f>
        <v>0</v>
      </c>
      <c r="AP250" s="7" t="n">
        <f aca="false">MAX(AG250,AH250)</f>
        <v>0</v>
      </c>
      <c r="AQ250" s="7" t="n">
        <f aca="false">MAX(AI250,AJ250)</f>
        <v>0</v>
      </c>
      <c r="AR250" s="7" t="n">
        <f aca="false">MAX(AK250,AL250)</f>
        <v>0</v>
      </c>
      <c r="AT250" s="7" t="str">
        <f aca="false">IF('KNOWIFY TIME'!B250="","",'KNOWIFY TIME'!B250)</f>
        <v/>
      </c>
      <c r="AU250" s="7" t="n">
        <f aca="false">IF(AT250="",0,IF(ISNUMBER('KNOWIFY TIME'!D250),'KNOWIFY TIME'!D250*24,IFERROR(VALUE(LEFT('KNOWIFY TIME'!D250,FIND(":",'KNOWIFY TIME'!D250)-1))+VALUE(MID('KNOWIFY TIME'!D250,FIND(":",'KNOWIFY TIME'!D250)+1,2))/60,0)))</f>
        <v>0</v>
      </c>
      <c r="AV250" s="7" t="n">
        <f aca="false">N('KNOWIFY TIME'!E250)</f>
        <v>0</v>
      </c>
      <c r="AW250" s="7" t="str">
        <f aca="false">IF(AT250="","",IFERROR(INDEX($BD$5:$BD$60,MATCH(AT250,$BC$5:$BC$60,0)),"Unmapped"))</f>
        <v/>
      </c>
    </row>
    <row r="251" customFormat="false" ht="15" hidden="false" customHeight="false" outlineLevel="0" collapsed="false">
      <c r="AA251" s="7" t="str">
        <f aca="false">IF('KNOWIFY PHASES'!A251="","",'KNOWIFY PHASES'!A251)</f>
        <v/>
      </c>
      <c r="AB251" s="7" t="str">
        <f aca="false">IF(AA251="","",IF(LEFT(AA251,4)="P - ","P",IF(LEFT(AA251,4)="H - ","H",IF(LEFT(AA251,5)="AC - ","AC",IF(OR(LEFT(AA251,4)="V - ",LEFT(AA251,7)="HVAC - "),"V","Other")))))</f>
        <v/>
      </c>
      <c r="AC251" s="7" t="str">
        <f aca="false">IF(AA251="","",IFERROR(LOOKUP(2,1/(($AZ$5:$AZ$60&lt;&gt;"")*ISNUMBER(SEARCH($AZ$5:$AZ$60,AA251))),$BA$5:$BA$60),IF(AB251="Other","Excluded","Unmapped")))</f>
        <v/>
      </c>
      <c r="AD251" s="7" t="str">
        <f aca="false">IF(AA251="","",IF(AND(AB251&lt;&gt;"Other",OR(AND('KNOWIFY PHASES'!B251="Closed",N('KNOWIFY PHASES'!D251)&gt;=0.5),N('KNOWIFY PHASES'!D251)&gt;=1)),1,0))</f>
        <v/>
      </c>
      <c r="AE251" s="7" t="n">
        <f aca="false">N('KNOWIFY PHASES'!L251)</f>
        <v>0</v>
      </c>
      <c r="AF251" s="7" t="n">
        <f aca="false">N('KNOWIFY PHASES'!K251)</f>
        <v>0</v>
      </c>
      <c r="AG251" s="7" t="n">
        <f aca="false">N('KNOWIFY PHASES'!I251)</f>
        <v>0</v>
      </c>
      <c r="AH251" s="7" t="n">
        <f aca="false">N('KNOWIFY PHASES'!H251)</f>
        <v>0</v>
      </c>
      <c r="AI251" s="7" t="n">
        <f aca="false">N('KNOWIFY PHASES'!O251)</f>
        <v>0</v>
      </c>
      <c r="AJ251" s="7" t="n">
        <f aca="false">N('KNOWIFY PHASES'!N251)</f>
        <v>0</v>
      </c>
      <c r="AK251" s="7" t="n">
        <f aca="false">N('KNOWIFY PHASES'!R251)</f>
        <v>0</v>
      </c>
      <c r="AL251" s="7" t="n">
        <f aca="false">N('KNOWIFY PHASES'!Q251)</f>
        <v>0</v>
      </c>
      <c r="AM251" s="7" t="n">
        <f aca="false">N('KNOWIFY PHASES'!F251)</f>
        <v>0</v>
      </c>
      <c r="AN251" s="7" t="n">
        <f aca="false">N('KNOWIFY PHASES'!E251)</f>
        <v>0</v>
      </c>
      <c r="AO251" s="7" t="n">
        <f aca="false">MAX(AE251,AF251)</f>
        <v>0</v>
      </c>
      <c r="AP251" s="7" t="n">
        <f aca="false">MAX(AG251,AH251)</f>
        <v>0</v>
      </c>
      <c r="AQ251" s="7" t="n">
        <f aca="false">MAX(AI251,AJ251)</f>
        <v>0</v>
      </c>
      <c r="AR251" s="7" t="n">
        <f aca="false">MAX(AK251,AL251)</f>
        <v>0</v>
      </c>
      <c r="AT251" s="7" t="str">
        <f aca="false">IF('KNOWIFY TIME'!B251="","",'KNOWIFY TIME'!B251)</f>
        <v/>
      </c>
      <c r="AU251" s="7" t="n">
        <f aca="false">IF(AT251="",0,IF(ISNUMBER('KNOWIFY TIME'!D251),'KNOWIFY TIME'!D251*24,IFERROR(VALUE(LEFT('KNOWIFY TIME'!D251,FIND(":",'KNOWIFY TIME'!D251)-1))+VALUE(MID('KNOWIFY TIME'!D251,FIND(":",'KNOWIFY TIME'!D251)+1,2))/60,0)))</f>
        <v>0</v>
      </c>
      <c r="AV251" s="7" t="n">
        <f aca="false">N('KNOWIFY TIME'!E251)</f>
        <v>0</v>
      </c>
      <c r="AW251" s="7" t="str">
        <f aca="false">IF(AT251="","",IFERROR(INDEX($BD$5:$BD$60,MATCH(AT251,$BC$5:$BC$60,0)),"Unmapped"))</f>
        <v/>
      </c>
    </row>
    <row r="252" customFormat="false" ht="15" hidden="false" customHeight="false" outlineLevel="0" collapsed="false">
      <c r="AA252" s="7" t="str">
        <f aca="false">IF('KNOWIFY PHASES'!A252="","",'KNOWIFY PHASES'!A252)</f>
        <v/>
      </c>
      <c r="AB252" s="7" t="str">
        <f aca="false">IF(AA252="","",IF(LEFT(AA252,4)="P - ","P",IF(LEFT(AA252,4)="H - ","H",IF(LEFT(AA252,5)="AC - ","AC",IF(OR(LEFT(AA252,4)="V - ",LEFT(AA252,7)="HVAC - "),"V","Other")))))</f>
        <v/>
      </c>
      <c r="AC252" s="7" t="str">
        <f aca="false">IF(AA252="","",IFERROR(LOOKUP(2,1/(($AZ$5:$AZ$60&lt;&gt;"")*ISNUMBER(SEARCH($AZ$5:$AZ$60,AA252))),$BA$5:$BA$60),IF(AB252="Other","Excluded","Unmapped")))</f>
        <v/>
      </c>
      <c r="AD252" s="7" t="str">
        <f aca="false">IF(AA252="","",IF(AND(AB252&lt;&gt;"Other",OR(AND('KNOWIFY PHASES'!B252="Closed",N('KNOWIFY PHASES'!D252)&gt;=0.5),N('KNOWIFY PHASES'!D252)&gt;=1)),1,0))</f>
        <v/>
      </c>
      <c r="AE252" s="7" t="n">
        <f aca="false">N('KNOWIFY PHASES'!L252)</f>
        <v>0</v>
      </c>
      <c r="AF252" s="7" t="n">
        <f aca="false">N('KNOWIFY PHASES'!K252)</f>
        <v>0</v>
      </c>
      <c r="AG252" s="7" t="n">
        <f aca="false">N('KNOWIFY PHASES'!I252)</f>
        <v>0</v>
      </c>
      <c r="AH252" s="7" t="n">
        <f aca="false">N('KNOWIFY PHASES'!H252)</f>
        <v>0</v>
      </c>
      <c r="AI252" s="7" t="n">
        <f aca="false">N('KNOWIFY PHASES'!O252)</f>
        <v>0</v>
      </c>
      <c r="AJ252" s="7" t="n">
        <f aca="false">N('KNOWIFY PHASES'!N252)</f>
        <v>0</v>
      </c>
      <c r="AK252" s="7" t="n">
        <f aca="false">N('KNOWIFY PHASES'!R252)</f>
        <v>0</v>
      </c>
      <c r="AL252" s="7" t="n">
        <f aca="false">N('KNOWIFY PHASES'!Q252)</f>
        <v>0</v>
      </c>
      <c r="AM252" s="7" t="n">
        <f aca="false">N('KNOWIFY PHASES'!F252)</f>
        <v>0</v>
      </c>
      <c r="AN252" s="7" t="n">
        <f aca="false">N('KNOWIFY PHASES'!E252)</f>
        <v>0</v>
      </c>
      <c r="AO252" s="7" t="n">
        <f aca="false">MAX(AE252,AF252)</f>
        <v>0</v>
      </c>
      <c r="AP252" s="7" t="n">
        <f aca="false">MAX(AG252,AH252)</f>
        <v>0</v>
      </c>
      <c r="AQ252" s="7" t="n">
        <f aca="false">MAX(AI252,AJ252)</f>
        <v>0</v>
      </c>
      <c r="AR252" s="7" t="n">
        <f aca="false">MAX(AK252,AL252)</f>
        <v>0</v>
      </c>
      <c r="AT252" s="7" t="str">
        <f aca="false">IF('KNOWIFY TIME'!B252="","",'KNOWIFY TIME'!B252)</f>
        <v/>
      </c>
      <c r="AU252" s="7" t="n">
        <f aca="false">IF(AT252="",0,IF(ISNUMBER('KNOWIFY TIME'!D252),'KNOWIFY TIME'!D252*24,IFERROR(VALUE(LEFT('KNOWIFY TIME'!D252,FIND(":",'KNOWIFY TIME'!D252)-1))+VALUE(MID('KNOWIFY TIME'!D252,FIND(":",'KNOWIFY TIME'!D252)+1,2))/60,0)))</f>
        <v>0</v>
      </c>
      <c r="AV252" s="7" t="n">
        <f aca="false">N('KNOWIFY TIME'!E252)</f>
        <v>0</v>
      </c>
      <c r="AW252" s="7" t="str">
        <f aca="false">IF(AT252="","",IFERROR(INDEX($BD$5:$BD$60,MATCH(AT252,$BC$5:$BC$60,0)),"Unmapped"))</f>
        <v/>
      </c>
    </row>
    <row r="253" customFormat="false" ht="15" hidden="false" customHeight="false" outlineLevel="0" collapsed="false">
      <c r="AA253" s="7" t="str">
        <f aca="false">IF('KNOWIFY PHASES'!A253="","",'KNOWIFY PHASES'!A253)</f>
        <v/>
      </c>
      <c r="AB253" s="7" t="str">
        <f aca="false">IF(AA253="","",IF(LEFT(AA253,4)="P - ","P",IF(LEFT(AA253,4)="H - ","H",IF(LEFT(AA253,5)="AC - ","AC",IF(OR(LEFT(AA253,4)="V - ",LEFT(AA253,7)="HVAC - "),"V","Other")))))</f>
        <v/>
      </c>
      <c r="AC253" s="7" t="str">
        <f aca="false">IF(AA253="","",IFERROR(LOOKUP(2,1/(($AZ$5:$AZ$60&lt;&gt;"")*ISNUMBER(SEARCH($AZ$5:$AZ$60,AA253))),$BA$5:$BA$60),IF(AB253="Other","Excluded","Unmapped")))</f>
        <v/>
      </c>
      <c r="AD253" s="7" t="str">
        <f aca="false">IF(AA253="","",IF(AND(AB253&lt;&gt;"Other",OR(AND('KNOWIFY PHASES'!B253="Closed",N('KNOWIFY PHASES'!D253)&gt;=0.5),N('KNOWIFY PHASES'!D253)&gt;=1)),1,0))</f>
        <v/>
      </c>
      <c r="AE253" s="7" t="n">
        <f aca="false">N('KNOWIFY PHASES'!L253)</f>
        <v>0</v>
      </c>
      <c r="AF253" s="7" t="n">
        <f aca="false">N('KNOWIFY PHASES'!K253)</f>
        <v>0</v>
      </c>
      <c r="AG253" s="7" t="n">
        <f aca="false">N('KNOWIFY PHASES'!I253)</f>
        <v>0</v>
      </c>
      <c r="AH253" s="7" t="n">
        <f aca="false">N('KNOWIFY PHASES'!H253)</f>
        <v>0</v>
      </c>
      <c r="AI253" s="7" t="n">
        <f aca="false">N('KNOWIFY PHASES'!O253)</f>
        <v>0</v>
      </c>
      <c r="AJ253" s="7" t="n">
        <f aca="false">N('KNOWIFY PHASES'!N253)</f>
        <v>0</v>
      </c>
      <c r="AK253" s="7" t="n">
        <f aca="false">N('KNOWIFY PHASES'!R253)</f>
        <v>0</v>
      </c>
      <c r="AL253" s="7" t="n">
        <f aca="false">N('KNOWIFY PHASES'!Q253)</f>
        <v>0</v>
      </c>
      <c r="AM253" s="7" t="n">
        <f aca="false">N('KNOWIFY PHASES'!F253)</f>
        <v>0</v>
      </c>
      <c r="AN253" s="7" t="n">
        <f aca="false">N('KNOWIFY PHASES'!E253)</f>
        <v>0</v>
      </c>
      <c r="AO253" s="7" t="n">
        <f aca="false">MAX(AE253,AF253)</f>
        <v>0</v>
      </c>
      <c r="AP253" s="7" t="n">
        <f aca="false">MAX(AG253,AH253)</f>
        <v>0</v>
      </c>
      <c r="AQ253" s="7" t="n">
        <f aca="false">MAX(AI253,AJ253)</f>
        <v>0</v>
      </c>
      <c r="AR253" s="7" t="n">
        <f aca="false">MAX(AK253,AL253)</f>
        <v>0</v>
      </c>
      <c r="AT253" s="7" t="str">
        <f aca="false">IF('KNOWIFY TIME'!B253="","",'KNOWIFY TIME'!B253)</f>
        <v/>
      </c>
      <c r="AU253" s="7" t="n">
        <f aca="false">IF(AT253="",0,IF(ISNUMBER('KNOWIFY TIME'!D253),'KNOWIFY TIME'!D253*24,IFERROR(VALUE(LEFT('KNOWIFY TIME'!D253,FIND(":",'KNOWIFY TIME'!D253)-1))+VALUE(MID('KNOWIFY TIME'!D253,FIND(":",'KNOWIFY TIME'!D253)+1,2))/60,0)))</f>
        <v>0</v>
      </c>
      <c r="AV253" s="7" t="n">
        <f aca="false">N('KNOWIFY TIME'!E253)</f>
        <v>0</v>
      </c>
      <c r="AW253" s="7" t="str">
        <f aca="false">IF(AT253="","",IFERROR(INDEX($BD$5:$BD$60,MATCH(AT253,$BC$5:$BC$60,0)),"Unmapped"))</f>
        <v/>
      </c>
    </row>
    <row r="254" customFormat="false" ht="15" hidden="false" customHeight="false" outlineLevel="0" collapsed="false">
      <c r="AA254" s="7" t="str">
        <f aca="false">IF('KNOWIFY PHASES'!A254="","",'KNOWIFY PHASES'!A254)</f>
        <v/>
      </c>
      <c r="AB254" s="7" t="str">
        <f aca="false">IF(AA254="","",IF(LEFT(AA254,4)="P - ","P",IF(LEFT(AA254,4)="H - ","H",IF(LEFT(AA254,5)="AC - ","AC",IF(OR(LEFT(AA254,4)="V - ",LEFT(AA254,7)="HVAC - "),"V","Other")))))</f>
        <v/>
      </c>
      <c r="AC254" s="7" t="str">
        <f aca="false">IF(AA254="","",IFERROR(LOOKUP(2,1/(($AZ$5:$AZ$60&lt;&gt;"")*ISNUMBER(SEARCH($AZ$5:$AZ$60,AA254))),$BA$5:$BA$60),IF(AB254="Other","Excluded","Unmapped")))</f>
        <v/>
      </c>
      <c r="AD254" s="7" t="str">
        <f aca="false">IF(AA254="","",IF(AND(AB254&lt;&gt;"Other",OR(AND('KNOWIFY PHASES'!B254="Closed",N('KNOWIFY PHASES'!D254)&gt;=0.5),N('KNOWIFY PHASES'!D254)&gt;=1)),1,0))</f>
        <v/>
      </c>
      <c r="AE254" s="7" t="n">
        <f aca="false">N('KNOWIFY PHASES'!L254)</f>
        <v>0</v>
      </c>
      <c r="AF254" s="7" t="n">
        <f aca="false">N('KNOWIFY PHASES'!K254)</f>
        <v>0</v>
      </c>
      <c r="AG254" s="7" t="n">
        <f aca="false">N('KNOWIFY PHASES'!I254)</f>
        <v>0</v>
      </c>
      <c r="AH254" s="7" t="n">
        <f aca="false">N('KNOWIFY PHASES'!H254)</f>
        <v>0</v>
      </c>
      <c r="AI254" s="7" t="n">
        <f aca="false">N('KNOWIFY PHASES'!O254)</f>
        <v>0</v>
      </c>
      <c r="AJ254" s="7" t="n">
        <f aca="false">N('KNOWIFY PHASES'!N254)</f>
        <v>0</v>
      </c>
      <c r="AK254" s="7" t="n">
        <f aca="false">N('KNOWIFY PHASES'!R254)</f>
        <v>0</v>
      </c>
      <c r="AL254" s="7" t="n">
        <f aca="false">N('KNOWIFY PHASES'!Q254)</f>
        <v>0</v>
      </c>
      <c r="AM254" s="7" t="n">
        <f aca="false">N('KNOWIFY PHASES'!F254)</f>
        <v>0</v>
      </c>
      <c r="AN254" s="7" t="n">
        <f aca="false">N('KNOWIFY PHASES'!E254)</f>
        <v>0</v>
      </c>
      <c r="AO254" s="7" t="n">
        <f aca="false">MAX(AE254,AF254)</f>
        <v>0</v>
      </c>
      <c r="AP254" s="7" t="n">
        <f aca="false">MAX(AG254,AH254)</f>
        <v>0</v>
      </c>
      <c r="AQ254" s="7" t="n">
        <f aca="false">MAX(AI254,AJ254)</f>
        <v>0</v>
      </c>
      <c r="AR254" s="7" t="n">
        <f aca="false">MAX(AK254,AL254)</f>
        <v>0</v>
      </c>
      <c r="AT254" s="7" t="str">
        <f aca="false">IF('KNOWIFY TIME'!B254="","",'KNOWIFY TIME'!B254)</f>
        <v/>
      </c>
      <c r="AU254" s="7" t="n">
        <f aca="false">IF(AT254="",0,IF(ISNUMBER('KNOWIFY TIME'!D254),'KNOWIFY TIME'!D254*24,IFERROR(VALUE(LEFT('KNOWIFY TIME'!D254,FIND(":",'KNOWIFY TIME'!D254)-1))+VALUE(MID('KNOWIFY TIME'!D254,FIND(":",'KNOWIFY TIME'!D254)+1,2))/60,0)))</f>
        <v>0</v>
      </c>
      <c r="AV254" s="7" t="n">
        <f aca="false">N('KNOWIFY TIME'!E254)</f>
        <v>0</v>
      </c>
      <c r="AW254" s="7" t="str">
        <f aca="false">IF(AT254="","",IFERROR(INDEX($BD$5:$BD$60,MATCH(AT254,$BC$5:$BC$60,0)),"Unmapped"))</f>
        <v/>
      </c>
    </row>
    <row r="255" customFormat="false" ht="15" hidden="false" customHeight="false" outlineLevel="0" collapsed="false">
      <c r="AA255" s="7" t="str">
        <f aca="false">IF('KNOWIFY PHASES'!A255="","",'KNOWIFY PHASES'!A255)</f>
        <v/>
      </c>
      <c r="AB255" s="7" t="str">
        <f aca="false">IF(AA255="","",IF(LEFT(AA255,4)="P - ","P",IF(LEFT(AA255,4)="H - ","H",IF(LEFT(AA255,5)="AC - ","AC",IF(OR(LEFT(AA255,4)="V - ",LEFT(AA255,7)="HVAC - "),"V","Other")))))</f>
        <v/>
      </c>
      <c r="AC255" s="7" t="str">
        <f aca="false">IF(AA255="","",IFERROR(LOOKUP(2,1/(($AZ$5:$AZ$60&lt;&gt;"")*ISNUMBER(SEARCH($AZ$5:$AZ$60,AA255))),$BA$5:$BA$60),IF(AB255="Other","Excluded","Unmapped")))</f>
        <v/>
      </c>
      <c r="AD255" s="7" t="str">
        <f aca="false">IF(AA255="","",IF(AND(AB255&lt;&gt;"Other",OR(AND('KNOWIFY PHASES'!B255="Closed",N('KNOWIFY PHASES'!D255)&gt;=0.5),N('KNOWIFY PHASES'!D255)&gt;=1)),1,0))</f>
        <v/>
      </c>
      <c r="AE255" s="7" t="n">
        <f aca="false">N('KNOWIFY PHASES'!L255)</f>
        <v>0</v>
      </c>
      <c r="AF255" s="7" t="n">
        <f aca="false">N('KNOWIFY PHASES'!K255)</f>
        <v>0</v>
      </c>
      <c r="AG255" s="7" t="n">
        <f aca="false">N('KNOWIFY PHASES'!I255)</f>
        <v>0</v>
      </c>
      <c r="AH255" s="7" t="n">
        <f aca="false">N('KNOWIFY PHASES'!H255)</f>
        <v>0</v>
      </c>
      <c r="AI255" s="7" t="n">
        <f aca="false">N('KNOWIFY PHASES'!O255)</f>
        <v>0</v>
      </c>
      <c r="AJ255" s="7" t="n">
        <f aca="false">N('KNOWIFY PHASES'!N255)</f>
        <v>0</v>
      </c>
      <c r="AK255" s="7" t="n">
        <f aca="false">N('KNOWIFY PHASES'!R255)</f>
        <v>0</v>
      </c>
      <c r="AL255" s="7" t="n">
        <f aca="false">N('KNOWIFY PHASES'!Q255)</f>
        <v>0</v>
      </c>
      <c r="AM255" s="7" t="n">
        <f aca="false">N('KNOWIFY PHASES'!F255)</f>
        <v>0</v>
      </c>
      <c r="AN255" s="7" t="n">
        <f aca="false">N('KNOWIFY PHASES'!E255)</f>
        <v>0</v>
      </c>
      <c r="AO255" s="7" t="n">
        <f aca="false">MAX(AE255,AF255)</f>
        <v>0</v>
      </c>
      <c r="AP255" s="7" t="n">
        <f aca="false">MAX(AG255,AH255)</f>
        <v>0</v>
      </c>
      <c r="AQ255" s="7" t="n">
        <f aca="false">MAX(AI255,AJ255)</f>
        <v>0</v>
      </c>
      <c r="AR255" s="7" t="n">
        <f aca="false">MAX(AK255,AL255)</f>
        <v>0</v>
      </c>
      <c r="AT255" s="7" t="str">
        <f aca="false">IF('KNOWIFY TIME'!B255="","",'KNOWIFY TIME'!B255)</f>
        <v/>
      </c>
      <c r="AU255" s="7" t="n">
        <f aca="false">IF(AT255="",0,IF(ISNUMBER('KNOWIFY TIME'!D255),'KNOWIFY TIME'!D255*24,IFERROR(VALUE(LEFT('KNOWIFY TIME'!D255,FIND(":",'KNOWIFY TIME'!D255)-1))+VALUE(MID('KNOWIFY TIME'!D255,FIND(":",'KNOWIFY TIME'!D255)+1,2))/60,0)))</f>
        <v>0</v>
      </c>
      <c r="AV255" s="7" t="n">
        <f aca="false">N('KNOWIFY TIME'!E255)</f>
        <v>0</v>
      </c>
      <c r="AW255" s="7" t="str">
        <f aca="false">IF(AT255="","",IFERROR(INDEX($BD$5:$BD$60,MATCH(AT255,$BC$5:$BC$60,0)),"Unmapped"))</f>
        <v/>
      </c>
    </row>
    <row r="256" customFormat="false" ht="15" hidden="false" customHeight="false" outlineLevel="0" collapsed="false">
      <c r="AA256" s="7" t="str">
        <f aca="false">IF('KNOWIFY PHASES'!A256="","",'KNOWIFY PHASES'!A256)</f>
        <v/>
      </c>
      <c r="AB256" s="7" t="str">
        <f aca="false">IF(AA256="","",IF(LEFT(AA256,4)="P - ","P",IF(LEFT(AA256,4)="H - ","H",IF(LEFT(AA256,5)="AC - ","AC",IF(OR(LEFT(AA256,4)="V - ",LEFT(AA256,7)="HVAC - "),"V","Other")))))</f>
        <v/>
      </c>
      <c r="AC256" s="7" t="str">
        <f aca="false">IF(AA256="","",IFERROR(LOOKUP(2,1/(($AZ$5:$AZ$60&lt;&gt;"")*ISNUMBER(SEARCH($AZ$5:$AZ$60,AA256))),$BA$5:$BA$60),IF(AB256="Other","Excluded","Unmapped")))</f>
        <v/>
      </c>
      <c r="AD256" s="7" t="str">
        <f aca="false">IF(AA256="","",IF(AND(AB256&lt;&gt;"Other",OR(AND('KNOWIFY PHASES'!B256="Closed",N('KNOWIFY PHASES'!D256)&gt;=0.5),N('KNOWIFY PHASES'!D256)&gt;=1)),1,0))</f>
        <v/>
      </c>
      <c r="AE256" s="7" t="n">
        <f aca="false">N('KNOWIFY PHASES'!L256)</f>
        <v>0</v>
      </c>
      <c r="AF256" s="7" t="n">
        <f aca="false">N('KNOWIFY PHASES'!K256)</f>
        <v>0</v>
      </c>
      <c r="AG256" s="7" t="n">
        <f aca="false">N('KNOWIFY PHASES'!I256)</f>
        <v>0</v>
      </c>
      <c r="AH256" s="7" t="n">
        <f aca="false">N('KNOWIFY PHASES'!H256)</f>
        <v>0</v>
      </c>
      <c r="AI256" s="7" t="n">
        <f aca="false">N('KNOWIFY PHASES'!O256)</f>
        <v>0</v>
      </c>
      <c r="AJ256" s="7" t="n">
        <f aca="false">N('KNOWIFY PHASES'!N256)</f>
        <v>0</v>
      </c>
      <c r="AK256" s="7" t="n">
        <f aca="false">N('KNOWIFY PHASES'!R256)</f>
        <v>0</v>
      </c>
      <c r="AL256" s="7" t="n">
        <f aca="false">N('KNOWIFY PHASES'!Q256)</f>
        <v>0</v>
      </c>
      <c r="AM256" s="7" t="n">
        <f aca="false">N('KNOWIFY PHASES'!F256)</f>
        <v>0</v>
      </c>
      <c r="AN256" s="7" t="n">
        <f aca="false">N('KNOWIFY PHASES'!E256)</f>
        <v>0</v>
      </c>
      <c r="AO256" s="7" t="n">
        <f aca="false">MAX(AE256,AF256)</f>
        <v>0</v>
      </c>
      <c r="AP256" s="7" t="n">
        <f aca="false">MAX(AG256,AH256)</f>
        <v>0</v>
      </c>
      <c r="AQ256" s="7" t="n">
        <f aca="false">MAX(AI256,AJ256)</f>
        <v>0</v>
      </c>
      <c r="AR256" s="7" t="n">
        <f aca="false">MAX(AK256,AL256)</f>
        <v>0</v>
      </c>
      <c r="AT256" s="7" t="str">
        <f aca="false">IF('KNOWIFY TIME'!B256="","",'KNOWIFY TIME'!B256)</f>
        <v/>
      </c>
      <c r="AU256" s="7" t="n">
        <f aca="false">IF(AT256="",0,IF(ISNUMBER('KNOWIFY TIME'!D256),'KNOWIFY TIME'!D256*24,IFERROR(VALUE(LEFT('KNOWIFY TIME'!D256,FIND(":",'KNOWIFY TIME'!D256)-1))+VALUE(MID('KNOWIFY TIME'!D256,FIND(":",'KNOWIFY TIME'!D256)+1,2))/60,0)))</f>
        <v>0</v>
      </c>
      <c r="AV256" s="7" t="n">
        <f aca="false">N('KNOWIFY TIME'!E256)</f>
        <v>0</v>
      </c>
      <c r="AW256" s="7" t="str">
        <f aca="false">IF(AT256="","",IFERROR(INDEX($BD$5:$BD$60,MATCH(AT256,$BC$5:$BC$60,0)),"Unmapped"))</f>
        <v/>
      </c>
    </row>
    <row r="257" customFormat="false" ht="15" hidden="false" customHeight="false" outlineLevel="0" collapsed="false">
      <c r="AA257" s="7" t="str">
        <f aca="false">IF('KNOWIFY PHASES'!A257="","",'KNOWIFY PHASES'!A257)</f>
        <v/>
      </c>
      <c r="AB257" s="7" t="str">
        <f aca="false">IF(AA257="","",IF(LEFT(AA257,4)="P - ","P",IF(LEFT(AA257,4)="H - ","H",IF(LEFT(AA257,5)="AC - ","AC",IF(OR(LEFT(AA257,4)="V - ",LEFT(AA257,7)="HVAC - "),"V","Other")))))</f>
        <v/>
      </c>
      <c r="AC257" s="7" t="str">
        <f aca="false">IF(AA257="","",IFERROR(LOOKUP(2,1/(($AZ$5:$AZ$60&lt;&gt;"")*ISNUMBER(SEARCH($AZ$5:$AZ$60,AA257))),$BA$5:$BA$60),IF(AB257="Other","Excluded","Unmapped")))</f>
        <v/>
      </c>
      <c r="AD257" s="7" t="str">
        <f aca="false">IF(AA257="","",IF(AND(AB257&lt;&gt;"Other",OR(AND('KNOWIFY PHASES'!B257="Closed",N('KNOWIFY PHASES'!D257)&gt;=0.5),N('KNOWIFY PHASES'!D257)&gt;=1)),1,0))</f>
        <v/>
      </c>
      <c r="AE257" s="7" t="n">
        <f aca="false">N('KNOWIFY PHASES'!L257)</f>
        <v>0</v>
      </c>
      <c r="AF257" s="7" t="n">
        <f aca="false">N('KNOWIFY PHASES'!K257)</f>
        <v>0</v>
      </c>
      <c r="AG257" s="7" t="n">
        <f aca="false">N('KNOWIFY PHASES'!I257)</f>
        <v>0</v>
      </c>
      <c r="AH257" s="7" t="n">
        <f aca="false">N('KNOWIFY PHASES'!H257)</f>
        <v>0</v>
      </c>
      <c r="AI257" s="7" t="n">
        <f aca="false">N('KNOWIFY PHASES'!O257)</f>
        <v>0</v>
      </c>
      <c r="AJ257" s="7" t="n">
        <f aca="false">N('KNOWIFY PHASES'!N257)</f>
        <v>0</v>
      </c>
      <c r="AK257" s="7" t="n">
        <f aca="false">N('KNOWIFY PHASES'!R257)</f>
        <v>0</v>
      </c>
      <c r="AL257" s="7" t="n">
        <f aca="false">N('KNOWIFY PHASES'!Q257)</f>
        <v>0</v>
      </c>
      <c r="AM257" s="7" t="n">
        <f aca="false">N('KNOWIFY PHASES'!F257)</f>
        <v>0</v>
      </c>
      <c r="AN257" s="7" t="n">
        <f aca="false">N('KNOWIFY PHASES'!E257)</f>
        <v>0</v>
      </c>
      <c r="AO257" s="7" t="n">
        <f aca="false">MAX(AE257,AF257)</f>
        <v>0</v>
      </c>
      <c r="AP257" s="7" t="n">
        <f aca="false">MAX(AG257,AH257)</f>
        <v>0</v>
      </c>
      <c r="AQ257" s="7" t="n">
        <f aca="false">MAX(AI257,AJ257)</f>
        <v>0</v>
      </c>
      <c r="AR257" s="7" t="n">
        <f aca="false">MAX(AK257,AL257)</f>
        <v>0</v>
      </c>
      <c r="AT257" s="7" t="str">
        <f aca="false">IF('KNOWIFY TIME'!B257="","",'KNOWIFY TIME'!B257)</f>
        <v/>
      </c>
      <c r="AU257" s="7" t="n">
        <f aca="false">IF(AT257="",0,IF(ISNUMBER('KNOWIFY TIME'!D257),'KNOWIFY TIME'!D257*24,IFERROR(VALUE(LEFT('KNOWIFY TIME'!D257,FIND(":",'KNOWIFY TIME'!D257)-1))+VALUE(MID('KNOWIFY TIME'!D257,FIND(":",'KNOWIFY TIME'!D257)+1,2))/60,0)))</f>
        <v>0</v>
      </c>
      <c r="AV257" s="7" t="n">
        <f aca="false">N('KNOWIFY TIME'!E257)</f>
        <v>0</v>
      </c>
      <c r="AW257" s="7" t="str">
        <f aca="false">IF(AT257="","",IFERROR(INDEX($BD$5:$BD$60,MATCH(AT257,$BC$5:$BC$60,0)),"Unmapped"))</f>
        <v/>
      </c>
    </row>
    <row r="258" customFormat="false" ht="15" hidden="false" customHeight="false" outlineLevel="0" collapsed="false">
      <c r="AA258" s="7" t="str">
        <f aca="false">IF('KNOWIFY PHASES'!A258="","",'KNOWIFY PHASES'!A258)</f>
        <v/>
      </c>
      <c r="AB258" s="7" t="str">
        <f aca="false">IF(AA258="","",IF(LEFT(AA258,4)="P - ","P",IF(LEFT(AA258,4)="H - ","H",IF(LEFT(AA258,5)="AC - ","AC",IF(OR(LEFT(AA258,4)="V - ",LEFT(AA258,7)="HVAC - "),"V","Other")))))</f>
        <v/>
      </c>
      <c r="AC258" s="7" t="str">
        <f aca="false">IF(AA258="","",IFERROR(LOOKUP(2,1/(($AZ$5:$AZ$60&lt;&gt;"")*ISNUMBER(SEARCH($AZ$5:$AZ$60,AA258))),$BA$5:$BA$60),IF(AB258="Other","Excluded","Unmapped")))</f>
        <v/>
      </c>
      <c r="AD258" s="7" t="str">
        <f aca="false">IF(AA258="","",IF(AND(AB258&lt;&gt;"Other",OR(AND('KNOWIFY PHASES'!B258="Closed",N('KNOWIFY PHASES'!D258)&gt;=0.5),N('KNOWIFY PHASES'!D258)&gt;=1)),1,0))</f>
        <v/>
      </c>
      <c r="AE258" s="7" t="n">
        <f aca="false">N('KNOWIFY PHASES'!L258)</f>
        <v>0</v>
      </c>
      <c r="AF258" s="7" t="n">
        <f aca="false">N('KNOWIFY PHASES'!K258)</f>
        <v>0</v>
      </c>
      <c r="AG258" s="7" t="n">
        <f aca="false">N('KNOWIFY PHASES'!I258)</f>
        <v>0</v>
      </c>
      <c r="AH258" s="7" t="n">
        <f aca="false">N('KNOWIFY PHASES'!H258)</f>
        <v>0</v>
      </c>
      <c r="AI258" s="7" t="n">
        <f aca="false">N('KNOWIFY PHASES'!O258)</f>
        <v>0</v>
      </c>
      <c r="AJ258" s="7" t="n">
        <f aca="false">N('KNOWIFY PHASES'!N258)</f>
        <v>0</v>
      </c>
      <c r="AK258" s="7" t="n">
        <f aca="false">N('KNOWIFY PHASES'!R258)</f>
        <v>0</v>
      </c>
      <c r="AL258" s="7" t="n">
        <f aca="false">N('KNOWIFY PHASES'!Q258)</f>
        <v>0</v>
      </c>
      <c r="AM258" s="7" t="n">
        <f aca="false">N('KNOWIFY PHASES'!F258)</f>
        <v>0</v>
      </c>
      <c r="AN258" s="7" t="n">
        <f aca="false">N('KNOWIFY PHASES'!E258)</f>
        <v>0</v>
      </c>
      <c r="AO258" s="7" t="n">
        <f aca="false">MAX(AE258,AF258)</f>
        <v>0</v>
      </c>
      <c r="AP258" s="7" t="n">
        <f aca="false">MAX(AG258,AH258)</f>
        <v>0</v>
      </c>
      <c r="AQ258" s="7" t="n">
        <f aca="false">MAX(AI258,AJ258)</f>
        <v>0</v>
      </c>
      <c r="AR258" s="7" t="n">
        <f aca="false">MAX(AK258,AL258)</f>
        <v>0</v>
      </c>
      <c r="AT258" s="7" t="str">
        <f aca="false">IF('KNOWIFY TIME'!B258="","",'KNOWIFY TIME'!B258)</f>
        <v/>
      </c>
      <c r="AU258" s="7" t="n">
        <f aca="false">IF(AT258="",0,IF(ISNUMBER('KNOWIFY TIME'!D258),'KNOWIFY TIME'!D258*24,IFERROR(VALUE(LEFT('KNOWIFY TIME'!D258,FIND(":",'KNOWIFY TIME'!D258)-1))+VALUE(MID('KNOWIFY TIME'!D258,FIND(":",'KNOWIFY TIME'!D258)+1,2))/60,0)))</f>
        <v>0</v>
      </c>
      <c r="AV258" s="7" t="n">
        <f aca="false">N('KNOWIFY TIME'!E258)</f>
        <v>0</v>
      </c>
      <c r="AW258" s="7" t="str">
        <f aca="false">IF(AT258="","",IFERROR(INDEX($BD$5:$BD$60,MATCH(AT258,$BC$5:$BC$60,0)),"Unmapped"))</f>
        <v/>
      </c>
    </row>
    <row r="259" customFormat="false" ht="15" hidden="false" customHeight="false" outlineLevel="0" collapsed="false">
      <c r="AA259" s="7" t="str">
        <f aca="false">IF('KNOWIFY PHASES'!A259="","",'KNOWIFY PHASES'!A259)</f>
        <v/>
      </c>
      <c r="AB259" s="7" t="str">
        <f aca="false">IF(AA259="","",IF(LEFT(AA259,4)="P - ","P",IF(LEFT(AA259,4)="H - ","H",IF(LEFT(AA259,5)="AC - ","AC",IF(OR(LEFT(AA259,4)="V - ",LEFT(AA259,7)="HVAC - "),"V","Other")))))</f>
        <v/>
      </c>
      <c r="AC259" s="7" t="str">
        <f aca="false">IF(AA259="","",IFERROR(LOOKUP(2,1/(($AZ$5:$AZ$60&lt;&gt;"")*ISNUMBER(SEARCH($AZ$5:$AZ$60,AA259))),$BA$5:$BA$60),IF(AB259="Other","Excluded","Unmapped")))</f>
        <v/>
      </c>
      <c r="AD259" s="7" t="str">
        <f aca="false">IF(AA259="","",IF(AND(AB259&lt;&gt;"Other",OR(AND('KNOWIFY PHASES'!B259="Closed",N('KNOWIFY PHASES'!D259)&gt;=0.5),N('KNOWIFY PHASES'!D259)&gt;=1)),1,0))</f>
        <v/>
      </c>
      <c r="AE259" s="7" t="n">
        <f aca="false">N('KNOWIFY PHASES'!L259)</f>
        <v>0</v>
      </c>
      <c r="AF259" s="7" t="n">
        <f aca="false">N('KNOWIFY PHASES'!K259)</f>
        <v>0</v>
      </c>
      <c r="AG259" s="7" t="n">
        <f aca="false">N('KNOWIFY PHASES'!I259)</f>
        <v>0</v>
      </c>
      <c r="AH259" s="7" t="n">
        <f aca="false">N('KNOWIFY PHASES'!H259)</f>
        <v>0</v>
      </c>
      <c r="AI259" s="7" t="n">
        <f aca="false">N('KNOWIFY PHASES'!O259)</f>
        <v>0</v>
      </c>
      <c r="AJ259" s="7" t="n">
        <f aca="false">N('KNOWIFY PHASES'!N259)</f>
        <v>0</v>
      </c>
      <c r="AK259" s="7" t="n">
        <f aca="false">N('KNOWIFY PHASES'!R259)</f>
        <v>0</v>
      </c>
      <c r="AL259" s="7" t="n">
        <f aca="false">N('KNOWIFY PHASES'!Q259)</f>
        <v>0</v>
      </c>
      <c r="AM259" s="7" t="n">
        <f aca="false">N('KNOWIFY PHASES'!F259)</f>
        <v>0</v>
      </c>
      <c r="AN259" s="7" t="n">
        <f aca="false">N('KNOWIFY PHASES'!E259)</f>
        <v>0</v>
      </c>
      <c r="AO259" s="7" t="n">
        <f aca="false">MAX(AE259,AF259)</f>
        <v>0</v>
      </c>
      <c r="AP259" s="7" t="n">
        <f aca="false">MAX(AG259,AH259)</f>
        <v>0</v>
      </c>
      <c r="AQ259" s="7" t="n">
        <f aca="false">MAX(AI259,AJ259)</f>
        <v>0</v>
      </c>
      <c r="AR259" s="7" t="n">
        <f aca="false">MAX(AK259,AL259)</f>
        <v>0</v>
      </c>
      <c r="AT259" s="7" t="str">
        <f aca="false">IF('KNOWIFY TIME'!B259="","",'KNOWIFY TIME'!B259)</f>
        <v/>
      </c>
      <c r="AU259" s="7" t="n">
        <f aca="false">IF(AT259="",0,IF(ISNUMBER('KNOWIFY TIME'!D259),'KNOWIFY TIME'!D259*24,IFERROR(VALUE(LEFT('KNOWIFY TIME'!D259,FIND(":",'KNOWIFY TIME'!D259)-1))+VALUE(MID('KNOWIFY TIME'!D259,FIND(":",'KNOWIFY TIME'!D259)+1,2))/60,0)))</f>
        <v>0</v>
      </c>
      <c r="AV259" s="7" t="n">
        <f aca="false">N('KNOWIFY TIME'!E259)</f>
        <v>0</v>
      </c>
      <c r="AW259" s="7" t="str">
        <f aca="false">IF(AT259="","",IFERROR(INDEX($BD$5:$BD$60,MATCH(AT259,$BC$5:$BC$60,0)),"Unmapped"))</f>
        <v/>
      </c>
    </row>
    <row r="260" customFormat="false" ht="15" hidden="false" customHeight="false" outlineLevel="0" collapsed="false">
      <c r="AA260" s="7" t="str">
        <f aca="false">IF('KNOWIFY PHASES'!A260="","",'KNOWIFY PHASES'!A260)</f>
        <v/>
      </c>
      <c r="AB260" s="7" t="str">
        <f aca="false">IF(AA260="","",IF(LEFT(AA260,4)="P - ","P",IF(LEFT(AA260,4)="H - ","H",IF(LEFT(AA260,5)="AC - ","AC",IF(OR(LEFT(AA260,4)="V - ",LEFT(AA260,7)="HVAC - "),"V","Other")))))</f>
        <v/>
      </c>
      <c r="AC260" s="7" t="str">
        <f aca="false">IF(AA260="","",IFERROR(LOOKUP(2,1/(($AZ$5:$AZ$60&lt;&gt;"")*ISNUMBER(SEARCH($AZ$5:$AZ$60,AA260))),$BA$5:$BA$60),IF(AB260="Other","Excluded","Unmapped")))</f>
        <v/>
      </c>
      <c r="AD260" s="7" t="str">
        <f aca="false">IF(AA260="","",IF(AND(AB260&lt;&gt;"Other",OR(AND('KNOWIFY PHASES'!B260="Closed",N('KNOWIFY PHASES'!D260)&gt;=0.5),N('KNOWIFY PHASES'!D260)&gt;=1)),1,0))</f>
        <v/>
      </c>
      <c r="AE260" s="7" t="n">
        <f aca="false">N('KNOWIFY PHASES'!L260)</f>
        <v>0</v>
      </c>
      <c r="AF260" s="7" t="n">
        <f aca="false">N('KNOWIFY PHASES'!K260)</f>
        <v>0</v>
      </c>
      <c r="AG260" s="7" t="n">
        <f aca="false">N('KNOWIFY PHASES'!I260)</f>
        <v>0</v>
      </c>
      <c r="AH260" s="7" t="n">
        <f aca="false">N('KNOWIFY PHASES'!H260)</f>
        <v>0</v>
      </c>
      <c r="AI260" s="7" t="n">
        <f aca="false">N('KNOWIFY PHASES'!O260)</f>
        <v>0</v>
      </c>
      <c r="AJ260" s="7" t="n">
        <f aca="false">N('KNOWIFY PHASES'!N260)</f>
        <v>0</v>
      </c>
      <c r="AK260" s="7" t="n">
        <f aca="false">N('KNOWIFY PHASES'!R260)</f>
        <v>0</v>
      </c>
      <c r="AL260" s="7" t="n">
        <f aca="false">N('KNOWIFY PHASES'!Q260)</f>
        <v>0</v>
      </c>
      <c r="AM260" s="7" t="n">
        <f aca="false">N('KNOWIFY PHASES'!F260)</f>
        <v>0</v>
      </c>
      <c r="AN260" s="7" t="n">
        <f aca="false">N('KNOWIFY PHASES'!E260)</f>
        <v>0</v>
      </c>
      <c r="AO260" s="7" t="n">
        <f aca="false">MAX(AE260,AF260)</f>
        <v>0</v>
      </c>
      <c r="AP260" s="7" t="n">
        <f aca="false">MAX(AG260,AH260)</f>
        <v>0</v>
      </c>
      <c r="AQ260" s="7" t="n">
        <f aca="false">MAX(AI260,AJ260)</f>
        <v>0</v>
      </c>
      <c r="AR260" s="7" t="n">
        <f aca="false">MAX(AK260,AL260)</f>
        <v>0</v>
      </c>
      <c r="AT260" s="7" t="str">
        <f aca="false">IF('KNOWIFY TIME'!B260="","",'KNOWIFY TIME'!B260)</f>
        <v/>
      </c>
      <c r="AU260" s="7" t="n">
        <f aca="false">IF(AT260="",0,IF(ISNUMBER('KNOWIFY TIME'!D260),'KNOWIFY TIME'!D260*24,IFERROR(VALUE(LEFT('KNOWIFY TIME'!D260,FIND(":",'KNOWIFY TIME'!D260)-1))+VALUE(MID('KNOWIFY TIME'!D260,FIND(":",'KNOWIFY TIME'!D260)+1,2))/60,0)))</f>
        <v>0</v>
      </c>
      <c r="AV260" s="7" t="n">
        <f aca="false">N('KNOWIFY TIME'!E260)</f>
        <v>0</v>
      </c>
      <c r="AW260" s="7" t="str">
        <f aca="false">IF(AT260="","",IFERROR(INDEX($BD$5:$BD$60,MATCH(AT260,$BC$5:$BC$60,0)),"Unmapped"))</f>
        <v/>
      </c>
    </row>
    <row r="261" customFormat="false" ht="15" hidden="false" customHeight="false" outlineLevel="0" collapsed="false">
      <c r="AA261" s="7" t="str">
        <f aca="false">IF('KNOWIFY PHASES'!A261="","",'KNOWIFY PHASES'!A261)</f>
        <v/>
      </c>
      <c r="AB261" s="7" t="str">
        <f aca="false">IF(AA261="","",IF(LEFT(AA261,4)="P - ","P",IF(LEFT(AA261,4)="H - ","H",IF(LEFT(AA261,5)="AC - ","AC",IF(OR(LEFT(AA261,4)="V - ",LEFT(AA261,7)="HVAC - "),"V","Other")))))</f>
        <v/>
      </c>
      <c r="AC261" s="7" t="str">
        <f aca="false">IF(AA261="","",IFERROR(LOOKUP(2,1/(($AZ$5:$AZ$60&lt;&gt;"")*ISNUMBER(SEARCH($AZ$5:$AZ$60,AA261))),$BA$5:$BA$60),IF(AB261="Other","Excluded","Unmapped")))</f>
        <v/>
      </c>
      <c r="AD261" s="7" t="str">
        <f aca="false">IF(AA261="","",IF(AND(AB261&lt;&gt;"Other",OR(AND('KNOWIFY PHASES'!B261="Closed",N('KNOWIFY PHASES'!D261)&gt;=0.5),N('KNOWIFY PHASES'!D261)&gt;=1)),1,0))</f>
        <v/>
      </c>
      <c r="AE261" s="7" t="n">
        <f aca="false">N('KNOWIFY PHASES'!L261)</f>
        <v>0</v>
      </c>
      <c r="AF261" s="7" t="n">
        <f aca="false">N('KNOWIFY PHASES'!K261)</f>
        <v>0</v>
      </c>
      <c r="AG261" s="7" t="n">
        <f aca="false">N('KNOWIFY PHASES'!I261)</f>
        <v>0</v>
      </c>
      <c r="AH261" s="7" t="n">
        <f aca="false">N('KNOWIFY PHASES'!H261)</f>
        <v>0</v>
      </c>
      <c r="AI261" s="7" t="n">
        <f aca="false">N('KNOWIFY PHASES'!O261)</f>
        <v>0</v>
      </c>
      <c r="AJ261" s="7" t="n">
        <f aca="false">N('KNOWIFY PHASES'!N261)</f>
        <v>0</v>
      </c>
      <c r="AK261" s="7" t="n">
        <f aca="false">N('KNOWIFY PHASES'!R261)</f>
        <v>0</v>
      </c>
      <c r="AL261" s="7" t="n">
        <f aca="false">N('KNOWIFY PHASES'!Q261)</f>
        <v>0</v>
      </c>
      <c r="AM261" s="7" t="n">
        <f aca="false">N('KNOWIFY PHASES'!F261)</f>
        <v>0</v>
      </c>
      <c r="AN261" s="7" t="n">
        <f aca="false">N('KNOWIFY PHASES'!E261)</f>
        <v>0</v>
      </c>
      <c r="AO261" s="7" t="n">
        <f aca="false">MAX(AE261,AF261)</f>
        <v>0</v>
      </c>
      <c r="AP261" s="7" t="n">
        <f aca="false">MAX(AG261,AH261)</f>
        <v>0</v>
      </c>
      <c r="AQ261" s="7" t="n">
        <f aca="false">MAX(AI261,AJ261)</f>
        <v>0</v>
      </c>
      <c r="AR261" s="7" t="n">
        <f aca="false">MAX(AK261,AL261)</f>
        <v>0</v>
      </c>
      <c r="AT261" s="7" t="str">
        <f aca="false">IF('KNOWIFY TIME'!B261="","",'KNOWIFY TIME'!B261)</f>
        <v/>
      </c>
      <c r="AU261" s="7" t="n">
        <f aca="false">IF(AT261="",0,IF(ISNUMBER('KNOWIFY TIME'!D261),'KNOWIFY TIME'!D261*24,IFERROR(VALUE(LEFT('KNOWIFY TIME'!D261,FIND(":",'KNOWIFY TIME'!D261)-1))+VALUE(MID('KNOWIFY TIME'!D261,FIND(":",'KNOWIFY TIME'!D261)+1,2))/60,0)))</f>
        <v>0</v>
      </c>
      <c r="AV261" s="7" t="n">
        <f aca="false">N('KNOWIFY TIME'!E261)</f>
        <v>0</v>
      </c>
      <c r="AW261" s="7" t="str">
        <f aca="false">IF(AT261="","",IFERROR(INDEX($BD$5:$BD$60,MATCH(AT261,$BC$5:$BC$60,0)),"Unmapped"))</f>
        <v/>
      </c>
    </row>
    <row r="262" customFormat="false" ht="15" hidden="false" customHeight="false" outlineLevel="0" collapsed="false">
      <c r="AA262" s="7" t="str">
        <f aca="false">IF('KNOWIFY PHASES'!A262="","",'KNOWIFY PHASES'!A262)</f>
        <v/>
      </c>
      <c r="AB262" s="7" t="str">
        <f aca="false">IF(AA262="","",IF(LEFT(AA262,4)="P - ","P",IF(LEFT(AA262,4)="H - ","H",IF(LEFT(AA262,5)="AC - ","AC",IF(OR(LEFT(AA262,4)="V - ",LEFT(AA262,7)="HVAC - "),"V","Other")))))</f>
        <v/>
      </c>
      <c r="AC262" s="7" t="str">
        <f aca="false">IF(AA262="","",IFERROR(LOOKUP(2,1/(($AZ$5:$AZ$60&lt;&gt;"")*ISNUMBER(SEARCH($AZ$5:$AZ$60,AA262))),$BA$5:$BA$60),IF(AB262="Other","Excluded","Unmapped")))</f>
        <v/>
      </c>
      <c r="AD262" s="7" t="str">
        <f aca="false">IF(AA262="","",IF(AND(AB262&lt;&gt;"Other",OR(AND('KNOWIFY PHASES'!B262="Closed",N('KNOWIFY PHASES'!D262)&gt;=0.5),N('KNOWIFY PHASES'!D262)&gt;=1)),1,0))</f>
        <v/>
      </c>
      <c r="AE262" s="7" t="n">
        <f aca="false">N('KNOWIFY PHASES'!L262)</f>
        <v>0</v>
      </c>
      <c r="AF262" s="7" t="n">
        <f aca="false">N('KNOWIFY PHASES'!K262)</f>
        <v>0</v>
      </c>
      <c r="AG262" s="7" t="n">
        <f aca="false">N('KNOWIFY PHASES'!I262)</f>
        <v>0</v>
      </c>
      <c r="AH262" s="7" t="n">
        <f aca="false">N('KNOWIFY PHASES'!H262)</f>
        <v>0</v>
      </c>
      <c r="AI262" s="7" t="n">
        <f aca="false">N('KNOWIFY PHASES'!O262)</f>
        <v>0</v>
      </c>
      <c r="AJ262" s="7" t="n">
        <f aca="false">N('KNOWIFY PHASES'!N262)</f>
        <v>0</v>
      </c>
      <c r="AK262" s="7" t="n">
        <f aca="false">N('KNOWIFY PHASES'!R262)</f>
        <v>0</v>
      </c>
      <c r="AL262" s="7" t="n">
        <f aca="false">N('KNOWIFY PHASES'!Q262)</f>
        <v>0</v>
      </c>
      <c r="AM262" s="7" t="n">
        <f aca="false">N('KNOWIFY PHASES'!F262)</f>
        <v>0</v>
      </c>
      <c r="AN262" s="7" t="n">
        <f aca="false">N('KNOWIFY PHASES'!E262)</f>
        <v>0</v>
      </c>
      <c r="AO262" s="7" t="n">
        <f aca="false">MAX(AE262,AF262)</f>
        <v>0</v>
      </c>
      <c r="AP262" s="7" t="n">
        <f aca="false">MAX(AG262,AH262)</f>
        <v>0</v>
      </c>
      <c r="AQ262" s="7" t="n">
        <f aca="false">MAX(AI262,AJ262)</f>
        <v>0</v>
      </c>
      <c r="AR262" s="7" t="n">
        <f aca="false">MAX(AK262,AL262)</f>
        <v>0</v>
      </c>
      <c r="AT262" s="7" t="str">
        <f aca="false">IF('KNOWIFY TIME'!B262="","",'KNOWIFY TIME'!B262)</f>
        <v/>
      </c>
      <c r="AU262" s="7" t="n">
        <f aca="false">IF(AT262="",0,IF(ISNUMBER('KNOWIFY TIME'!D262),'KNOWIFY TIME'!D262*24,IFERROR(VALUE(LEFT('KNOWIFY TIME'!D262,FIND(":",'KNOWIFY TIME'!D262)-1))+VALUE(MID('KNOWIFY TIME'!D262,FIND(":",'KNOWIFY TIME'!D262)+1,2))/60,0)))</f>
        <v>0</v>
      </c>
      <c r="AV262" s="7" t="n">
        <f aca="false">N('KNOWIFY TIME'!E262)</f>
        <v>0</v>
      </c>
      <c r="AW262" s="7" t="str">
        <f aca="false">IF(AT262="","",IFERROR(INDEX($BD$5:$BD$60,MATCH(AT262,$BC$5:$BC$60,0)),"Unmapped"))</f>
        <v/>
      </c>
    </row>
    <row r="263" customFormat="false" ht="15" hidden="false" customHeight="false" outlineLevel="0" collapsed="false">
      <c r="AA263" s="7" t="str">
        <f aca="false">IF('KNOWIFY PHASES'!A263="","",'KNOWIFY PHASES'!A263)</f>
        <v/>
      </c>
      <c r="AB263" s="7" t="str">
        <f aca="false">IF(AA263="","",IF(LEFT(AA263,4)="P - ","P",IF(LEFT(AA263,4)="H - ","H",IF(LEFT(AA263,5)="AC - ","AC",IF(OR(LEFT(AA263,4)="V - ",LEFT(AA263,7)="HVAC - "),"V","Other")))))</f>
        <v/>
      </c>
      <c r="AC263" s="7" t="str">
        <f aca="false">IF(AA263="","",IFERROR(LOOKUP(2,1/(($AZ$5:$AZ$60&lt;&gt;"")*ISNUMBER(SEARCH($AZ$5:$AZ$60,AA263))),$BA$5:$BA$60),IF(AB263="Other","Excluded","Unmapped")))</f>
        <v/>
      </c>
      <c r="AD263" s="7" t="str">
        <f aca="false">IF(AA263="","",IF(AND(AB263&lt;&gt;"Other",OR(AND('KNOWIFY PHASES'!B263="Closed",N('KNOWIFY PHASES'!D263)&gt;=0.5),N('KNOWIFY PHASES'!D263)&gt;=1)),1,0))</f>
        <v/>
      </c>
      <c r="AE263" s="7" t="n">
        <f aca="false">N('KNOWIFY PHASES'!L263)</f>
        <v>0</v>
      </c>
      <c r="AF263" s="7" t="n">
        <f aca="false">N('KNOWIFY PHASES'!K263)</f>
        <v>0</v>
      </c>
      <c r="AG263" s="7" t="n">
        <f aca="false">N('KNOWIFY PHASES'!I263)</f>
        <v>0</v>
      </c>
      <c r="AH263" s="7" t="n">
        <f aca="false">N('KNOWIFY PHASES'!H263)</f>
        <v>0</v>
      </c>
      <c r="AI263" s="7" t="n">
        <f aca="false">N('KNOWIFY PHASES'!O263)</f>
        <v>0</v>
      </c>
      <c r="AJ263" s="7" t="n">
        <f aca="false">N('KNOWIFY PHASES'!N263)</f>
        <v>0</v>
      </c>
      <c r="AK263" s="7" t="n">
        <f aca="false">N('KNOWIFY PHASES'!R263)</f>
        <v>0</v>
      </c>
      <c r="AL263" s="7" t="n">
        <f aca="false">N('KNOWIFY PHASES'!Q263)</f>
        <v>0</v>
      </c>
      <c r="AM263" s="7" t="n">
        <f aca="false">N('KNOWIFY PHASES'!F263)</f>
        <v>0</v>
      </c>
      <c r="AN263" s="7" t="n">
        <f aca="false">N('KNOWIFY PHASES'!E263)</f>
        <v>0</v>
      </c>
      <c r="AO263" s="7" t="n">
        <f aca="false">MAX(AE263,AF263)</f>
        <v>0</v>
      </c>
      <c r="AP263" s="7" t="n">
        <f aca="false">MAX(AG263,AH263)</f>
        <v>0</v>
      </c>
      <c r="AQ263" s="7" t="n">
        <f aca="false">MAX(AI263,AJ263)</f>
        <v>0</v>
      </c>
      <c r="AR263" s="7" t="n">
        <f aca="false">MAX(AK263,AL263)</f>
        <v>0</v>
      </c>
      <c r="AT263" s="7" t="str">
        <f aca="false">IF('KNOWIFY TIME'!B263="","",'KNOWIFY TIME'!B263)</f>
        <v/>
      </c>
      <c r="AU263" s="7" t="n">
        <f aca="false">IF(AT263="",0,IF(ISNUMBER('KNOWIFY TIME'!D263),'KNOWIFY TIME'!D263*24,IFERROR(VALUE(LEFT('KNOWIFY TIME'!D263,FIND(":",'KNOWIFY TIME'!D263)-1))+VALUE(MID('KNOWIFY TIME'!D263,FIND(":",'KNOWIFY TIME'!D263)+1,2))/60,0)))</f>
        <v>0</v>
      </c>
      <c r="AV263" s="7" t="n">
        <f aca="false">N('KNOWIFY TIME'!E263)</f>
        <v>0</v>
      </c>
      <c r="AW263" s="7" t="str">
        <f aca="false">IF(AT263="","",IFERROR(INDEX($BD$5:$BD$60,MATCH(AT263,$BC$5:$BC$60,0)),"Unmapped"))</f>
        <v/>
      </c>
    </row>
    <row r="264" customFormat="false" ht="15" hidden="false" customHeight="false" outlineLevel="0" collapsed="false">
      <c r="AA264" s="7" t="str">
        <f aca="false">IF('KNOWIFY PHASES'!A264="","",'KNOWIFY PHASES'!A264)</f>
        <v/>
      </c>
      <c r="AB264" s="7" t="str">
        <f aca="false">IF(AA264="","",IF(LEFT(AA264,4)="P - ","P",IF(LEFT(AA264,4)="H - ","H",IF(LEFT(AA264,5)="AC - ","AC",IF(OR(LEFT(AA264,4)="V - ",LEFT(AA264,7)="HVAC - "),"V","Other")))))</f>
        <v/>
      </c>
      <c r="AC264" s="7" t="str">
        <f aca="false">IF(AA264="","",IFERROR(LOOKUP(2,1/(($AZ$5:$AZ$60&lt;&gt;"")*ISNUMBER(SEARCH($AZ$5:$AZ$60,AA264))),$BA$5:$BA$60),IF(AB264="Other","Excluded","Unmapped")))</f>
        <v/>
      </c>
      <c r="AD264" s="7" t="str">
        <f aca="false">IF(AA264="","",IF(AND(AB264&lt;&gt;"Other",OR(AND('KNOWIFY PHASES'!B264="Closed",N('KNOWIFY PHASES'!D264)&gt;=0.5),N('KNOWIFY PHASES'!D264)&gt;=1)),1,0))</f>
        <v/>
      </c>
      <c r="AE264" s="7" t="n">
        <f aca="false">N('KNOWIFY PHASES'!L264)</f>
        <v>0</v>
      </c>
      <c r="AF264" s="7" t="n">
        <f aca="false">N('KNOWIFY PHASES'!K264)</f>
        <v>0</v>
      </c>
      <c r="AG264" s="7" t="n">
        <f aca="false">N('KNOWIFY PHASES'!I264)</f>
        <v>0</v>
      </c>
      <c r="AH264" s="7" t="n">
        <f aca="false">N('KNOWIFY PHASES'!H264)</f>
        <v>0</v>
      </c>
      <c r="AI264" s="7" t="n">
        <f aca="false">N('KNOWIFY PHASES'!O264)</f>
        <v>0</v>
      </c>
      <c r="AJ264" s="7" t="n">
        <f aca="false">N('KNOWIFY PHASES'!N264)</f>
        <v>0</v>
      </c>
      <c r="AK264" s="7" t="n">
        <f aca="false">N('KNOWIFY PHASES'!R264)</f>
        <v>0</v>
      </c>
      <c r="AL264" s="7" t="n">
        <f aca="false">N('KNOWIFY PHASES'!Q264)</f>
        <v>0</v>
      </c>
      <c r="AM264" s="7" t="n">
        <f aca="false">N('KNOWIFY PHASES'!F264)</f>
        <v>0</v>
      </c>
      <c r="AN264" s="7" t="n">
        <f aca="false">N('KNOWIFY PHASES'!E264)</f>
        <v>0</v>
      </c>
      <c r="AO264" s="7" t="n">
        <f aca="false">MAX(AE264,AF264)</f>
        <v>0</v>
      </c>
      <c r="AP264" s="7" t="n">
        <f aca="false">MAX(AG264,AH264)</f>
        <v>0</v>
      </c>
      <c r="AQ264" s="7" t="n">
        <f aca="false">MAX(AI264,AJ264)</f>
        <v>0</v>
      </c>
      <c r="AR264" s="7" t="n">
        <f aca="false">MAX(AK264,AL264)</f>
        <v>0</v>
      </c>
      <c r="AT264" s="7" t="str">
        <f aca="false">IF('KNOWIFY TIME'!B264="","",'KNOWIFY TIME'!B264)</f>
        <v/>
      </c>
      <c r="AU264" s="7" t="n">
        <f aca="false">IF(AT264="",0,IF(ISNUMBER('KNOWIFY TIME'!D264),'KNOWIFY TIME'!D264*24,IFERROR(VALUE(LEFT('KNOWIFY TIME'!D264,FIND(":",'KNOWIFY TIME'!D264)-1))+VALUE(MID('KNOWIFY TIME'!D264,FIND(":",'KNOWIFY TIME'!D264)+1,2))/60,0)))</f>
        <v>0</v>
      </c>
      <c r="AV264" s="7" t="n">
        <f aca="false">N('KNOWIFY TIME'!E264)</f>
        <v>0</v>
      </c>
      <c r="AW264" s="7" t="str">
        <f aca="false">IF(AT264="","",IFERROR(INDEX($BD$5:$BD$60,MATCH(AT264,$BC$5:$BC$60,0)),"Unmapped"))</f>
        <v/>
      </c>
    </row>
    <row r="265" customFormat="false" ht="15" hidden="false" customHeight="false" outlineLevel="0" collapsed="false">
      <c r="AA265" s="7" t="str">
        <f aca="false">IF('KNOWIFY PHASES'!A265="","",'KNOWIFY PHASES'!A265)</f>
        <v/>
      </c>
      <c r="AB265" s="7" t="str">
        <f aca="false">IF(AA265="","",IF(LEFT(AA265,4)="P - ","P",IF(LEFT(AA265,4)="H - ","H",IF(LEFT(AA265,5)="AC - ","AC",IF(OR(LEFT(AA265,4)="V - ",LEFT(AA265,7)="HVAC - "),"V","Other")))))</f>
        <v/>
      </c>
      <c r="AC265" s="7" t="str">
        <f aca="false">IF(AA265="","",IFERROR(LOOKUP(2,1/(($AZ$5:$AZ$60&lt;&gt;"")*ISNUMBER(SEARCH($AZ$5:$AZ$60,AA265))),$BA$5:$BA$60),IF(AB265="Other","Excluded","Unmapped")))</f>
        <v/>
      </c>
      <c r="AD265" s="7" t="str">
        <f aca="false">IF(AA265="","",IF(AND(AB265&lt;&gt;"Other",OR(AND('KNOWIFY PHASES'!B265="Closed",N('KNOWIFY PHASES'!D265)&gt;=0.5),N('KNOWIFY PHASES'!D265)&gt;=1)),1,0))</f>
        <v/>
      </c>
      <c r="AE265" s="7" t="n">
        <f aca="false">N('KNOWIFY PHASES'!L265)</f>
        <v>0</v>
      </c>
      <c r="AF265" s="7" t="n">
        <f aca="false">N('KNOWIFY PHASES'!K265)</f>
        <v>0</v>
      </c>
      <c r="AG265" s="7" t="n">
        <f aca="false">N('KNOWIFY PHASES'!I265)</f>
        <v>0</v>
      </c>
      <c r="AH265" s="7" t="n">
        <f aca="false">N('KNOWIFY PHASES'!H265)</f>
        <v>0</v>
      </c>
      <c r="AI265" s="7" t="n">
        <f aca="false">N('KNOWIFY PHASES'!O265)</f>
        <v>0</v>
      </c>
      <c r="AJ265" s="7" t="n">
        <f aca="false">N('KNOWIFY PHASES'!N265)</f>
        <v>0</v>
      </c>
      <c r="AK265" s="7" t="n">
        <f aca="false">N('KNOWIFY PHASES'!R265)</f>
        <v>0</v>
      </c>
      <c r="AL265" s="7" t="n">
        <f aca="false">N('KNOWIFY PHASES'!Q265)</f>
        <v>0</v>
      </c>
      <c r="AM265" s="7" t="n">
        <f aca="false">N('KNOWIFY PHASES'!F265)</f>
        <v>0</v>
      </c>
      <c r="AN265" s="7" t="n">
        <f aca="false">N('KNOWIFY PHASES'!E265)</f>
        <v>0</v>
      </c>
      <c r="AO265" s="7" t="n">
        <f aca="false">MAX(AE265,AF265)</f>
        <v>0</v>
      </c>
      <c r="AP265" s="7" t="n">
        <f aca="false">MAX(AG265,AH265)</f>
        <v>0</v>
      </c>
      <c r="AQ265" s="7" t="n">
        <f aca="false">MAX(AI265,AJ265)</f>
        <v>0</v>
      </c>
      <c r="AR265" s="7" t="n">
        <f aca="false">MAX(AK265,AL265)</f>
        <v>0</v>
      </c>
      <c r="AT265" s="7" t="str">
        <f aca="false">IF('KNOWIFY TIME'!B265="","",'KNOWIFY TIME'!B265)</f>
        <v/>
      </c>
      <c r="AU265" s="7" t="n">
        <f aca="false">IF(AT265="",0,IF(ISNUMBER('KNOWIFY TIME'!D265),'KNOWIFY TIME'!D265*24,IFERROR(VALUE(LEFT('KNOWIFY TIME'!D265,FIND(":",'KNOWIFY TIME'!D265)-1))+VALUE(MID('KNOWIFY TIME'!D265,FIND(":",'KNOWIFY TIME'!D265)+1,2))/60,0)))</f>
        <v>0</v>
      </c>
      <c r="AV265" s="7" t="n">
        <f aca="false">N('KNOWIFY TIME'!E265)</f>
        <v>0</v>
      </c>
      <c r="AW265" s="7" t="str">
        <f aca="false">IF(AT265="","",IFERROR(INDEX($BD$5:$BD$60,MATCH(AT265,$BC$5:$BC$60,0)),"Unmapped"))</f>
        <v/>
      </c>
    </row>
    <row r="266" customFormat="false" ht="15" hidden="false" customHeight="false" outlineLevel="0" collapsed="false">
      <c r="AA266" s="7" t="str">
        <f aca="false">IF('KNOWIFY PHASES'!A266="","",'KNOWIFY PHASES'!A266)</f>
        <v/>
      </c>
      <c r="AB266" s="7" t="str">
        <f aca="false">IF(AA266="","",IF(LEFT(AA266,4)="P - ","P",IF(LEFT(AA266,4)="H - ","H",IF(LEFT(AA266,5)="AC - ","AC",IF(OR(LEFT(AA266,4)="V - ",LEFT(AA266,7)="HVAC - "),"V","Other")))))</f>
        <v/>
      </c>
      <c r="AC266" s="7" t="str">
        <f aca="false">IF(AA266="","",IFERROR(LOOKUP(2,1/(($AZ$5:$AZ$60&lt;&gt;"")*ISNUMBER(SEARCH($AZ$5:$AZ$60,AA266))),$BA$5:$BA$60),IF(AB266="Other","Excluded","Unmapped")))</f>
        <v/>
      </c>
      <c r="AD266" s="7" t="str">
        <f aca="false">IF(AA266="","",IF(AND(AB266&lt;&gt;"Other",OR(AND('KNOWIFY PHASES'!B266="Closed",N('KNOWIFY PHASES'!D266)&gt;=0.5),N('KNOWIFY PHASES'!D266)&gt;=1)),1,0))</f>
        <v/>
      </c>
      <c r="AE266" s="7" t="n">
        <f aca="false">N('KNOWIFY PHASES'!L266)</f>
        <v>0</v>
      </c>
      <c r="AF266" s="7" t="n">
        <f aca="false">N('KNOWIFY PHASES'!K266)</f>
        <v>0</v>
      </c>
      <c r="AG266" s="7" t="n">
        <f aca="false">N('KNOWIFY PHASES'!I266)</f>
        <v>0</v>
      </c>
      <c r="AH266" s="7" t="n">
        <f aca="false">N('KNOWIFY PHASES'!H266)</f>
        <v>0</v>
      </c>
      <c r="AI266" s="7" t="n">
        <f aca="false">N('KNOWIFY PHASES'!O266)</f>
        <v>0</v>
      </c>
      <c r="AJ266" s="7" t="n">
        <f aca="false">N('KNOWIFY PHASES'!N266)</f>
        <v>0</v>
      </c>
      <c r="AK266" s="7" t="n">
        <f aca="false">N('KNOWIFY PHASES'!R266)</f>
        <v>0</v>
      </c>
      <c r="AL266" s="7" t="n">
        <f aca="false">N('KNOWIFY PHASES'!Q266)</f>
        <v>0</v>
      </c>
      <c r="AM266" s="7" t="n">
        <f aca="false">N('KNOWIFY PHASES'!F266)</f>
        <v>0</v>
      </c>
      <c r="AN266" s="7" t="n">
        <f aca="false">N('KNOWIFY PHASES'!E266)</f>
        <v>0</v>
      </c>
      <c r="AO266" s="7" t="n">
        <f aca="false">MAX(AE266,AF266)</f>
        <v>0</v>
      </c>
      <c r="AP266" s="7" t="n">
        <f aca="false">MAX(AG266,AH266)</f>
        <v>0</v>
      </c>
      <c r="AQ266" s="7" t="n">
        <f aca="false">MAX(AI266,AJ266)</f>
        <v>0</v>
      </c>
      <c r="AR266" s="7" t="n">
        <f aca="false">MAX(AK266,AL266)</f>
        <v>0</v>
      </c>
      <c r="AT266" s="7" t="str">
        <f aca="false">IF('KNOWIFY TIME'!B266="","",'KNOWIFY TIME'!B266)</f>
        <v/>
      </c>
      <c r="AU266" s="7" t="n">
        <f aca="false">IF(AT266="",0,IF(ISNUMBER('KNOWIFY TIME'!D266),'KNOWIFY TIME'!D266*24,IFERROR(VALUE(LEFT('KNOWIFY TIME'!D266,FIND(":",'KNOWIFY TIME'!D266)-1))+VALUE(MID('KNOWIFY TIME'!D266,FIND(":",'KNOWIFY TIME'!D266)+1,2))/60,0)))</f>
        <v>0</v>
      </c>
      <c r="AV266" s="7" t="n">
        <f aca="false">N('KNOWIFY TIME'!E266)</f>
        <v>0</v>
      </c>
      <c r="AW266" s="7" t="str">
        <f aca="false">IF(AT266="","",IFERROR(INDEX($BD$5:$BD$60,MATCH(AT266,$BC$5:$BC$60,0)),"Unmapped"))</f>
        <v/>
      </c>
    </row>
    <row r="267" customFormat="false" ht="15" hidden="false" customHeight="false" outlineLevel="0" collapsed="false">
      <c r="AA267" s="7" t="str">
        <f aca="false">IF('KNOWIFY PHASES'!A267="","",'KNOWIFY PHASES'!A267)</f>
        <v/>
      </c>
      <c r="AB267" s="7" t="str">
        <f aca="false">IF(AA267="","",IF(LEFT(AA267,4)="P - ","P",IF(LEFT(AA267,4)="H - ","H",IF(LEFT(AA267,5)="AC - ","AC",IF(OR(LEFT(AA267,4)="V - ",LEFT(AA267,7)="HVAC - "),"V","Other")))))</f>
        <v/>
      </c>
      <c r="AC267" s="7" t="str">
        <f aca="false">IF(AA267="","",IFERROR(LOOKUP(2,1/(($AZ$5:$AZ$60&lt;&gt;"")*ISNUMBER(SEARCH($AZ$5:$AZ$60,AA267))),$BA$5:$BA$60),IF(AB267="Other","Excluded","Unmapped")))</f>
        <v/>
      </c>
      <c r="AD267" s="7" t="str">
        <f aca="false">IF(AA267="","",IF(AND(AB267&lt;&gt;"Other",OR(AND('KNOWIFY PHASES'!B267="Closed",N('KNOWIFY PHASES'!D267)&gt;=0.5),N('KNOWIFY PHASES'!D267)&gt;=1)),1,0))</f>
        <v/>
      </c>
      <c r="AE267" s="7" t="n">
        <f aca="false">N('KNOWIFY PHASES'!L267)</f>
        <v>0</v>
      </c>
      <c r="AF267" s="7" t="n">
        <f aca="false">N('KNOWIFY PHASES'!K267)</f>
        <v>0</v>
      </c>
      <c r="AG267" s="7" t="n">
        <f aca="false">N('KNOWIFY PHASES'!I267)</f>
        <v>0</v>
      </c>
      <c r="AH267" s="7" t="n">
        <f aca="false">N('KNOWIFY PHASES'!H267)</f>
        <v>0</v>
      </c>
      <c r="AI267" s="7" t="n">
        <f aca="false">N('KNOWIFY PHASES'!O267)</f>
        <v>0</v>
      </c>
      <c r="AJ267" s="7" t="n">
        <f aca="false">N('KNOWIFY PHASES'!N267)</f>
        <v>0</v>
      </c>
      <c r="AK267" s="7" t="n">
        <f aca="false">N('KNOWIFY PHASES'!R267)</f>
        <v>0</v>
      </c>
      <c r="AL267" s="7" t="n">
        <f aca="false">N('KNOWIFY PHASES'!Q267)</f>
        <v>0</v>
      </c>
      <c r="AM267" s="7" t="n">
        <f aca="false">N('KNOWIFY PHASES'!F267)</f>
        <v>0</v>
      </c>
      <c r="AN267" s="7" t="n">
        <f aca="false">N('KNOWIFY PHASES'!E267)</f>
        <v>0</v>
      </c>
      <c r="AO267" s="7" t="n">
        <f aca="false">MAX(AE267,AF267)</f>
        <v>0</v>
      </c>
      <c r="AP267" s="7" t="n">
        <f aca="false">MAX(AG267,AH267)</f>
        <v>0</v>
      </c>
      <c r="AQ267" s="7" t="n">
        <f aca="false">MAX(AI267,AJ267)</f>
        <v>0</v>
      </c>
      <c r="AR267" s="7" t="n">
        <f aca="false">MAX(AK267,AL267)</f>
        <v>0</v>
      </c>
      <c r="AT267" s="7" t="str">
        <f aca="false">IF('KNOWIFY TIME'!B267="","",'KNOWIFY TIME'!B267)</f>
        <v/>
      </c>
      <c r="AU267" s="7" t="n">
        <f aca="false">IF(AT267="",0,IF(ISNUMBER('KNOWIFY TIME'!D267),'KNOWIFY TIME'!D267*24,IFERROR(VALUE(LEFT('KNOWIFY TIME'!D267,FIND(":",'KNOWIFY TIME'!D267)-1))+VALUE(MID('KNOWIFY TIME'!D267,FIND(":",'KNOWIFY TIME'!D267)+1,2))/60,0)))</f>
        <v>0</v>
      </c>
      <c r="AV267" s="7" t="n">
        <f aca="false">N('KNOWIFY TIME'!E267)</f>
        <v>0</v>
      </c>
      <c r="AW267" s="7" t="str">
        <f aca="false">IF(AT267="","",IFERROR(INDEX($BD$5:$BD$60,MATCH(AT267,$BC$5:$BC$60,0)),"Unmapped"))</f>
        <v/>
      </c>
    </row>
    <row r="268" customFormat="false" ht="15" hidden="false" customHeight="false" outlineLevel="0" collapsed="false">
      <c r="AA268" s="7" t="str">
        <f aca="false">IF('KNOWIFY PHASES'!A268="","",'KNOWIFY PHASES'!A268)</f>
        <v/>
      </c>
      <c r="AB268" s="7" t="str">
        <f aca="false">IF(AA268="","",IF(LEFT(AA268,4)="P - ","P",IF(LEFT(AA268,4)="H - ","H",IF(LEFT(AA268,5)="AC - ","AC",IF(OR(LEFT(AA268,4)="V - ",LEFT(AA268,7)="HVAC - "),"V","Other")))))</f>
        <v/>
      </c>
      <c r="AC268" s="7" t="str">
        <f aca="false">IF(AA268="","",IFERROR(LOOKUP(2,1/(($AZ$5:$AZ$60&lt;&gt;"")*ISNUMBER(SEARCH($AZ$5:$AZ$60,AA268))),$BA$5:$BA$60),IF(AB268="Other","Excluded","Unmapped")))</f>
        <v/>
      </c>
      <c r="AD268" s="7" t="str">
        <f aca="false">IF(AA268="","",IF(AND(AB268&lt;&gt;"Other",OR(AND('KNOWIFY PHASES'!B268="Closed",N('KNOWIFY PHASES'!D268)&gt;=0.5),N('KNOWIFY PHASES'!D268)&gt;=1)),1,0))</f>
        <v/>
      </c>
      <c r="AE268" s="7" t="n">
        <f aca="false">N('KNOWIFY PHASES'!L268)</f>
        <v>0</v>
      </c>
      <c r="AF268" s="7" t="n">
        <f aca="false">N('KNOWIFY PHASES'!K268)</f>
        <v>0</v>
      </c>
      <c r="AG268" s="7" t="n">
        <f aca="false">N('KNOWIFY PHASES'!I268)</f>
        <v>0</v>
      </c>
      <c r="AH268" s="7" t="n">
        <f aca="false">N('KNOWIFY PHASES'!H268)</f>
        <v>0</v>
      </c>
      <c r="AI268" s="7" t="n">
        <f aca="false">N('KNOWIFY PHASES'!O268)</f>
        <v>0</v>
      </c>
      <c r="AJ268" s="7" t="n">
        <f aca="false">N('KNOWIFY PHASES'!N268)</f>
        <v>0</v>
      </c>
      <c r="AK268" s="7" t="n">
        <f aca="false">N('KNOWIFY PHASES'!R268)</f>
        <v>0</v>
      </c>
      <c r="AL268" s="7" t="n">
        <f aca="false">N('KNOWIFY PHASES'!Q268)</f>
        <v>0</v>
      </c>
      <c r="AM268" s="7" t="n">
        <f aca="false">N('KNOWIFY PHASES'!F268)</f>
        <v>0</v>
      </c>
      <c r="AN268" s="7" t="n">
        <f aca="false">N('KNOWIFY PHASES'!E268)</f>
        <v>0</v>
      </c>
      <c r="AO268" s="7" t="n">
        <f aca="false">MAX(AE268,AF268)</f>
        <v>0</v>
      </c>
      <c r="AP268" s="7" t="n">
        <f aca="false">MAX(AG268,AH268)</f>
        <v>0</v>
      </c>
      <c r="AQ268" s="7" t="n">
        <f aca="false">MAX(AI268,AJ268)</f>
        <v>0</v>
      </c>
      <c r="AR268" s="7" t="n">
        <f aca="false">MAX(AK268,AL268)</f>
        <v>0</v>
      </c>
      <c r="AT268" s="7" t="str">
        <f aca="false">IF('KNOWIFY TIME'!B268="","",'KNOWIFY TIME'!B268)</f>
        <v/>
      </c>
      <c r="AU268" s="7" t="n">
        <f aca="false">IF(AT268="",0,IF(ISNUMBER('KNOWIFY TIME'!D268),'KNOWIFY TIME'!D268*24,IFERROR(VALUE(LEFT('KNOWIFY TIME'!D268,FIND(":",'KNOWIFY TIME'!D268)-1))+VALUE(MID('KNOWIFY TIME'!D268,FIND(":",'KNOWIFY TIME'!D268)+1,2))/60,0)))</f>
        <v>0</v>
      </c>
      <c r="AV268" s="7" t="n">
        <f aca="false">N('KNOWIFY TIME'!E268)</f>
        <v>0</v>
      </c>
      <c r="AW268" s="7" t="str">
        <f aca="false">IF(AT268="","",IFERROR(INDEX($BD$5:$BD$60,MATCH(AT268,$BC$5:$BC$60,0)),"Unmapped"))</f>
        <v/>
      </c>
    </row>
    <row r="269" customFormat="false" ht="15" hidden="false" customHeight="false" outlineLevel="0" collapsed="false">
      <c r="AA269" s="7" t="str">
        <f aca="false">IF('KNOWIFY PHASES'!A269="","",'KNOWIFY PHASES'!A269)</f>
        <v/>
      </c>
      <c r="AB269" s="7" t="str">
        <f aca="false">IF(AA269="","",IF(LEFT(AA269,4)="P - ","P",IF(LEFT(AA269,4)="H - ","H",IF(LEFT(AA269,5)="AC - ","AC",IF(OR(LEFT(AA269,4)="V - ",LEFT(AA269,7)="HVAC - "),"V","Other")))))</f>
        <v/>
      </c>
      <c r="AC269" s="7" t="str">
        <f aca="false">IF(AA269="","",IFERROR(LOOKUP(2,1/(($AZ$5:$AZ$60&lt;&gt;"")*ISNUMBER(SEARCH($AZ$5:$AZ$60,AA269))),$BA$5:$BA$60),IF(AB269="Other","Excluded","Unmapped")))</f>
        <v/>
      </c>
      <c r="AD269" s="7" t="str">
        <f aca="false">IF(AA269="","",IF(AND(AB269&lt;&gt;"Other",OR(AND('KNOWIFY PHASES'!B269="Closed",N('KNOWIFY PHASES'!D269)&gt;=0.5),N('KNOWIFY PHASES'!D269)&gt;=1)),1,0))</f>
        <v/>
      </c>
      <c r="AE269" s="7" t="n">
        <f aca="false">N('KNOWIFY PHASES'!L269)</f>
        <v>0</v>
      </c>
      <c r="AF269" s="7" t="n">
        <f aca="false">N('KNOWIFY PHASES'!K269)</f>
        <v>0</v>
      </c>
      <c r="AG269" s="7" t="n">
        <f aca="false">N('KNOWIFY PHASES'!I269)</f>
        <v>0</v>
      </c>
      <c r="AH269" s="7" t="n">
        <f aca="false">N('KNOWIFY PHASES'!H269)</f>
        <v>0</v>
      </c>
      <c r="AI269" s="7" t="n">
        <f aca="false">N('KNOWIFY PHASES'!O269)</f>
        <v>0</v>
      </c>
      <c r="AJ269" s="7" t="n">
        <f aca="false">N('KNOWIFY PHASES'!N269)</f>
        <v>0</v>
      </c>
      <c r="AK269" s="7" t="n">
        <f aca="false">N('KNOWIFY PHASES'!R269)</f>
        <v>0</v>
      </c>
      <c r="AL269" s="7" t="n">
        <f aca="false">N('KNOWIFY PHASES'!Q269)</f>
        <v>0</v>
      </c>
      <c r="AM269" s="7" t="n">
        <f aca="false">N('KNOWIFY PHASES'!F269)</f>
        <v>0</v>
      </c>
      <c r="AN269" s="7" t="n">
        <f aca="false">N('KNOWIFY PHASES'!E269)</f>
        <v>0</v>
      </c>
      <c r="AO269" s="7" t="n">
        <f aca="false">MAX(AE269,AF269)</f>
        <v>0</v>
      </c>
      <c r="AP269" s="7" t="n">
        <f aca="false">MAX(AG269,AH269)</f>
        <v>0</v>
      </c>
      <c r="AQ269" s="7" t="n">
        <f aca="false">MAX(AI269,AJ269)</f>
        <v>0</v>
      </c>
      <c r="AR269" s="7" t="n">
        <f aca="false">MAX(AK269,AL269)</f>
        <v>0</v>
      </c>
      <c r="AT269" s="7" t="str">
        <f aca="false">IF('KNOWIFY TIME'!B269="","",'KNOWIFY TIME'!B269)</f>
        <v/>
      </c>
      <c r="AU269" s="7" t="n">
        <f aca="false">IF(AT269="",0,IF(ISNUMBER('KNOWIFY TIME'!D269),'KNOWIFY TIME'!D269*24,IFERROR(VALUE(LEFT('KNOWIFY TIME'!D269,FIND(":",'KNOWIFY TIME'!D269)-1))+VALUE(MID('KNOWIFY TIME'!D269,FIND(":",'KNOWIFY TIME'!D269)+1,2))/60,0)))</f>
        <v>0</v>
      </c>
      <c r="AV269" s="7" t="n">
        <f aca="false">N('KNOWIFY TIME'!E269)</f>
        <v>0</v>
      </c>
      <c r="AW269" s="7" t="str">
        <f aca="false">IF(AT269="","",IFERROR(INDEX($BD$5:$BD$60,MATCH(AT269,$BC$5:$BC$60,0)),"Unmapped"))</f>
        <v/>
      </c>
    </row>
    <row r="270" customFormat="false" ht="15" hidden="false" customHeight="false" outlineLevel="0" collapsed="false">
      <c r="AA270" s="7" t="str">
        <f aca="false">IF('KNOWIFY PHASES'!A270="","",'KNOWIFY PHASES'!A270)</f>
        <v/>
      </c>
      <c r="AB270" s="7" t="str">
        <f aca="false">IF(AA270="","",IF(LEFT(AA270,4)="P - ","P",IF(LEFT(AA270,4)="H - ","H",IF(LEFT(AA270,5)="AC - ","AC",IF(OR(LEFT(AA270,4)="V - ",LEFT(AA270,7)="HVAC - "),"V","Other")))))</f>
        <v/>
      </c>
      <c r="AC270" s="7" t="str">
        <f aca="false">IF(AA270="","",IFERROR(LOOKUP(2,1/(($AZ$5:$AZ$60&lt;&gt;"")*ISNUMBER(SEARCH($AZ$5:$AZ$60,AA270))),$BA$5:$BA$60),IF(AB270="Other","Excluded","Unmapped")))</f>
        <v/>
      </c>
      <c r="AD270" s="7" t="str">
        <f aca="false">IF(AA270="","",IF(AND(AB270&lt;&gt;"Other",OR(AND('KNOWIFY PHASES'!B270="Closed",N('KNOWIFY PHASES'!D270)&gt;=0.5),N('KNOWIFY PHASES'!D270)&gt;=1)),1,0))</f>
        <v/>
      </c>
      <c r="AE270" s="7" t="n">
        <f aca="false">N('KNOWIFY PHASES'!L270)</f>
        <v>0</v>
      </c>
      <c r="AF270" s="7" t="n">
        <f aca="false">N('KNOWIFY PHASES'!K270)</f>
        <v>0</v>
      </c>
      <c r="AG270" s="7" t="n">
        <f aca="false">N('KNOWIFY PHASES'!I270)</f>
        <v>0</v>
      </c>
      <c r="AH270" s="7" t="n">
        <f aca="false">N('KNOWIFY PHASES'!H270)</f>
        <v>0</v>
      </c>
      <c r="AI270" s="7" t="n">
        <f aca="false">N('KNOWIFY PHASES'!O270)</f>
        <v>0</v>
      </c>
      <c r="AJ270" s="7" t="n">
        <f aca="false">N('KNOWIFY PHASES'!N270)</f>
        <v>0</v>
      </c>
      <c r="AK270" s="7" t="n">
        <f aca="false">N('KNOWIFY PHASES'!R270)</f>
        <v>0</v>
      </c>
      <c r="AL270" s="7" t="n">
        <f aca="false">N('KNOWIFY PHASES'!Q270)</f>
        <v>0</v>
      </c>
      <c r="AM270" s="7" t="n">
        <f aca="false">N('KNOWIFY PHASES'!F270)</f>
        <v>0</v>
      </c>
      <c r="AN270" s="7" t="n">
        <f aca="false">N('KNOWIFY PHASES'!E270)</f>
        <v>0</v>
      </c>
      <c r="AO270" s="7" t="n">
        <f aca="false">MAX(AE270,AF270)</f>
        <v>0</v>
      </c>
      <c r="AP270" s="7" t="n">
        <f aca="false">MAX(AG270,AH270)</f>
        <v>0</v>
      </c>
      <c r="AQ270" s="7" t="n">
        <f aca="false">MAX(AI270,AJ270)</f>
        <v>0</v>
      </c>
      <c r="AR270" s="7" t="n">
        <f aca="false">MAX(AK270,AL270)</f>
        <v>0</v>
      </c>
      <c r="AT270" s="7" t="str">
        <f aca="false">IF('KNOWIFY TIME'!B270="","",'KNOWIFY TIME'!B270)</f>
        <v/>
      </c>
      <c r="AU270" s="7" t="n">
        <f aca="false">IF(AT270="",0,IF(ISNUMBER('KNOWIFY TIME'!D270),'KNOWIFY TIME'!D270*24,IFERROR(VALUE(LEFT('KNOWIFY TIME'!D270,FIND(":",'KNOWIFY TIME'!D270)-1))+VALUE(MID('KNOWIFY TIME'!D270,FIND(":",'KNOWIFY TIME'!D270)+1,2))/60,0)))</f>
        <v>0</v>
      </c>
      <c r="AV270" s="7" t="n">
        <f aca="false">N('KNOWIFY TIME'!E270)</f>
        <v>0</v>
      </c>
      <c r="AW270" s="7" t="str">
        <f aca="false">IF(AT270="","",IFERROR(INDEX($BD$5:$BD$60,MATCH(AT270,$BC$5:$BC$60,0)),"Unmapped"))</f>
        <v/>
      </c>
    </row>
    <row r="271" customFormat="false" ht="15" hidden="false" customHeight="false" outlineLevel="0" collapsed="false">
      <c r="AA271" s="7" t="str">
        <f aca="false">IF('KNOWIFY PHASES'!A271="","",'KNOWIFY PHASES'!A271)</f>
        <v/>
      </c>
      <c r="AB271" s="7" t="str">
        <f aca="false">IF(AA271="","",IF(LEFT(AA271,4)="P - ","P",IF(LEFT(AA271,4)="H - ","H",IF(LEFT(AA271,5)="AC - ","AC",IF(OR(LEFT(AA271,4)="V - ",LEFT(AA271,7)="HVAC - "),"V","Other")))))</f>
        <v/>
      </c>
      <c r="AC271" s="7" t="str">
        <f aca="false">IF(AA271="","",IFERROR(LOOKUP(2,1/(($AZ$5:$AZ$60&lt;&gt;"")*ISNUMBER(SEARCH($AZ$5:$AZ$60,AA271))),$BA$5:$BA$60),IF(AB271="Other","Excluded","Unmapped")))</f>
        <v/>
      </c>
      <c r="AD271" s="7" t="str">
        <f aca="false">IF(AA271="","",IF(AND(AB271&lt;&gt;"Other",OR(AND('KNOWIFY PHASES'!B271="Closed",N('KNOWIFY PHASES'!D271)&gt;=0.5),N('KNOWIFY PHASES'!D271)&gt;=1)),1,0))</f>
        <v/>
      </c>
      <c r="AE271" s="7" t="n">
        <f aca="false">N('KNOWIFY PHASES'!L271)</f>
        <v>0</v>
      </c>
      <c r="AF271" s="7" t="n">
        <f aca="false">N('KNOWIFY PHASES'!K271)</f>
        <v>0</v>
      </c>
      <c r="AG271" s="7" t="n">
        <f aca="false">N('KNOWIFY PHASES'!I271)</f>
        <v>0</v>
      </c>
      <c r="AH271" s="7" t="n">
        <f aca="false">N('KNOWIFY PHASES'!H271)</f>
        <v>0</v>
      </c>
      <c r="AI271" s="7" t="n">
        <f aca="false">N('KNOWIFY PHASES'!O271)</f>
        <v>0</v>
      </c>
      <c r="AJ271" s="7" t="n">
        <f aca="false">N('KNOWIFY PHASES'!N271)</f>
        <v>0</v>
      </c>
      <c r="AK271" s="7" t="n">
        <f aca="false">N('KNOWIFY PHASES'!R271)</f>
        <v>0</v>
      </c>
      <c r="AL271" s="7" t="n">
        <f aca="false">N('KNOWIFY PHASES'!Q271)</f>
        <v>0</v>
      </c>
      <c r="AM271" s="7" t="n">
        <f aca="false">N('KNOWIFY PHASES'!F271)</f>
        <v>0</v>
      </c>
      <c r="AN271" s="7" t="n">
        <f aca="false">N('KNOWIFY PHASES'!E271)</f>
        <v>0</v>
      </c>
      <c r="AO271" s="7" t="n">
        <f aca="false">MAX(AE271,AF271)</f>
        <v>0</v>
      </c>
      <c r="AP271" s="7" t="n">
        <f aca="false">MAX(AG271,AH271)</f>
        <v>0</v>
      </c>
      <c r="AQ271" s="7" t="n">
        <f aca="false">MAX(AI271,AJ271)</f>
        <v>0</v>
      </c>
      <c r="AR271" s="7" t="n">
        <f aca="false">MAX(AK271,AL271)</f>
        <v>0</v>
      </c>
      <c r="AT271" s="7" t="str">
        <f aca="false">IF('KNOWIFY TIME'!B271="","",'KNOWIFY TIME'!B271)</f>
        <v/>
      </c>
      <c r="AU271" s="7" t="n">
        <f aca="false">IF(AT271="",0,IF(ISNUMBER('KNOWIFY TIME'!D271),'KNOWIFY TIME'!D271*24,IFERROR(VALUE(LEFT('KNOWIFY TIME'!D271,FIND(":",'KNOWIFY TIME'!D271)-1))+VALUE(MID('KNOWIFY TIME'!D271,FIND(":",'KNOWIFY TIME'!D271)+1,2))/60,0)))</f>
        <v>0</v>
      </c>
      <c r="AV271" s="7" t="n">
        <f aca="false">N('KNOWIFY TIME'!E271)</f>
        <v>0</v>
      </c>
      <c r="AW271" s="7" t="str">
        <f aca="false">IF(AT271="","",IFERROR(INDEX($BD$5:$BD$60,MATCH(AT271,$BC$5:$BC$60,0)),"Unmapped"))</f>
        <v/>
      </c>
    </row>
    <row r="272" customFormat="false" ht="15" hidden="false" customHeight="false" outlineLevel="0" collapsed="false">
      <c r="AA272" s="7" t="str">
        <f aca="false">IF('KNOWIFY PHASES'!A272="","",'KNOWIFY PHASES'!A272)</f>
        <v/>
      </c>
      <c r="AB272" s="7" t="str">
        <f aca="false">IF(AA272="","",IF(LEFT(AA272,4)="P - ","P",IF(LEFT(AA272,4)="H - ","H",IF(LEFT(AA272,5)="AC - ","AC",IF(OR(LEFT(AA272,4)="V - ",LEFT(AA272,7)="HVAC - "),"V","Other")))))</f>
        <v/>
      </c>
      <c r="AC272" s="7" t="str">
        <f aca="false">IF(AA272="","",IFERROR(LOOKUP(2,1/(($AZ$5:$AZ$60&lt;&gt;"")*ISNUMBER(SEARCH($AZ$5:$AZ$60,AA272))),$BA$5:$BA$60),IF(AB272="Other","Excluded","Unmapped")))</f>
        <v/>
      </c>
      <c r="AD272" s="7" t="str">
        <f aca="false">IF(AA272="","",IF(AND(AB272&lt;&gt;"Other",OR(AND('KNOWIFY PHASES'!B272="Closed",N('KNOWIFY PHASES'!D272)&gt;=0.5),N('KNOWIFY PHASES'!D272)&gt;=1)),1,0))</f>
        <v/>
      </c>
      <c r="AE272" s="7" t="n">
        <f aca="false">N('KNOWIFY PHASES'!L272)</f>
        <v>0</v>
      </c>
      <c r="AF272" s="7" t="n">
        <f aca="false">N('KNOWIFY PHASES'!K272)</f>
        <v>0</v>
      </c>
      <c r="AG272" s="7" t="n">
        <f aca="false">N('KNOWIFY PHASES'!I272)</f>
        <v>0</v>
      </c>
      <c r="AH272" s="7" t="n">
        <f aca="false">N('KNOWIFY PHASES'!H272)</f>
        <v>0</v>
      </c>
      <c r="AI272" s="7" t="n">
        <f aca="false">N('KNOWIFY PHASES'!O272)</f>
        <v>0</v>
      </c>
      <c r="AJ272" s="7" t="n">
        <f aca="false">N('KNOWIFY PHASES'!N272)</f>
        <v>0</v>
      </c>
      <c r="AK272" s="7" t="n">
        <f aca="false">N('KNOWIFY PHASES'!R272)</f>
        <v>0</v>
      </c>
      <c r="AL272" s="7" t="n">
        <f aca="false">N('KNOWIFY PHASES'!Q272)</f>
        <v>0</v>
      </c>
      <c r="AM272" s="7" t="n">
        <f aca="false">N('KNOWIFY PHASES'!F272)</f>
        <v>0</v>
      </c>
      <c r="AN272" s="7" t="n">
        <f aca="false">N('KNOWIFY PHASES'!E272)</f>
        <v>0</v>
      </c>
      <c r="AO272" s="7" t="n">
        <f aca="false">MAX(AE272,AF272)</f>
        <v>0</v>
      </c>
      <c r="AP272" s="7" t="n">
        <f aca="false">MAX(AG272,AH272)</f>
        <v>0</v>
      </c>
      <c r="AQ272" s="7" t="n">
        <f aca="false">MAX(AI272,AJ272)</f>
        <v>0</v>
      </c>
      <c r="AR272" s="7" t="n">
        <f aca="false">MAX(AK272,AL272)</f>
        <v>0</v>
      </c>
      <c r="AT272" s="7" t="str">
        <f aca="false">IF('KNOWIFY TIME'!B272="","",'KNOWIFY TIME'!B272)</f>
        <v/>
      </c>
      <c r="AU272" s="7" t="n">
        <f aca="false">IF(AT272="",0,IF(ISNUMBER('KNOWIFY TIME'!D272),'KNOWIFY TIME'!D272*24,IFERROR(VALUE(LEFT('KNOWIFY TIME'!D272,FIND(":",'KNOWIFY TIME'!D272)-1))+VALUE(MID('KNOWIFY TIME'!D272,FIND(":",'KNOWIFY TIME'!D272)+1,2))/60,0)))</f>
        <v>0</v>
      </c>
      <c r="AV272" s="7" t="n">
        <f aca="false">N('KNOWIFY TIME'!E272)</f>
        <v>0</v>
      </c>
      <c r="AW272" s="7" t="str">
        <f aca="false">IF(AT272="","",IFERROR(INDEX($BD$5:$BD$60,MATCH(AT272,$BC$5:$BC$60,0)),"Unmapped"))</f>
        <v/>
      </c>
    </row>
    <row r="273" customFormat="false" ht="15" hidden="false" customHeight="false" outlineLevel="0" collapsed="false">
      <c r="AA273" s="7" t="str">
        <f aca="false">IF('KNOWIFY PHASES'!A273="","",'KNOWIFY PHASES'!A273)</f>
        <v/>
      </c>
      <c r="AB273" s="7" t="str">
        <f aca="false">IF(AA273="","",IF(LEFT(AA273,4)="P - ","P",IF(LEFT(AA273,4)="H - ","H",IF(LEFT(AA273,5)="AC - ","AC",IF(OR(LEFT(AA273,4)="V - ",LEFT(AA273,7)="HVAC - "),"V","Other")))))</f>
        <v/>
      </c>
      <c r="AC273" s="7" t="str">
        <f aca="false">IF(AA273="","",IFERROR(LOOKUP(2,1/(($AZ$5:$AZ$60&lt;&gt;"")*ISNUMBER(SEARCH($AZ$5:$AZ$60,AA273))),$BA$5:$BA$60),IF(AB273="Other","Excluded","Unmapped")))</f>
        <v/>
      </c>
      <c r="AD273" s="7" t="str">
        <f aca="false">IF(AA273="","",IF(AND(AB273&lt;&gt;"Other",OR(AND('KNOWIFY PHASES'!B273="Closed",N('KNOWIFY PHASES'!D273)&gt;=0.5),N('KNOWIFY PHASES'!D273)&gt;=1)),1,0))</f>
        <v/>
      </c>
      <c r="AE273" s="7" t="n">
        <f aca="false">N('KNOWIFY PHASES'!L273)</f>
        <v>0</v>
      </c>
      <c r="AF273" s="7" t="n">
        <f aca="false">N('KNOWIFY PHASES'!K273)</f>
        <v>0</v>
      </c>
      <c r="AG273" s="7" t="n">
        <f aca="false">N('KNOWIFY PHASES'!I273)</f>
        <v>0</v>
      </c>
      <c r="AH273" s="7" t="n">
        <f aca="false">N('KNOWIFY PHASES'!H273)</f>
        <v>0</v>
      </c>
      <c r="AI273" s="7" t="n">
        <f aca="false">N('KNOWIFY PHASES'!O273)</f>
        <v>0</v>
      </c>
      <c r="AJ273" s="7" t="n">
        <f aca="false">N('KNOWIFY PHASES'!N273)</f>
        <v>0</v>
      </c>
      <c r="AK273" s="7" t="n">
        <f aca="false">N('KNOWIFY PHASES'!R273)</f>
        <v>0</v>
      </c>
      <c r="AL273" s="7" t="n">
        <f aca="false">N('KNOWIFY PHASES'!Q273)</f>
        <v>0</v>
      </c>
      <c r="AM273" s="7" t="n">
        <f aca="false">N('KNOWIFY PHASES'!F273)</f>
        <v>0</v>
      </c>
      <c r="AN273" s="7" t="n">
        <f aca="false">N('KNOWIFY PHASES'!E273)</f>
        <v>0</v>
      </c>
      <c r="AO273" s="7" t="n">
        <f aca="false">MAX(AE273,AF273)</f>
        <v>0</v>
      </c>
      <c r="AP273" s="7" t="n">
        <f aca="false">MAX(AG273,AH273)</f>
        <v>0</v>
      </c>
      <c r="AQ273" s="7" t="n">
        <f aca="false">MAX(AI273,AJ273)</f>
        <v>0</v>
      </c>
      <c r="AR273" s="7" t="n">
        <f aca="false">MAX(AK273,AL273)</f>
        <v>0</v>
      </c>
      <c r="AT273" s="7" t="str">
        <f aca="false">IF('KNOWIFY TIME'!B273="","",'KNOWIFY TIME'!B273)</f>
        <v/>
      </c>
      <c r="AU273" s="7" t="n">
        <f aca="false">IF(AT273="",0,IF(ISNUMBER('KNOWIFY TIME'!D273),'KNOWIFY TIME'!D273*24,IFERROR(VALUE(LEFT('KNOWIFY TIME'!D273,FIND(":",'KNOWIFY TIME'!D273)-1))+VALUE(MID('KNOWIFY TIME'!D273,FIND(":",'KNOWIFY TIME'!D273)+1,2))/60,0)))</f>
        <v>0</v>
      </c>
      <c r="AV273" s="7" t="n">
        <f aca="false">N('KNOWIFY TIME'!E273)</f>
        <v>0</v>
      </c>
      <c r="AW273" s="7" t="str">
        <f aca="false">IF(AT273="","",IFERROR(INDEX($BD$5:$BD$60,MATCH(AT273,$BC$5:$BC$60,0)),"Unmapped"))</f>
        <v/>
      </c>
    </row>
    <row r="274" customFormat="false" ht="15" hidden="false" customHeight="false" outlineLevel="0" collapsed="false">
      <c r="AA274" s="7" t="str">
        <f aca="false">IF('KNOWIFY PHASES'!A274="","",'KNOWIFY PHASES'!A274)</f>
        <v/>
      </c>
      <c r="AB274" s="7" t="str">
        <f aca="false">IF(AA274="","",IF(LEFT(AA274,4)="P - ","P",IF(LEFT(AA274,4)="H - ","H",IF(LEFT(AA274,5)="AC - ","AC",IF(OR(LEFT(AA274,4)="V - ",LEFT(AA274,7)="HVAC - "),"V","Other")))))</f>
        <v/>
      </c>
      <c r="AC274" s="7" t="str">
        <f aca="false">IF(AA274="","",IFERROR(LOOKUP(2,1/(($AZ$5:$AZ$60&lt;&gt;"")*ISNUMBER(SEARCH($AZ$5:$AZ$60,AA274))),$BA$5:$BA$60),IF(AB274="Other","Excluded","Unmapped")))</f>
        <v/>
      </c>
      <c r="AD274" s="7" t="str">
        <f aca="false">IF(AA274="","",IF(AND(AB274&lt;&gt;"Other",OR(AND('KNOWIFY PHASES'!B274="Closed",N('KNOWIFY PHASES'!D274)&gt;=0.5),N('KNOWIFY PHASES'!D274)&gt;=1)),1,0))</f>
        <v/>
      </c>
      <c r="AE274" s="7" t="n">
        <f aca="false">N('KNOWIFY PHASES'!L274)</f>
        <v>0</v>
      </c>
      <c r="AF274" s="7" t="n">
        <f aca="false">N('KNOWIFY PHASES'!K274)</f>
        <v>0</v>
      </c>
      <c r="AG274" s="7" t="n">
        <f aca="false">N('KNOWIFY PHASES'!I274)</f>
        <v>0</v>
      </c>
      <c r="AH274" s="7" t="n">
        <f aca="false">N('KNOWIFY PHASES'!H274)</f>
        <v>0</v>
      </c>
      <c r="AI274" s="7" t="n">
        <f aca="false">N('KNOWIFY PHASES'!O274)</f>
        <v>0</v>
      </c>
      <c r="AJ274" s="7" t="n">
        <f aca="false">N('KNOWIFY PHASES'!N274)</f>
        <v>0</v>
      </c>
      <c r="AK274" s="7" t="n">
        <f aca="false">N('KNOWIFY PHASES'!R274)</f>
        <v>0</v>
      </c>
      <c r="AL274" s="7" t="n">
        <f aca="false">N('KNOWIFY PHASES'!Q274)</f>
        <v>0</v>
      </c>
      <c r="AM274" s="7" t="n">
        <f aca="false">N('KNOWIFY PHASES'!F274)</f>
        <v>0</v>
      </c>
      <c r="AN274" s="7" t="n">
        <f aca="false">N('KNOWIFY PHASES'!E274)</f>
        <v>0</v>
      </c>
      <c r="AO274" s="7" t="n">
        <f aca="false">MAX(AE274,AF274)</f>
        <v>0</v>
      </c>
      <c r="AP274" s="7" t="n">
        <f aca="false">MAX(AG274,AH274)</f>
        <v>0</v>
      </c>
      <c r="AQ274" s="7" t="n">
        <f aca="false">MAX(AI274,AJ274)</f>
        <v>0</v>
      </c>
      <c r="AR274" s="7" t="n">
        <f aca="false">MAX(AK274,AL274)</f>
        <v>0</v>
      </c>
      <c r="AT274" s="7" t="str">
        <f aca="false">IF('KNOWIFY TIME'!B274="","",'KNOWIFY TIME'!B274)</f>
        <v/>
      </c>
      <c r="AU274" s="7" t="n">
        <f aca="false">IF(AT274="",0,IF(ISNUMBER('KNOWIFY TIME'!D274),'KNOWIFY TIME'!D274*24,IFERROR(VALUE(LEFT('KNOWIFY TIME'!D274,FIND(":",'KNOWIFY TIME'!D274)-1))+VALUE(MID('KNOWIFY TIME'!D274,FIND(":",'KNOWIFY TIME'!D274)+1,2))/60,0)))</f>
        <v>0</v>
      </c>
      <c r="AV274" s="7" t="n">
        <f aca="false">N('KNOWIFY TIME'!E274)</f>
        <v>0</v>
      </c>
      <c r="AW274" s="7" t="str">
        <f aca="false">IF(AT274="","",IFERROR(INDEX($BD$5:$BD$60,MATCH(AT274,$BC$5:$BC$60,0)),"Unmapped"))</f>
        <v/>
      </c>
    </row>
    <row r="275" customFormat="false" ht="15" hidden="false" customHeight="false" outlineLevel="0" collapsed="false">
      <c r="AA275" s="7" t="str">
        <f aca="false">IF('KNOWIFY PHASES'!A275="","",'KNOWIFY PHASES'!A275)</f>
        <v/>
      </c>
      <c r="AB275" s="7" t="str">
        <f aca="false">IF(AA275="","",IF(LEFT(AA275,4)="P - ","P",IF(LEFT(AA275,4)="H - ","H",IF(LEFT(AA275,5)="AC - ","AC",IF(OR(LEFT(AA275,4)="V - ",LEFT(AA275,7)="HVAC - "),"V","Other")))))</f>
        <v/>
      </c>
      <c r="AC275" s="7" t="str">
        <f aca="false">IF(AA275="","",IFERROR(LOOKUP(2,1/(($AZ$5:$AZ$60&lt;&gt;"")*ISNUMBER(SEARCH($AZ$5:$AZ$60,AA275))),$BA$5:$BA$60),IF(AB275="Other","Excluded","Unmapped")))</f>
        <v/>
      </c>
      <c r="AD275" s="7" t="str">
        <f aca="false">IF(AA275="","",IF(AND(AB275&lt;&gt;"Other",OR(AND('KNOWIFY PHASES'!B275="Closed",N('KNOWIFY PHASES'!D275)&gt;=0.5),N('KNOWIFY PHASES'!D275)&gt;=1)),1,0))</f>
        <v/>
      </c>
      <c r="AE275" s="7" t="n">
        <f aca="false">N('KNOWIFY PHASES'!L275)</f>
        <v>0</v>
      </c>
      <c r="AF275" s="7" t="n">
        <f aca="false">N('KNOWIFY PHASES'!K275)</f>
        <v>0</v>
      </c>
      <c r="AG275" s="7" t="n">
        <f aca="false">N('KNOWIFY PHASES'!I275)</f>
        <v>0</v>
      </c>
      <c r="AH275" s="7" t="n">
        <f aca="false">N('KNOWIFY PHASES'!H275)</f>
        <v>0</v>
      </c>
      <c r="AI275" s="7" t="n">
        <f aca="false">N('KNOWIFY PHASES'!O275)</f>
        <v>0</v>
      </c>
      <c r="AJ275" s="7" t="n">
        <f aca="false">N('KNOWIFY PHASES'!N275)</f>
        <v>0</v>
      </c>
      <c r="AK275" s="7" t="n">
        <f aca="false">N('KNOWIFY PHASES'!R275)</f>
        <v>0</v>
      </c>
      <c r="AL275" s="7" t="n">
        <f aca="false">N('KNOWIFY PHASES'!Q275)</f>
        <v>0</v>
      </c>
      <c r="AM275" s="7" t="n">
        <f aca="false">N('KNOWIFY PHASES'!F275)</f>
        <v>0</v>
      </c>
      <c r="AN275" s="7" t="n">
        <f aca="false">N('KNOWIFY PHASES'!E275)</f>
        <v>0</v>
      </c>
      <c r="AO275" s="7" t="n">
        <f aca="false">MAX(AE275,AF275)</f>
        <v>0</v>
      </c>
      <c r="AP275" s="7" t="n">
        <f aca="false">MAX(AG275,AH275)</f>
        <v>0</v>
      </c>
      <c r="AQ275" s="7" t="n">
        <f aca="false">MAX(AI275,AJ275)</f>
        <v>0</v>
      </c>
      <c r="AR275" s="7" t="n">
        <f aca="false">MAX(AK275,AL275)</f>
        <v>0</v>
      </c>
      <c r="AT275" s="7" t="str">
        <f aca="false">IF('KNOWIFY TIME'!B275="","",'KNOWIFY TIME'!B275)</f>
        <v/>
      </c>
      <c r="AU275" s="7" t="n">
        <f aca="false">IF(AT275="",0,IF(ISNUMBER('KNOWIFY TIME'!D275),'KNOWIFY TIME'!D275*24,IFERROR(VALUE(LEFT('KNOWIFY TIME'!D275,FIND(":",'KNOWIFY TIME'!D275)-1))+VALUE(MID('KNOWIFY TIME'!D275,FIND(":",'KNOWIFY TIME'!D275)+1,2))/60,0)))</f>
        <v>0</v>
      </c>
      <c r="AV275" s="7" t="n">
        <f aca="false">N('KNOWIFY TIME'!E275)</f>
        <v>0</v>
      </c>
      <c r="AW275" s="7" t="str">
        <f aca="false">IF(AT275="","",IFERROR(INDEX($BD$5:$BD$60,MATCH(AT275,$BC$5:$BC$60,0)),"Unmapped"))</f>
        <v/>
      </c>
    </row>
    <row r="276" customFormat="false" ht="15" hidden="false" customHeight="false" outlineLevel="0" collapsed="false">
      <c r="AA276" s="7" t="str">
        <f aca="false">IF('KNOWIFY PHASES'!A276="","",'KNOWIFY PHASES'!A276)</f>
        <v/>
      </c>
      <c r="AB276" s="7" t="str">
        <f aca="false">IF(AA276="","",IF(LEFT(AA276,4)="P - ","P",IF(LEFT(AA276,4)="H - ","H",IF(LEFT(AA276,5)="AC - ","AC",IF(OR(LEFT(AA276,4)="V - ",LEFT(AA276,7)="HVAC - "),"V","Other")))))</f>
        <v/>
      </c>
      <c r="AC276" s="7" t="str">
        <f aca="false">IF(AA276="","",IFERROR(LOOKUP(2,1/(($AZ$5:$AZ$60&lt;&gt;"")*ISNUMBER(SEARCH($AZ$5:$AZ$60,AA276))),$BA$5:$BA$60),IF(AB276="Other","Excluded","Unmapped")))</f>
        <v/>
      </c>
      <c r="AD276" s="7" t="str">
        <f aca="false">IF(AA276="","",IF(AND(AB276&lt;&gt;"Other",OR(AND('KNOWIFY PHASES'!B276="Closed",N('KNOWIFY PHASES'!D276)&gt;=0.5),N('KNOWIFY PHASES'!D276)&gt;=1)),1,0))</f>
        <v/>
      </c>
      <c r="AE276" s="7" t="n">
        <f aca="false">N('KNOWIFY PHASES'!L276)</f>
        <v>0</v>
      </c>
      <c r="AF276" s="7" t="n">
        <f aca="false">N('KNOWIFY PHASES'!K276)</f>
        <v>0</v>
      </c>
      <c r="AG276" s="7" t="n">
        <f aca="false">N('KNOWIFY PHASES'!I276)</f>
        <v>0</v>
      </c>
      <c r="AH276" s="7" t="n">
        <f aca="false">N('KNOWIFY PHASES'!H276)</f>
        <v>0</v>
      </c>
      <c r="AI276" s="7" t="n">
        <f aca="false">N('KNOWIFY PHASES'!O276)</f>
        <v>0</v>
      </c>
      <c r="AJ276" s="7" t="n">
        <f aca="false">N('KNOWIFY PHASES'!N276)</f>
        <v>0</v>
      </c>
      <c r="AK276" s="7" t="n">
        <f aca="false">N('KNOWIFY PHASES'!R276)</f>
        <v>0</v>
      </c>
      <c r="AL276" s="7" t="n">
        <f aca="false">N('KNOWIFY PHASES'!Q276)</f>
        <v>0</v>
      </c>
      <c r="AM276" s="7" t="n">
        <f aca="false">N('KNOWIFY PHASES'!F276)</f>
        <v>0</v>
      </c>
      <c r="AN276" s="7" t="n">
        <f aca="false">N('KNOWIFY PHASES'!E276)</f>
        <v>0</v>
      </c>
      <c r="AO276" s="7" t="n">
        <f aca="false">MAX(AE276,AF276)</f>
        <v>0</v>
      </c>
      <c r="AP276" s="7" t="n">
        <f aca="false">MAX(AG276,AH276)</f>
        <v>0</v>
      </c>
      <c r="AQ276" s="7" t="n">
        <f aca="false">MAX(AI276,AJ276)</f>
        <v>0</v>
      </c>
      <c r="AR276" s="7" t="n">
        <f aca="false">MAX(AK276,AL276)</f>
        <v>0</v>
      </c>
      <c r="AT276" s="7" t="str">
        <f aca="false">IF('KNOWIFY TIME'!B276="","",'KNOWIFY TIME'!B276)</f>
        <v/>
      </c>
      <c r="AU276" s="7" t="n">
        <f aca="false">IF(AT276="",0,IF(ISNUMBER('KNOWIFY TIME'!D276),'KNOWIFY TIME'!D276*24,IFERROR(VALUE(LEFT('KNOWIFY TIME'!D276,FIND(":",'KNOWIFY TIME'!D276)-1))+VALUE(MID('KNOWIFY TIME'!D276,FIND(":",'KNOWIFY TIME'!D276)+1,2))/60,0)))</f>
        <v>0</v>
      </c>
      <c r="AV276" s="7" t="n">
        <f aca="false">N('KNOWIFY TIME'!E276)</f>
        <v>0</v>
      </c>
      <c r="AW276" s="7" t="str">
        <f aca="false">IF(AT276="","",IFERROR(INDEX($BD$5:$BD$60,MATCH(AT276,$BC$5:$BC$60,0)),"Unmapped"))</f>
        <v/>
      </c>
    </row>
    <row r="277" customFormat="false" ht="15" hidden="false" customHeight="false" outlineLevel="0" collapsed="false">
      <c r="AA277" s="7" t="str">
        <f aca="false">IF('KNOWIFY PHASES'!A277="","",'KNOWIFY PHASES'!A277)</f>
        <v/>
      </c>
      <c r="AB277" s="7" t="str">
        <f aca="false">IF(AA277="","",IF(LEFT(AA277,4)="P - ","P",IF(LEFT(AA277,4)="H - ","H",IF(LEFT(AA277,5)="AC - ","AC",IF(OR(LEFT(AA277,4)="V - ",LEFT(AA277,7)="HVAC - "),"V","Other")))))</f>
        <v/>
      </c>
      <c r="AC277" s="7" t="str">
        <f aca="false">IF(AA277="","",IFERROR(LOOKUP(2,1/(($AZ$5:$AZ$60&lt;&gt;"")*ISNUMBER(SEARCH($AZ$5:$AZ$60,AA277))),$BA$5:$BA$60),IF(AB277="Other","Excluded","Unmapped")))</f>
        <v/>
      </c>
      <c r="AD277" s="7" t="str">
        <f aca="false">IF(AA277="","",IF(AND(AB277&lt;&gt;"Other",OR(AND('KNOWIFY PHASES'!B277="Closed",N('KNOWIFY PHASES'!D277)&gt;=0.5),N('KNOWIFY PHASES'!D277)&gt;=1)),1,0))</f>
        <v/>
      </c>
      <c r="AE277" s="7" t="n">
        <f aca="false">N('KNOWIFY PHASES'!L277)</f>
        <v>0</v>
      </c>
      <c r="AF277" s="7" t="n">
        <f aca="false">N('KNOWIFY PHASES'!K277)</f>
        <v>0</v>
      </c>
      <c r="AG277" s="7" t="n">
        <f aca="false">N('KNOWIFY PHASES'!I277)</f>
        <v>0</v>
      </c>
      <c r="AH277" s="7" t="n">
        <f aca="false">N('KNOWIFY PHASES'!H277)</f>
        <v>0</v>
      </c>
      <c r="AI277" s="7" t="n">
        <f aca="false">N('KNOWIFY PHASES'!O277)</f>
        <v>0</v>
      </c>
      <c r="AJ277" s="7" t="n">
        <f aca="false">N('KNOWIFY PHASES'!N277)</f>
        <v>0</v>
      </c>
      <c r="AK277" s="7" t="n">
        <f aca="false">N('KNOWIFY PHASES'!R277)</f>
        <v>0</v>
      </c>
      <c r="AL277" s="7" t="n">
        <f aca="false">N('KNOWIFY PHASES'!Q277)</f>
        <v>0</v>
      </c>
      <c r="AM277" s="7" t="n">
        <f aca="false">N('KNOWIFY PHASES'!F277)</f>
        <v>0</v>
      </c>
      <c r="AN277" s="7" t="n">
        <f aca="false">N('KNOWIFY PHASES'!E277)</f>
        <v>0</v>
      </c>
      <c r="AO277" s="7" t="n">
        <f aca="false">MAX(AE277,AF277)</f>
        <v>0</v>
      </c>
      <c r="AP277" s="7" t="n">
        <f aca="false">MAX(AG277,AH277)</f>
        <v>0</v>
      </c>
      <c r="AQ277" s="7" t="n">
        <f aca="false">MAX(AI277,AJ277)</f>
        <v>0</v>
      </c>
      <c r="AR277" s="7" t="n">
        <f aca="false">MAX(AK277,AL277)</f>
        <v>0</v>
      </c>
      <c r="AT277" s="7" t="str">
        <f aca="false">IF('KNOWIFY TIME'!B277="","",'KNOWIFY TIME'!B277)</f>
        <v/>
      </c>
      <c r="AU277" s="7" t="n">
        <f aca="false">IF(AT277="",0,IF(ISNUMBER('KNOWIFY TIME'!D277),'KNOWIFY TIME'!D277*24,IFERROR(VALUE(LEFT('KNOWIFY TIME'!D277,FIND(":",'KNOWIFY TIME'!D277)-1))+VALUE(MID('KNOWIFY TIME'!D277,FIND(":",'KNOWIFY TIME'!D277)+1,2))/60,0)))</f>
        <v>0</v>
      </c>
      <c r="AV277" s="7" t="n">
        <f aca="false">N('KNOWIFY TIME'!E277)</f>
        <v>0</v>
      </c>
      <c r="AW277" s="7" t="str">
        <f aca="false">IF(AT277="","",IFERROR(INDEX($BD$5:$BD$60,MATCH(AT277,$BC$5:$BC$60,0)),"Unmapped"))</f>
        <v/>
      </c>
    </row>
    <row r="278" customFormat="false" ht="15" hidden="false" customHeight="false" outlineLevel="0" collapsed="false">
      <c r="AA278" s="7" t="str">
        <f aca="false">IF('KNOWIFY PHASES'!A278="","",'KNOWIFY PHASES'!A278)</f>
        <v/>
      </c>
      <c r="AB278" s="7" t="str">
        <f aca="false">IF(AA278="","",IF(LEFT(AA278,4)="P - ","P",IF(LEFT(AA278,4)="H - ","H",IF(LEFT(AA278,5)="AC - ","AC",IF(OR(LEFT(AA278,4)="V - ",LEFT(AA278,7)="HVAC - "),"V","Other")))))</f>
        <v/>
      </c>
      <c r="AC278" s="7" t="str">
        <f aca="false">IF(AA278="","",IFERROR(LOOKUP(2,1/(($AZ$5:$AZ$60&lt;&gt;"")*ISNUMBER(SEARCH($AZ$5:$AZ$60,AA278))),$BA$5:$BA$60),IF(AB278="Other","Excluded","Unmapped")))</f>
        <v/>
      </c>
      <c r="AD278" s="7" t="str">
        <f aca="false">IF(AA278="","",IF(AND(AB278&lt;&gt;"Other",OR(AND('KNOWIFY PHASES'!B278="Closed",N('KNOWIFY PHASES'!D278)&gt;=0.5),N('KNOWIFY PHASES'!D278)&gt;=1)),1,0))</f>
        <v/>
      </c>
      <c r="AE278" s="7" t="n">
        <f aca="false">N('KNOWIFY PHASES'!L278)</f>
        <v>0</v>
      </c>
      <c r="AF278" s="7" t="n">
        <f aca="false">N('KNOWIFY PHASES'!K278)</f>
        <v>0</v>
      </c>
      <c r="AG278" s="7" t="n">
        <f aca="false">N('KNOWIFY PHASES'!I278)</f>
        <v>0</v>
      </c>
      <c r="AH278" s="7" t="n">
        <f aca="false">N('KNOWIFY PHASES'!H278)</f>
        <v>0</v>
      </c>
      <c r="AI278" s="7" t="n">
        <f aca="false">N('KNOWIFY PHASES'!O278)</f>
        <v>0</v>
      </c>
      <c r="AJ278" s="7" t="n">
        <f aca="false">N('KNOWIFY PHASES'!N278)</f>
        <v>0</v>
      </c>
      <c r="AK278" s="7" t="n">
        <f aca="false">N('KNOWIFY PHASES'!R278)</f>
        <v>0</v>
      </c>
      <c r="AL278" s="7" t="n">
        <f aca="false">N('KNOWIFY PHASES'!Q278)</f>
        <v>0</v>
      </c>
      <c r="AM278" s="7" t="n">
        <f aca="false">N('KNOWIFY PHASES'!F278)</f>
        <v>0</v>
      </c>
      <c r="AN278" s="7" t="n">
        <f aca="false">N('KNOWIFY PHASES'!E278)</f>
        <v>0</v>
      </c>
      <c r="AO278" s="7" t="n">
        <f aca="false">MAX(AE278,AF278)</f>
        <v>0</v>
      </c>
      <c r="AP278" s="7" t="n">
        <f aca="false">MAX(AG278,AH278)</f>
        <v>0</v>
      </c>
      <c r="AQ278" s="7" t="n">
        <f aca="false">MAX(AI278,AJ278)</f>
        <v>0</v>
      </c>
      <c r="AR278" s="7" t="n">
        <f aca="false">MAX(AK278,AL278)</f>
        <v>0</v>
      </c>
      <c r="AT278" s="7" t="str">
        <f aca="false">IF('KNOWIFY TIME'!B278="","",'KNOWIFY TIME'!B278)</f>
        <v/>
      </c>
      <c r="AU278" s="7" t="n">
        <f aca="false">IF(AT278="",0,IF(ISNUMBER('KNOWIFY TIME'!D278),'KNOWIFY TIME'!D278*24,IFERROR(VALUE(LEFT('KNOWIFY TIME'!D278,FIND(":",'KNOWIFY TIME'!D278)-1))+VALUE(MID('KNOWIFY TIME'!D278,FIND(":",'KNOWIFY TIME'!D278)+1,2))/60,0)))</f>
        <v>0</v>
      </c>
      <c r="AV278" s="7" t="n">
        <f aca="false">N('KNOWIFY TIME'!E278)</f>
        <v>0</v>
      </c>
      <c r="AW278" s="7" t="str">
        <f aca="false">IF(AT278="","",IFERROR(INDEX($BD$5:$BD$60,MATCH(AT278,$BC$5:$BC$60,0)),"Unmapped"))</f>
        <v/>
      </c>
    </row>
    <row r="279" customFormat="false" ht="15" hidden="false" customHeight="false" outlineLevel="0" collapsed="false">
      <c r="AA279" s="7" t="str">
        <f aca="false">IF('KNOWIFY PHASES'!A279="","",'KNOWIFY PHASES'!A279)</f>
        <v/>
      </c>
      <c r="AB279" s="7" t="str">
        <f aca="false">IF(AA279="","",IF(LEFT(AA279,4)="P - ","P",IF(LEFT(AA279,4)="H - ","H",IF(LEFT(AA279,5)="AC - ","AC",IF(OR(LEFT(AA279,4)="V - ",LEFT(AA279,7)="HVAC - "),"V","Other")))))</f>
        <v/>
      </c>
      <c r="AC279" s="7" t="str">
        <f aca="false">IF(AA279="","",IFERROR(LOOKUP(2,1/(($AZ$5:$AZ$60&lt;&gt;"")*ISNUMBER(SEARCH($AZ$5:$AZ$60,AA279))),$BA$5:$BA$60),IF(AB279="Other","Excluded","Unmapped")))</f>
        <v/>
      </c>
      <c r="AD279" s="7" t="str">
        <f aca="false">IF(AA279="","",IF(AND(AB279&lt;&gt;"Other",OR(AND('KNOWIFY PHASES'!B279="Closed",N('KNOWIFY PHASES'!D279)&gt;=0.5),N('KNOWIFY PHASES'!D279)&gt;=1)),1,0))</f>
        <v/>
      </c>
      <c r="AE279" s="7" t="n">
        <f aca="false">N('KNOWIFY PHASES'!L279)</f>
        <v>0</v>
      </c>
      <c r="AF279" s="7" t="n">
        <f aca="false">N('KNOWIFY PHASES'!K279)</f>
        <v>0</v>
      </c>
      <c r="AG279" s="7" t="n">
        <f aca="false">N('KNOWIFY PHASES'!I279)</f>
        <v>0</v>
      </c>
      <c r="AH279" s="7" t="n">
        <f aca="false">N('KNOWIFY PHASES'!H279)</f>
        <v>0</v>
      </c>
      <c r="AI279" s="7" t="n">
        <f aca="false">N('KNOWIFY PHASES'!O279)</f>
        <v>0</v>
      </c>
      <c r="AJ279" s="7" t="n">
        <f aca="false">N('KNOWIFY PHASES'!N279)</f>
        <v>0</v>
      </c>
      <c r="AK279" s="7" t="n">
        <f aca="false">N('KNOWIFY PHASES'!R279)</f>
        <v>0</v>
      </c>
      <c r="AL279" s="7" t="n">
        <f aca="false">N('KNOWIFY PHASES'!Q279)</f>
        <v>0</v>
      </c>
      <c r="AM279" s="7" t="n">
        <f aca="false">N('KNOWIFY PHASES'!F279)</f>
        <v>0</v>
      </c>
      <c r="AN279" s="7" t="n">
        <f aca="false">N('KNOWIFY PHASES'!E279)</f>
        <v>0</v>
      </c>
      <c r="AO279" s="7" t="n">
        <f aca="false">MAX(AE279,AF279)</f>
        <v>0</v>
      </c>
      <c r="AP279" s="7" t="n">
        <f aca="false">MAX(AG279,AH279)</f>
        <v>0</v>
      </c>
      <c r="AQ279" s="7" t="n">
        <f aca="false">MAX(AI279,AJ279)</f>
        <v>0</v>
      </c>
      <c r="AR279" s="7" t="n">
        <f aca="false">MAX(AK279,AL279)</f>
        <v>0</v>
      </c>
      <c r="AT279" s="7" t="str">
        <f aca="false">IF('KNOWIFY TIME'!B279="","",'KNOWIFY TIME'!B279)</f>
        <v/>
      </c>
      <c r="AU279" s="7" t="n">
        <f aca="false">IF(AT279="",0,IF(ISNUMBER('KNOWIFY TIME'!D279),'KNOWIFY TIME'!D279*24,IFERROR(VALUE(LEFT('KNOWIFY TIME'!D279,FIND(":",'KNOWIFY TIME'!D279)-1))+VALUE(MID('KNOWIFY TIME'!D279,FIND(":",'KNOWIFY TIME'!D279)+1,2))/60,0)))</f>
        <v>0</v>
      </c>
      <c r="AV279" s="7" t="n">
        <f aca="false">N('KNOWIFY TIME'!E279)</f>
        <v>0</v>
      </c>
      <c r="AW279" s="7" t="str">
        <f aca="false">IF(AT279="","",IFERROR(INDEX($BD$5:$BD$60,MATCH(AT279,$BC$5:$BC$60,0)),"Unmapped"))</f>
        <v/>
      </c>
    </row>
    <row r="280" customFormat="false" ht="15" hidden="false" customHeight="false" outlineLevel="0" collapsed="false">
      <c r="AA280" s="7" t="str">
        <f aca="false">IF('KNOWIFY PHASES'!A280="","",'KNOWIFY PHASES'!A280)</f>
        <v/>
      </c>
      <c r="AB280" s="7" t="str">
        <f aca="false">IF(AA280="","",IF(LEFT(AA280,4)="P - ","P",IF(LEFT(AA280,4)="H - ","H",IF(LEFT(AA280,5)="AC - ","AC",IF(OR(LEFT(AA280,4)="V - ",LEFT(AA280,7)="HVAC - "),"V","Other")))))</f>
        <v/>
      </c>
      <c r="AC280" s="7" t="str">
        <f aca="false">IF(AA280="","",IFERROR(LOOKUP(2,1/(($AZ$5:$AZ$60&lt;&gt;"")*ISNUMBER(SEARCH($AZ$5:$AZ$60,AA280))),$BA$5:$BA$60),IF(AB280="Other","Excluded","Unmapped")))</f>
        <v/>
      </c>
      <c r="AD280" s="7" t="str">
        <f aca="false">IF(AA280="","",IF(AND(AB280&lt;&gt;"Other",OR(AND('KNOWIFY PHASES'!B280="Closed",N('KNOWIFY PHASES'!D280)&gt;=0.5),N('KNOWIFY PHASES'!D280)&gt;=1)),1,0))</f>
        <v/>
      </c>
      <c r="AE280" s="7" t="n">
        <f aca="false">N('KNOWIFY PHASES'!L280)</f>
        <v>0</v>
      </c>
      <c r="AF280" s="7" t="n">
        <f aca="false">N('KNOWIFY PHASES'!K280)</f>
        <v>0</v>
      </c>
      <c r="AG280" s="7" t="n">
        <f aca="false">N('KNOWIFY PHASES'!I280)</f>
        <v>0</v>
      </c>
      <c r="AH280" s="7" t="n">
        <f aca="false">N('KNOWIFY PHASES'!H280)</f>
        <v>0</v>
      </c>
      <c r="AI280" s="7" t="n">
        <f aca="false">N('KNOWIFY PHASES'!O280)</f>
        <v>0</v>
      </c>
      <c r="AJ280" s="7" t="n">
        <f aca="false">N('KNOWIFY PHASES'!N280)</f>
        <v>0</v>
      </c>
      <c r="AK280" s="7" t="n">
        <f aca="false">N('KNOWIFY PHASES'!R280)</f>
        <v>0</v>
      </c>
      <c r="AL280" s="7" t="n">
        <f aca="false">N('KNOWIFY PHASES'!Q280)</f>
        <v>0</v>
      </c>
      <c r="AM280" s="7" t="n">
        <f aca="false">N('KNOWIFY PHASES'!F280)</f>
        <v>0</v>
      </c>
      <c r="AN280" s="7" t="n">
        <f aca="false">N('KNOWIFY PHASES'!E280)</f>
        <v>0</v>
      </c>
      <c r="AO280" s="7" t="n">
        <f aca="false">MAX(AE280,AF280)</f>
        <v>0</v>
      </c>
      <c r="AP280" s="7" t="n">
        <f aca="false">MAX(AG280,AH280)</f>
        <v>0</v>
      </c>
      <c r="AQ280" s="7" t="n">
        <f aca="false">MAX(AI280,AJ280)</f>
        <v>0</v>
      </c>
      <c r="AR280" s="7" t="n">
        <f aca="false">MAX(AK280,AL280)</f>
        <v>0</v>
      </c>
      <c r="AT280" s="7" t="str">
        <f aca="false">IF('KNOWIFY TIME'!B280="","",'KNOWIFY TIME'!B280)</f>
        <v/>
      </c>
      <c r="AU280" s="7" t="n">
        <f aca="false">IF(AT280="",0,IF(ISNUMBER('KNOWIFY TIME'!D280),'KNOWIFY TIME'!D280*24,IFERROR(VALUE(LEFT('KNOWIFY TIME'!D280,FIND(":",'KNOWIFY TIME'!D280)-1))+VALUE(MID('KNOWIFY TIME'!D280,FIND(":",'KNOWIFY TIME'!D280)+1,2))/60,0)))</f>
        <v>0</v>
      </c>
      <c r="AV280" s="7" t="n">
        <f aca="false">N('KNOWIFY TIME'!E280)</f>
        <v>0</v>
      </c>
      <c r="AW280" s="7" t="str">
        <f aca="false">IF(AT280="","",IFERROR(INDEX($BD$5:$BD$60,MATCH(AT280,$BC$5:$BC$60,0)),"Unmapped"))</f>
        <v/>
      </c>
    </row>
    <row r="281" customFormat="false" ht="15" hidden="false" customHeight="false" outlineLevel="0" collapsed="false">
      <c r="AA281" s="7" t="str">
        <f aca="false">IF('KNOWIFY PHASES'!A281="","",'KNOWIFY PHASES'!A281)</f>
        <v/>
      </c>
      <c r="AB281" s="7" t="str">
        <f aca="false">IF(AA281="","",IF(LEFT(AA281,4)="P - ","P",IF(LEFT(AA281,4)="H - ","H",IF(LEFT(AA281,5)="AC - ","AC",IF(OR(LEFT(AA281,4)="V - ",LEFT(AA281,7)="HVAC - "),"V","Other")))))</f>
        <v/>
      </c>
      <c r="AC281" s="7" t="str">
        <f aca="false">IF(AA281="","",IFERROR(LOOKUP(2,1/(($AZ$5:$AZ$60&lt;&gt;"")*ISNUMBER(SEARCH($AZ$5:$AZ$60,AA281))),$BA$5:$BA$60),IF(AB281="Other","Excluded","Unmapped")))</f>
        <v/>
      </c>
      <c r="AD281" s="7" t="str">
        <f aca="false">IF(AA281="","",IF(AND(AB281&lt;&gt;"Other",OR(AND('KNOWIFY PHASES'!B281="Closed",N('KNOWIFY PHASES'!D281)&gt;=0.5),N('KNOWIFY PHASES'!D281)&gt;=1)),1,0))</f>
        <v/>
      </c>
      <c r="AE281" s="7" t="n">
        <f aca="false">N('KNOWIFY PHASES'!L281)</f>
        <v>0</v>
      </c>
      <c r="AF281" s="7" t="n">
        <f aca="false">N('KNOWIFY PHASES'!K281)</f>
        <v>0</v>
      </c>
      <c r="AG281" s="7" t="n">
        <f aca="false">N('KNOWIFY PHASES'!I281)</f>
        <v>0</v>
      </c>
      <c r="AH281" s="7" t="n">
        <f aca="false">N('KNOWIFY PHASES'!H281)</f>
        <v>0</v>
      </c>
      <c r="AI281" s="7" t="n">
        <f aca="false">N('KNOWIFY PHASES'!O281)</f>
        <v>0</v>
      </c>
      <c r="AJ281" s="7" t="n">
        <f aca="false">N('KNOWIFY PHASES'!N281)</f>
        <v>0</v>
      </c>
      <c r="AK281" s="7" t="n">
        <f aca="false">N('KNOWIFY PHASES'!R281)</f>
        <v>0</v>
      </c>
      <c r="AL281" s="7" t="n">
        <f aca="false">N('KNOWIFY PHASES'!Q281)</f>
        <v>0</v>
      </c>
      <c r="AM281" s="7" t="n">
        <f aca="false">N('KNOWIFY PHASES'!F281)</f>
        <v>0</v>
      </c>
      <c r="AN281" s="7" t="n">
        <f aca="false">N('KNOWIFY PHASES'!E281)</f>
        <v>0</v>
      </c>
      <c r="AO281" s="7" t="n">
        <f aca="false">MAX(AE281,AF281)</f>
        <v>0</v>
      </c>
      <c r="AP281" s="7" t="n">
        <f aca="false">MAX(AG281,AH281)</f>
        <v>0</v>
      </c>
      <c r="AQ281" s="7" t="n">
        <f aca="false">MAX(AI281,AJ281)</f>
        <v>0</v>
      </c>
      <c r="AR281" s="7" t="n">
        <f aca="false">MAX(AK281,AL281)</f>
        <v>0</v>
      </c>
      <c r="AT281" s="7" t="str">
        <f aca="false">IF('KNOWIFY TIME'!B281="","",'KNOWIFY TIME'!B281)</f>
        <v/>
      </c>
      <c r="AU281" s="7" t="n">
        <f aca="false">IF(AT281="",0,IF(ISNUMBER('KNOWIFY TIME'!D281),'KNOWIFY TIME'!D281*24,IFERROR(VALUE(LEFT('KNOWIFY TIME'!D281,FIND(":",'KNOWIFY TIME'!D281)-1))+VALUE(MID('KNOWIFY TIME'!D281,FIND(":",'KNOWIFY TIME'!D281)+1,2))/60,0)))</f>
        <v>0</v>
      </c>
      <c r="AV281" s="7" t="n">
        <f aca="false">N('KNOWIFY TIME'!E281)</f>
        <v>0</v>
      </c>
      <c r="AW281" s="7" t="str">
        <f aca="false">IF(AT281="","",IFERROR(INDEX($BD$5:$BD$60,MATCH(AT281,$BC$5:$BC$60,0)),"Unmapped"))</f>
        <v/>
      </c>
    </row>
    <row r="282" customFormat="false" ht="15" hidden="false" customHeight="false" outlineLevel="0" collapsed="false">
      <c r="AA282" s="7" t="str">
        <f aca="false">IF('KNOWIFY PHASES'!A282="","",'KNOWIFY PHASES'!A282)</f>
        <v/>
      </c>
      <c r="AB282" s="7" t="str">
        <f aca="false">IF(AA282="","",IF(LEFT(AA282,4)="P - ","P",IF(LEFT(AA282,4)="H - ","H",IF(LEFT(AA282,5)="AC - ","AC",IF(OR(LEFT(AA282,4)="V - ",LEFT(AA282,7)="HVAC - "),"V","Other")))))</f>
        <v/>
      </c>
      <c r="AC282" s="7" t="str">
        <f aca="false">IF(AA282="","",IFERROR(LOOKUP(2,1/(($AZ$5:$AZ$60&lt;&gt;"")*ISNUMBER(SEARCH($AZ$5:$AZ$60,AA282))),$BA$5:$BA$60),IF(AB282="Other","Excluded","Unmapped")))</f>
        <v/>
      </c>
      <c r="AD282" s="7" t="str">
        <f aca="false">IF(AA282="","",IF(AND(AB282&lt;&gt;"Other",OR(AND('KNOWIFY PHASES'!B282="Closed",N('KNOWIFY PHASES'!D282)&gt;=0.5),N('KNOWIFY PHASES'!D282)&gt;=1)),1,0))</f>
        <v/>
      </c>
      <c r="AE282" s="7" t="n">
        <f aca="false">N('KNOWIFY PHASES'!L282)</f>
        <v>0</v>
      </c>
      <c r="AF282" s="7" t="n">
        <f aca="false">N('KNOWIFY PHASES'!K282)</f>
        <v>0</v>
      </c>
      <c r="AG282" s="7" t="n">
        <f aca="false">N('KNOWIFY PHASES'!I282)</f>
        <v>0</v>
      </c>
      <c r="AH282" s="7" t="n">
        <f aca="false">N('KNOWIFY PHASES'!H282)</f>
        <v>0</v>
      </c>
      <c r="AI282" s="7" t="n">
        <f aca="false">N('KNOWIFY PHASES'!O282)</f>
        <v>0</v>
      </c>
      <c r="AJ282" s="7" t="n">
        <f aca="false">N('KNOWIFY PHASES'!N282)</f>
        <v>0</v>
      </c>
      <c r="AK282" s="7" t="n">
        <f aca="false">N('KNOWIFY PHASES'!R282)</f>
        <v>0</v>
      </c>
      <c r="AL282" s="7" t="n">
        <f aca="false">N('KNOWIFY PHASES'!Q282)</f>
        <v>0</v>
      </c>
      <c r="AM282" s="7" t="n">
        <f aca="false">N('KNOWIFY PHASES'!F282)</f>
        <v>0</v>
      </c>
      <c r="AN282" s="7" t="n">
        <f aca="false">N('KNOWIFY PHASES'!E282)</f>
        <v>0</v>
      </c>
      <c r="AO282" s="7" t="n">
        <f aca="false">MAX(AE282,AF282)</f>
        <v>0</v>
      </c>
      <c r="AP282" s="7" t="n">
        <f aca="false">MAX(AG282,AH282)</f>
        <v>0</v>
      </c>
      <c r="AQ282" s="7" t="n">
        <f aca="false">MAX(AI282,AJ282)</f>
        <v>0</v>
      </c>
      <c r="AR282" s="7" t="n">
        <f aca="false">MAX(AK282,AL282)</f>
        <v>0</v>
      </c>
      <c r="AT282" s="7" t="str">
        <f aca="false">IF('KNOWIFY TIME'!B282="","",'KNOWIFY TIME'!B282)</f>
        <v/>
      </c>
      <c r="AU282" s="7" t="n">
        <f aca="false">IF(AT282="",0,IF(ISNUMBER('KNOWIFY TIME'!D282),'KNOWIFY TIME'!D282*24,IFERROR(VALUE(LEFT('KNOWIFY TIME'!D282,FIND(":",'KNOWIFY TIME'!D282)-1))+VALUE(MID('KNOWIFY TIME'!D282,FIND(":",'KNOWIFY TIME'!D282)+1,2))/60,0)))</f>
        <v>0</v>
      </c>
      <c r="AV282" s="7" t="n">
        <f aca="false">N('KNOWIFY TIME'!E282)</f>
        <v>0</v>
      </c>
      <c r="AW282" s="7" t="str">
        <f aca="false">IF(AT282="","",IFERROR(INDEX($BD$5:$BD$60,MATCH(AT282,$BC$5:$BC$60,0)),"Unmapped"))</f>
        <v/>
      </c>
    </row>
    <row r="283" customFormat="false" ht="15" hidden="false" customHeight="false" outlineLevel="0" collapsed="false">
      <c r="AA283" s="7" t="str">
        <f aca="false">IF('KNOWIFY PHASES'!A283="","",'KNOWIFY PHASES'!A283)</f>
        <v/>
      </c>
      <c r="AB283" s="7" t="str">
        <f aca="false">IF(AA283="","",IF(LEFT(AA283,4)="P - ","P",IF(LEFT(AA283,4)="H - ","H",IF(LEFT(AA283,5)="AC - ","AC",IF(OR(LEFT(AA283,4)="V - ",LEFT(AA283,7)="HVAC - "),"V","Other")))))</f>
        <v/>
      </c>
      <c r="AC283" s="7" t="str">
        <f aca="false">IF(AA283="","",IFERROR(LOOKUP(2,1/(($AZ$5:$AZ$60&lt;&gt;"")*ISNUMBER(SEARCH($AZ$5:$AZ$60,AA283))),$BA$5:$BA$60),IF(AB283="Other","Excluded","Unmapped")))</f>
        <v/>
      </c>
      <c r="AD283" s="7" t="str">
        <f aca="false">IF(AA283="","",IF(AND(AB283&lt;&gt;"Other",OR(AND('KNOWIFY PHASES'!B283="Closed",N('KNOWIFY PHASES'!D283)&gt;=0.5),N('KNOWIFY PHASES'!D283)&gt;=1)),1,0))</f>
        <v/>
      </c>
      <c r="AE283" s="7" t="n">
        <f aca="false">N('KNOWIFY PHASES'!L283)</f>
        <v>0</v>
      </c>
      <c r="AF283" s="7" t="n">
        <f aca="false">N('KNOWIFY PHASES'!K283)</f>
        <v>0</v>
      </c>
      <c r="AG283" s="7" t="n">
        <f aca="false">N('KNOWIFY PHASES'!I283)</f>
        <v>0</v>
      </c>
      <c r="AH283" s="7" t="n">
        <f aca="false">N('KNOWIFY PHASES'!H283)</f>
        <v>0</v>
      </c>
      <c r="AI283" s="7" t="n">
        <f aca="false">N('KNOWIFY PHASES'!O283)</f>
        <v>0</v>
      </c>
      <c r="AJ283" s="7" t="n">
        <f aca="false">N('KNOWIFY PHASES'!N283)</f>
        <v>0</v>
      </c>
      <c r="AK283" s="7" t="n">
        <f aca="false">N('KNOWIFY PHASES'!R283)</f>
        <v>0</v>
      </c>
      <c r="AL283" s="7" t="n">
        <f aca="false">N('KNOWIFY PHASES'!Q283)</f>
        <v>0</v>
      </c>
      <c r="AM283" s="7" t="n">
        <f aca="false">N('KNOWIFY PHASES'!F283)</f>
        <v>0</v>
      </c>
      <c r="AN283" s="7" t="n">
        <f aca="false">N('KNOWIFY PHASES'!E283)</f>
        <v>0</v>
      </c>
      <c r="AO283" s="7" t="n">
        <f aca="false">MAX(AE283,AF283)</f>
        <v>0</v>
      </c>
      <c r="AP283" s="7" t="n">
        <f aca="false">MAX(AG283,AH283)</f>
        <v>0</v>
      </c>
      <c r="AQ283" s="7" t="n">
        <f aca="false">MAX(AI283,AJ283)</f>
        <v>0</v>
      </c>
      <c r="AR283" s="7" t="n">
        <f aca="false">MAX(AK283,AL283)</f>
        <v>0</v>
      </c>
      <c r="AT283" s="7" t="str">
        <f aca="false">IF('KNOWIFY TIME'!B283="","",'KNOWIFY TIME'!B283)</f>
        <v/>
      </c>
      <c r="AU283" s="7" t="n">
        <f aca="false">IF(AT283="",0,IF(ISNUMBER('KNOWIFY TIME'!D283),'KNOWIFY TIME'!D283*24,IFERROR(VALUE(LEFT('KNOWIFY TIME'!D283,FIND(":",'KNOWIFY TIME'!D283)-1))+VALUE(MID('KNOWIFY TIME'!D283,FIND(":",'KNOWIFY TIME'!D283)+1,2))/60,0)))</f>
        <v>0</v>
      </c>
      <c r="AV283" s="7" t="n">
        <f aca="false">N('KNOWIFY TIME'!E283)</f>
        <v>0</v>
      </c>
      <c r="AW283" s="7" t="str">
        <f aca="false">IF(AT283="","",IFERROR(INDEX($BD$5:$BD$60,MATCH(AT283,$BC$5:$BC$60,0)),"Unmapped"))</f>
        <v/>
      </c>
    </row>
    <row r="284" customFormat="false" ht="15" hidden="false" customHeight="false" outlineLevel="0" collapsed="false">
      <c r="AA284" s="7" t="str">
        <f aca="false">IF('KNOWIFY PHASES'!A284="","",'KNOWIFY PHASES'!A284)</f>
        <v/>
      </c>
      <c r="AB284" s="7" t="str">
        <f aca="false">IF(AA284="","",IF(LEFT(AA284,4)="P - ","P",IF(LEFT(AA284,4)="H - ","H",IF(LEFT(AA284,5)="AC - ","AC",IF(OR(LEFT(AA284,4)="V - ",LEFT(AA284,7)="HVAC - "),"V","Other")))))</f>
        <v/>
      </c>
      <c r="AC284" s="7" t="str">
        <f aca="false">IF(AA284="","",IFERROR(LOOKUP(2,1/(($AZ$5:$AZ$60&lt;&gt;"")*ISNUMBER(SEARCH($AZ$5:$AZ$60,AA284))),$BA$5:$BA$60),IF(AB284="Other","Excluded","Unmapped")))</f>
        <v/>
      </c>
      <c r="AD284" s="7" t="str">
        <f aca="false">IF(AA284="","",IF(AND(AB284&lt;&gt;"Other",OR(AND('KNOWIFY PHASES'!B284="Closed",N('KNOWIFY PHASES'!D284)&gt;=0.5),N('KNOWIFY PHASES'!D284)&gt;=1)),1,0))</f>
        <v/>
      </c>
      <c r="AE284" s="7" t="n">
        <f aca="false">N('KNOWIFY PHASES'!L284)</f>
        <v>0</v>
      </c>
      <c r="AF284" s="7" t="n">
        <f aca="false">N('KNOWIFY PHASES'!K284)</f>
        <v>0</v>
      </c>
      <c r="AG284" s="7" t="n">
        <f aca="false">N('KNOWIFY PHASES'!I284)</f>
        <v>0</v>
      </c>
      <c r="AH284" s="7" t="n">
        <f aca="false">N('KNOWIFY PHASES'!H284)</f>
        <v>0</v>
      </c>
      <c r="AI284" s="7" t="n">
        <f aca="false">N('KNOWIFY PHASES'!O284)</f>
        <v>0</v>
      </c>
      <c r="AJ284" s="7" t="n">
        <f aca="false">N('KNOWIFY PHASES'!N284)</f>
        <v>0</v>
      </c>
      <c r="AK284" s="7" t="n">
        <f aca="false">N('KNOWIFY PHASES'!R284)</f>
        <v>0</v>
      </c>
      <c r="AL284" s="7" t="n">
        <f aca="false">N('KNOWIFY PHASES'!Q284)</f>
        <v>0</v>
      </c>
      <c r="AM284" s="7" t="n">
        <f aca="false">N('KNOWIFY PHASES'!F284)</f>
        <v>0</v>
      </c>
      <c r="AN284" s="7" t="n">
        <f aca="false">N('KNOWIFY PHASES'!E284)</f>
        <v>0</v>
      </c>
      <c r="AO284" s="7" t="n">
        <f aca="false">MAX(AE284,AF284)</f>
        <v>0</v>
      </c>
      <c r="AP284" s="7" t="n">
        <f aca="false">MAX(AG284,AH284)</f>
        <v>0</v>
      </c>
      <c r="AQ284" s="7" t="n">
        <f aca="false">MAX(AI284,AJ284)</f>
        <v>0</v>
      </c>
      <c r="AR284" s="7" t="n">
        <f aca="false">MAX(AK284,AL284)</f>
        <v>0</v>
      </c>
      <c r="AT284" s="7" t="str">
        <f aca="false">IF('KNOWIFY TIME'!B284="","",'KNOWIFY TIME'!B284)</f>
        <v/>
      </c>
      <c r="AU284" s="7" t="n">
        <f aca="false">IF(AT284="",0,IF(ISNUMBER('KNOWIFY TIME'!D284),'KNOWIFY TIME'!D284*24,IFERROR(VALUE(LEFT('KNOWIFY TIME'!D284,FIND(":",'KNOWIFY TIME'!D284)-1))+VALUE(MID('KNOWIFY TIME'!D284,FIND(":",'KNOWIFY TIME'!D284)+1,2))/60,0)))</f>
        <v>0</v>
      </c>
      <c r="AV284" s="7" t="n">
        <f aca="false">N('KNOWIFY TIME'!E284)</f>
        <v>0</v>
      </c>
      <c r="AW284" s="7" t="str">
        <f aca="false">IF(AT284="","",IFERROR(INDEX($BD$5:$BD$60,MATCH(AT284,$BC$5:$BC$60,0)),"Unmapped"))</f>
        <v/>
      </c>
    </row>
    <row r="285" customFormat="false" ht="15" hidden="false" customHeight="false" outlineLevel="0" collapsed="false">
      <c r="AA285" s="7" t="str">
        <f aca="false">IF('KNOWIFY PHASES'!A285="","",'KNOWIFY PHASES'!A285)</f>
        <v/>
      </c>
      <c r="AB285" s="7" t="str">
        <f aca="false">IF(AA285="","",IF(LEFT(AA285,4)="P - ","P",IF(LEFT(AA285,4)="H - ","H",IF(LEFT(AA285,5)="AC - ","AC",IF(OR(LEFT(AA285,4)="V - ",LEFT(AA285,7)="HVAC - "),"V","Other")))))</f>
        <v/>
      </c>
      <c r="AC285" s="7" t="str">
        <f aca="false">IF(AA285="","",IFERROR(LOOKUP(2,1/(($AZ$5:$AZ$60&lt;&gt;"")*ISNUMBER(SEARCH($AZ$5:$AZ$60,AA285))),$BA$5:$BA$60),IF(AB285="Other","Excluded","Unmapped")))</f>
        <v/>
      </c>
      <c r="AD285" s="7" t="str">
        <f aca="false">IF(AA285="","",IF(AND(AB285&lt;&gt;"Other",OR(AND('KNOWIFY PHASES'!B285="Closed",N('KNOWIFY PHASES'!D285)&gt;=0.5),N('KNOWIFY PHASES'!D285)&gt;=1)),1,0))</f>
        <v/>
      </c>
      <c r="AE285" s="7" t="n">
        <f aca="false">N('KNOWIFY PHASES'!L285)</f>
        <v>0</v>
      </c>
      <c r="AF285" s="7" t="n">
        <f aca="false">N('KNOWIFY PHASES'!K285)</f>
        <v>0</v>
      </c>
      <c r="AG285" s="7" t="n">
        <f aca="false">N('KNOWIFY PHASES'!I285)</f>
        <v>0</v>
      </c>
      <c r="AH285" s="7" t="n">
        <f aca="false">N('KNOWIFY PHASES'!H285)</f>
        <v>0</v>
      </c>
      <c r="AI285" s="7" t="n">
        <f aca="false">N('KNOWIFY PHASES'!O285)</f>
        <v>0</v>
      </c>
      <c r="AJ285" s="7" t="n">
        <f aca="false">N('KNOWIFY PHASES'!N285)</f>
        <v>0</v>
      </c>
      <c r="AK285" s="7" t="n">
        <f aca="false">N('KNOWIFY PHASES'!R285)</f>
        <v>0</v>
      </c>
      <c r="AL285" s="7" t="n">
        <f aca="false">N('KNOWIFY PHASES'!Q285)</f>
        <v>0</v>
      </c>
      <c r="AM285" s="7" t="n">
        <f aca="false">N('KNOWIFY PHASES'!F285)</f>
        <v>0</v>
      </c>
      <c r="AN285" s="7" t="n">
        <f aca="false">N('KNOWIFY PHASES'!E285)</f>
        <v>0</v>
      </c>
      <c r="AO285" s="7" t="n">
        <f aca="false">MAX(AE285,AF285)</f>
        <v>0</v>
      </c>
      <c r="AP285" s="7" t="n">
        <f aca="false">MAX(AG285,AH285)</f>
        <v>0</v>
      </c>
      <c r="AQ285" s="7" t="n">
        <f aca="false">MAX(AI285,AJ285)</f>
        <v>0</v>
      </c>
      <c r="AR285" s="7" t="n">
        <f aca="false">MAX(AK285,AL285)</f>
        <v>0</v>
      </c>
      <c r="AT285" s="7" t="str">
        <f aca="false">IF('KNOWIFY TIME'!B285="","",'KNOWIFY TIME'!B285)</f>
        <v/>
      </c>
      <c r="AU285" s="7" t="n">
        <f aca="false">IF(AT285="",0,IF(ISNUMBER('KNOWIFY TIME'!D285),'KNOWIFY TIME'!D285*24,IFERROR(VALUE(LEFT('KNOWIFY TIME'!D285,FIND(":",'KNOWIFY TIME'!D285)-1))+VALUE(MID('KNOWIFY TIME'!D285,FIND(":",'KNOWIFY TIME'!D285)+1,2))/60,0)))</f>
        <v>0</v>
      </c>
      <c r="AV285" s="7" t="n">
        <f aca="false">N('KNOWIFY TIME'!E285)</f>
        <v>0</v>
      </c>
      <c r="AW285" s="7" t="str">
        <f aca="false">IF(AT285="","",IFERROR(INDEX($BD$5:$BD$60,MATCH(AT285,$BC$5:$BC$60,0)),"Unmapped"))</f>
        <v/>
      </c>
    </row>
    <row r="286" customFormat="false" ht="15" hidden="false" customHeight="false" outlineLevel="0" collapsed="false">
      <c r="AA286" s="7" t="str">
        <f aca="false">IF('KNOWIFY PHASES'!A286="","",'KNOWIFY PHASES'!A286)</f>
        <v/>
      </c>
      <c r="AB286" s="7" t="str">
        <f aca="false">IF(AA286="","",IF(LEFT(AA286,4)="P - ","P",IF(LEFT(AA286,4)="H - ","H",IF(LEFT(AA286,5)="AC - ","AC",IF(OR(LEFT(AA286,4)="V - ",LEFT(AA286,7)="HVAC - "),"V","Other")))))</f>
        <v/>
      </c>
      <c r="AC286" s="7" t="str">
        <f aca="false">IF(AA286="","",IFERROR(LOOKUP(2,1/(($AZ$5:$AZ$60&lt;&gt;"")*ISNUMBER(SEARCH($AZ$5:$AZ$60,AA286))),$BA$5:$BA$60),IF(AB286="Other","Excluded","Unmapped")))</f>
        <v/>
      </c>
      <c r="AD286" s="7" t="str">
        <f aca="false">IF(AA286="","",IF(AND(AB286&lt;&gt;"Other",OR(AND('KNOWIFY PHASES'!B286="Closed",N('KNOWIFY PHASES'!D286)&gt;=0.5),N('KNOWIFY PHASES'!D286)&gt;=1)),1,0))</f>
        <v/>
      </c>
      <c r="AE286" s="7" t="n">
        <f aca="false">N('KNOWIFY PHASES'!L286)</f>
        <v>0</v>
      </c>
      <c r="AF286" s="7" t="n">
        <f aca="false">N('KNOWIFY PHASES'!K286)</f>
        <v>0</v>
      </c>
      <c r="AG286" s="7" t="n">
        <f aca="false">N('KNOWIFY PHASES'!I286)</f>
        <v>0</v>
      </c>
      <c r="AH286" s="7" t="n">
        <f aca="false">N('KNOWIFY PHASES'!H286)</f>
        <v>0</v>
      </c>
      <c r="AI286" s="7" t="n">
        <f aca="false">N('KNOWIFY PHASES'!O286)</f>
        <v>0</v>
      </c>
      <c r="AJ286" s="7" t="n">
        <f aca="false">N('KNOWIFY PHASES'!N286)</f>
        <v>0</v>
      </c>
      <c r="AK286" s="7" t="n">
        <f aca="false">N('KNOWIFY PHASES'!R286)</f>
        <v>0</v>
      </c>
      <c r="AL286" s="7" t="n">
        <f aca="false">N('KNOWIFY PHASES'!Q286)</f>
        <v>0</v>
      </c>
      <c r="AM286" s="7" t="n">
        <f aca="false">N('KNOWIFY PHASES'!F286)</f>
        <v>0</v>
      </c>
      <c r="AN286" s="7" t="n">
        <f aca="false">N('KNOWIFY PHASES'!E286)</f>
        <v>0</v>
      </c>
      <c r="AO286" s="7" t="n">
        <f aca="false">MAX(AE286,AF286)</f>
        <v>0</v>
      </c>
      <c r="AP286" s="7" t="n">
        <f aca="false">MAX(AG286,AH286)</f>
        <v>0</v>
      </c>
      <c r="AQ286" s="7" t="n">
        <f aca="false">MAX(AI286,AJ286)</f>
        <v>0</v>
      </c>
      <c r="AR286" s="7" t="n">
        <f aca="false">MAX(AK286,AL286)</f>
        <v>0</v>
      </c>
      <c r="AT286" s="7" t="str">
        <f aca="false">IF('KNOWIFY TIME'!B286="","",'KNOWIFY TIME'!B286)</f>
        <v/>
      </c>
      <c r="AU286" s="7" t="n">
        <f aca="false">IF(AT286="",0,IF(ISNUMBER('KNOWIFY TIME'!D286),'KNOWIFY TIME'!D286*24,IFERROR(VALUE(LEFT('KNOWIFY TIME'!D286,FIND(":",'KNOWIFY TIME'!D286)-1))+VALUE(MID('KNOWIFY TIME'!D286,FIND(":",'KNOWIFY TIME'!D286)+1,2))/60,0)))</f>
        <v>0</v>
      </c>
      <c r="AV286" s="7" t="n">
        <f aca="false">N('KNOWIFY TIME'!E286)</f>
        <v>0</v>
      </c>
      <c r="AW286" s="7" t="str">
        <f aca="false">IF(AT286="","",IFERROR(INDEX($BD$5:$BD$60,MATCH(AT286,$BC$5:$BC$60,0)),"Unmapped"))</f>
        <v/>
      </c>
    </row>
    <row r="287" customFormat="false" ht="15" hidden="false" customHeight="false" outlineLevel="0" collapsed="false">
      <c r="AA287" s="7" t="str">
        <f aca="false">IF('KNOWIFY PHASES'!A287="","",'KNOWIFY PHASES'!A287)</f>
        <v/>
      </c>
      <c r="AB287" s="7" t="str">
        <f aca="false">IF(AA287="","",IF(LEFT(AA287,4)="P - ","P",IF(LEFT(AA287,4)="H - ","H",IF(LEFT(AA287,5)="AC - ","AC",IF(OR(LEFT(AA287,4)="V - ",LEFT(AA287,7)="HVAC - "),"V","Other")))))</f>
        <v/>
      </c>
      <c r="AC287" s="7" t="str">
        <f aca="false">IF(AA287="","",IFERROR(LOOKUP(2,1/(($AZ$5:$AZ$60&lt;&gt;"")*ISNUMBER(SEARCH($AZ$5:$AZ$60,AA287))),$BA$5:$BA$60),IF(AB287="Other","Excluded","Unmapped")))</f>
        <v/>
      </c>
      <c r="AD287" s="7" t="str">
        <f aca="false">IF(AA287="","",IF(AND(AB287&lt;&gt;"Other",OR(AND('KNOWIFY PHASES'!B287="Closed",N('KNOWIFY PHASES'!D287)&gt;=0.5),N('KNOWIFY PHASES'!D287)&gt;=1)),1,0))</f>
        <v/>
      </c>
      <c r="AE287" s="7" t="n">
        <f aca="false">N('KNOWIFY PHASES'!L287)</f>
        <v>0</v>
      </c>
      <c r="AF287" s="7" t="n">
        <f aca="false">N('KNOWIFY PHASES'!K287)</f>
        <v>0</v>
      </c>
      <c r="AG287" s="7" t="n">
        <f aca="false">N('KNOWIFY PHASES'!I287)</f>
        <v>0</v>
      </c>
      <c r="AH287" s="7" t="n">
        <f aca="false">N('KNOWIFY PHASES'!H287)</f>
        <v>0</v>
      </c>
      <c r="AI287" s="7" t="n">
        <f aca="false">N('KNOWIFY PHASES'!O287)</f>
        <v>0</v>
      </c>
      <c r="AJ287" s="7" t="n">
        <f aca="false">N('KNOWIFY PHASES'!N287)</f>
        <v>0</v>
      </c>
      <c r="AK287" s="7" t="n">
        <f aca="false">N('KNOWIFY PHASES'!R287)</f>
        <v>0</v>
      </c>
      <c r="AL287" s="7" t="n">
        <f aca="false">N('KNOWIFY PHASES'!Q287)</f>
        <v>0</v>
      </c>
      <c r="AM287" s="7" t="n">
        <f aca="false">N('KNOWIFY PHASES'!F287)</f>
        <v>0</v>
      </c>
      <c r="AN287" s="7" t="n">
        <f aca="false">N('KNOWIFY PHASES'!E287)</f>
        <v>0</v>
      </c>
      <c r="AO287" s="7" t="n">
        <f aca="false">MAX(AE287,AF287)</f>
        <v>0</v>
      </c>
      <c r="AP287" s="7" t="n">
        <f aca="false">MAX(AG287,AH287)</f>
        <v>0</v>
      </c>
      <c r="AQ287" s="7" t="n">
        <f aca="false">MAX(AI287,AJ287)</f>
        <v>0</v>
      </c>
      <c r="AR287" s="7" t="n">
        <f aca="false">MAX(AK287,AL287)</f>
        <v>0</v>
      </c>
      <c r="AT287" s="7" t="str">
        <f aca="false">IF('KNOWIFY TIME'!B287="","",'KNOWIFY TIME'!B287)</f>
        <v/>
      </c>
      <c r="AU287" s="7" t="n">
        <f aca="false">IF(AT287="",0,IF(ISNUMBER('KNOWIFY TIME'!D287),'KNOWIFY TIME'!D287*24,IFERROR(VALUE(LEFT('KNOWIFY TIME'!D287,FIND(":",'KNOWIFY TIME'!D287)-1))+VALUE(MID('KNOWIFY TIME'!D287,FIND(":",'KNOWIFY TIME'!D287)+1,2))/60,0)))</f>
        <v>0</v>
      </c>
      <c r="AV287" s="7" t="n">
        <f aca="false">N('KNOWIFY TIME'!E287)</f>
        <v>0</v>
      </c>
      <c r="AW287" s="7" t="str">
        <f aca="false">IF(AT287="","",IFERROR(INDEX($BD$5:$BD$60,MATCH(AT287,$BC$5:$BC$60,0)),"Unmapped"))</f>
        <v/>
      </c>
    </row>
    <row r="288" customFormat="false" ht="15" hidden="false" customHeight="false" outlineLevel="0" collapsed="false">
      <c r="AA288" s="7" t="str">
        <f aca="false">IF('KNOWIFY PHASES'!A288="","",'KNOWIFY PHASES'!A288)</f>
        <v/>
      </c>
      <c r="AB288" s="7" t="str">
        <f aca="false">IF(AA288="","",IF(LEFT(AA288,4)="P - ","P",IF(LEFT(AA288,4)="H - ","H",IF(LEFT(AA288,5)="AC - ","AC",IF(OR(LEFT(AA288,4)="V - ",LEFT(AA288,7)="HVAC - "),"V","Other")))))</f>
        <v/>
      </c>
      <c r="AC288" s="7" t="str">
        <f aca="false">IF(AA288="","",IFERROR(LOOKUP(2,1/(($AZ$5:$AZ$60&lt;&gt;"")*ISNUMBER(SEARCH($AZ$5:$AZ$60,AA288))),$BA$5:$BA$60),IF(AB288="Other","Excluded","Unmapped")))</f>
        <v/>
      </c>
      <c r="AD288" s="7" t="str">
        <f aca="false">IF(AA288="","",IF(AND(AB288&lt;&gt;"Other",OR(AND('KNOWIFY PHASES'!B288="Closed",N('KNOWIFY PHASES'!D288)&gt;=0.5),N('KNOWIFY PHASES'!D288)&gt;=1)),1,0))</f>
        <v/>
      </c>
      <c r="AE288" s="7" t="n">
        <f aca="false">N('KNOWIFY PHASES'!L288)</f>
        <v>0</v>
      </c>
      <c r="AF288" s="7" t="n">
        <f aca="false">N('KNOWIFY PHASES'!K288)</f>
        <v>0</v>
      </c>
      <c r="AG288" s="7" t="n">
        <f aca="false">N('KNOWIFY PHASES'!I288)</f>
        <v>0</v>
      </c>
      <c r="AH288" s="7" t="n">
        <f aca="false">N('KNOWIFY PHASES'!H288)</f>
        <v>0</v>
      </c>
      <c r="AI288" s="7" t="n">
        <f aca="false">N('KNOWIFY PHASES'!O288)</f>
        <v>0</v>
      </c>
      <c r="AJ288" s="7" t="n">
        <f aca="false">N('KNOWIFY PHASES'!N288)</f>
        <v>0</v>
      </c>
      <c r="AK288" s="7" t="n">
        <f aca="false">N('KNOWIFY PHASES'!R288)</f>
        <v>0</v>
      </c>
      <c r="AL288" s="7" t="n">
        <f aca="false">N('KNOWIFY PHASES'!Q288)</f>
        <v>0</v>
      </c>
      <c r="AM288" s="7" t="n">
        <f aca="false">N('KNOWIFY PHASES'!F288)</f>
        <v>0</v>
      </c>
      <c r="AN288" s="7" t="n">
        <f aca="false">N('KNOWIFY PHASES'!E288)</f>
        <v>0</v>
      </c>
      <c r="AO288" s="7" t="n">
        <f aca="false">MAX(AE288,AF288)</f>
        <v>0</v>
      </c>
      <c r="AP288" s="7" t="n">
        <f aca="false">MAX(AG288,AH288)</f>
        <v>0</v>
      </c>
      <c r="AQ288" s="7" t="n">
        <f aca="false">MAX(AI288,AJ288)</f>
        <v>0</v>
      </c>
      <c r="AR288" s="7" t="n">
        <f aca="false">MAX(AK288,AL288)</f>
        <v>0</v>
      </c>
      <c r="AT288" s="7" t="str">
        <f aca="false">IF('KNOWIFY TIME'!B288="","",'KNOWIFY TIME'!B288)</f>
        <v/>
      </c>
      <c r="AU288" s="7" t="n">
        <f aca="false">IF(AT288="",0,IF(ISNUMBER('KNOWIFY TIME'!D288),'KNOWIFY TIME'!D288*24,IFERROR(VALUE(LEFT('KNOWIFY TIME'!D288,FIND(":",'KNOWIFY TIME'!D288)-1))+VALUE(MID('KNOWIFY TIME'!D288,FIND(":",'KNOWIFY TIME'!D288)+1,2))/60,0)))</f>
        <v>0</v>
      </c>
      <c r="AV288" s="7" t="n">
        <f aca="false">N('KNOWIFY TIME'!E288)</f>
        <v>0</v>
      </c>
      <c r="AW288" s="7" t="str">
        <f aca="false">IF(AT288="","",IFERROR(INDEX($BD$5:$BD$60,MATCH(AT288,$BC$5:$BC$60,0)),"Unmapped"))</f>
        <v/>
      </c>
    </row>
    <row r="289" customFormat="false" ht="15" hidden="false" customHeight="false" outlineLevel="0" collapsed="false">
      <c r="AA289" s="7" t="str">
        <f aca="false">IF('KNOWIFY PHASES'!A289="","",'KNOWIFY PHASES'!A289)</f>
        <v/>
      </c>
      <c r="AB289" s="7" t="str">
        <f aca="false">IF(AA289="","",IF(LEFT(AA289,4)="P - ","P",IF(LEFT(AA289,4)="H - ","H",IF(LEFT(AA289,5)="AC - ","AC",IF(OR(LEFT(AA289,4)="V - ",LEFT(AA289,7)="HVAC - "),"V","Other")))))</f>
        <v/>
      </c>
      <c r="AC289" s="7" t="str">
        <f aca="false">IF(AA289="","",IFERROR(LOOKUP(2,1/(($AZ$5:$AZ$60&lt;&gt;"")*ISNUMBER(SEARCH($AZ$5:$AZ$60,AA289))),$BA$5:$BA$60),IF(AB289="Other","Excluded","Unmapped")))</f>
        <v/>
      </c>
      <c r="AD289" s="7" t="str">
        <f aca="false">IF(AA289="","",IF(AND(AB289&lt;&gt;"Other",OR(AND('KNOWIFY PHASES'!B289="Closed",N('KNOWIFY PHASES'!D289)&gt;=0.5),N('KNOWIFY PHASES'!D289)&gt;=1)),1,0))</f>
        <v/>
      </c>
      <c r="AE289" s="7" t="n">
        <f aca="false">N('KNOWIFY PHASES'!L289)</f>
        <v>0</v>
      </c>
      <c r="AF289" s="7" t="n">
        <f aca="false">N('KNOWIFY PHASES'!K289)</f>
        <v>0</v>
      </c>
      <c r="AG289" s="7" t="n">
        <f aca="false">N('KNOWIFY PHASES'!I289)</f>
        <v>0</v>
      </c>
      <c r="AH289" s="7" t="n">
        <f aca="false">N('KNOWIFY PHASES'!H289)</f>
        <v>0</v>
      </c>
      <c r="AI289" s="7" t="n">
        <f aca="false">N('KNOWIFY PHASES'!O289)</f>
        <v>0</v>
      </c>
      <c r="AJ289" s="7" t="n">
        <f aca="false">N('KNOWIFY PHASES'!N289)</f>
        <v>0</v>
      </c>
      <c r="AK289" s="7" t="n">
        <f aca="false">N('KNOWIFY PHASES'!R289)</f>
        <v>0</v>
      </c>
      <c r="AL289" s="7" t="n">
        <f aca="false">N('KNOWIFY PHASES'!Q289)</f>
        <v>0</v>
      </c>
      <c r="AM289" s="7" t="n">
        <f aca="false">N('KNOWIFY PHASES'!F289)</f>
        <v>0</v>
      </c>
      <c r="AN289" s="7" t="n">
        <f aca="false">N('KNOWIFY PHASES'!E289)</f>
        <v>0</v>
      </c>
      <c r="AO289" s="7" t="n">
        <f aca="false">MAX(AE289,AF289)</f>
        <v>0</v>
      </c>
      <c r="AP289" s="7" t="n">
        <f aca="false">MAX(AG289,AH289)</f>
        <v>0</v>
      </c>
      <c r="AQ289" s="7" t="n">
        <f aca="false">MAX(AI289,AJ289)</f>
        <v>0</v>
      </c>
      <c r="AR289" s="7" t="n">
        <f aca="false">MAX(AK289,AL289)</f>
        <v>0</v>
      </c>
      <c r="AT289" s="7" t="str">
        <f aca="false">IF('KNOWIFY TIME'!B289="","",'KNOWIFY TIME'!B289)</f>
        <v/>
      </c>
      <c r="AU289" s="7" t="n">
        <f aca="false">IF(AT289="",0,IF(ISNUMBER('KNOWIFY TIME'!D289),'KNOWIFY TIME'!D289*24,IFERROR(VALUE(LEFT('KNOWIFY TIME'!D289,FIND(":",'KNOWIFY TIME'!D289)-1))+VALUE(MID('KNOWIFY TIME'!D289,FIND(":",'KNOWIFY TIME'!D289)+1,2))/60,0)))</f>
        <v>0</v>
      </c>
      <c r="AV289" s="7" t="n">
        <f aca="false">N('KNOWIFY TIME'!E289)</f>
        <v>0</v>
      </c>
      <c r="AW289" s="7" t="str">
        <f aca="false">IF(AT289="","",IFERROR(INDEX($BD$5:$BD$60,MATCH(AT289,$BC$5:$BC$60,0)),"Unmapped"))</f>
        <v/>
      </c>
    </row>
    <row r="290" customFormat="false" ht="15" hidden="false" customHeight="false" outlineLevel="0" collapsed="false">
      <c r="AA290" s="7" t="str">
        <f aca="false">IF('KNOWIFY PHASES'!A290="","",'KNOWIFY PHASES'!A290)</f>
        <v/>
      </c>
      <c r="AB290" s="7" t="str">
        <f aca="false">IF(AA290="","",IF(LEFT(AA290,4)="P - ","P",IF(LEFT(AA290,4)="H - ","H",IF(LEFT(AA290,5)="AC - ","AC",IF(OR(LEFT(AA290,4)="V - ",LEFT(AA290,7)="HVAC - "),"V","Other")))))</f>
        <v/>
      </c>
      <c r="AC290" s="7" t="str">
        <f aca="false">IF(AA290="","",IFERROR(LOOKUP(2,1/(($AZ$5:$AZ$60&lt;&gt;"")*ISNUMBER(SEARCH($AZ$5:$AZ$60,AA290))),$BA$5:$BA$60),IF(AB290="Other","Excluded","Unmapped")))</f>
        <v/>
      </c>
      <c r="AD290" s="7" t="str">
        <f aca="false">IF(AA290="","",IF(AND(AB290&lt;&gt;"Other",OR(AND('KNOWIFY PHASES'!B290="Closed",N('KNOWIFY PHASES'!D290)&gt;=0.5),N('KNOWIFY PHASES'!D290)&gt;=1)),1,0))</f>
        <v/>
      </c>
      <c r="AE290" s="7" t="n">
        <f aca="false">N('KNOWIFY PHASES'!L290)</f>
        <v>0</v>
      </c>
      <c r="AF290" s="7" t="n">
        <f aca="false">N('KNOWIFY PHASES'!K290)</f>
        <v>0</v>
      </c>
      <c r="AG290" s="7" t="n">
        <f aca="false">N('KNOWIFY PHASES'!I290)</f>
        <v>0</v>
      </c>
      <c r="AH290" s="7" t="n">
        <f aca="false">N('KNOWIFY PHASES'!H290)</f>
        <v>0</v>
      </c>
      <c r="AI290" s="7" t="n">
        <f aca="false">N('KNOWIFY PHASES'!O290)</f>
        <v>0</v>
      </c>
      <c r="AJ290" s="7" t="n">
        <f aca="false">N('KNOWIFY PHASES'!N290)</f>
        <v>0</v>
      </c>
      <c r="AK290" s="7" t="n">
        <f aca="false">N('KNOWIFY PHASES'!R290)</f>
        <v>0</v>
      </c>
      <c r="AL290" s="7" t="n">
        <f aca="false">N('KNOWIFY PHASES'!Q290)</f>
        <v>0</v>
      </c>
      <c r="AM290" s="7" t="n">
        <f aca="false">N('KNOWIFY PHASES'!F290)</f>
        <v>0</v>
      </c>
      <c r="AN290" s="7" t="n">
        <f aca="false">N('KNOWIFY PHASES'!E290)</f>
        <v>0</v>
      </c>
      <c r="AO290" s="7" t="n">
        <f aca="false">MAX(AE290,AF290)</f>
        <v>0</v>
      </c>
      <c r="AP290" s="7" t="n">
        <f aca="false">MAX(AG290,AH290)</f>
        <v>0</v>
      </c>
      <c r="AQ290" s="7" t="n">
        <f aca="false">MAX(AI290,AJ290)</f>
        <v>0</v>
      </c>
      <c r="AR290" s="7" t="n">
        <f aca="false">MAX(AK290,AL290)</f>
        <v>0</v>
      </c>
      <c r="AT290" s="7" t="str">
        <f aca="false">IF('KNOWIFY TIME'!B290="","",'KNOWIFY TIME'!B290)</f>
        <v/>
      </c>
      <c r="AU290" s="7" t="n">
        <f aca="false">IF(AT290="",0,IF(ISNUMBER('KNOWIFY TIME'!D290),'KNOWIFY TIME'!D290*24,IFERROR(VALUE(LEFT('KNOWIFY TIME'!D290,FIND(":",'KNOWIFY TIME'!D290)-1))+VALUE(MID('KNOWIFY TIME'!D290,FIND(":",'KNOWIFY TIME'!D290)+1,2))/60,0)))</f>
        <v>0</v>
      </c>
      <c r="AV290" s="7" t="n">
        <f aca="false">N('KNOWIFY TIME'!E290)</f>
        <v>0</v>
      </c>
      <c r="AW290" s="7" t="str">
        <f aca="false">IF(AT290="","",IFERROR(INDEX($BD$5:$BD$60,MATCH(AT290,$BC$5:$BC$60,0)),"Unmapped"))</f>
        <v/>
      </c>
    </row>
    <row r="291" customFormat="false" ht="15" hidden="false" customHeight="false" outlineLevel="0" collapsed="false">
      <c r="AA291" s="7" t="str">
        <f aca="false">IF('KNOWIFY PHASES'!A291="","",'KNOWIFY PHASES'!A291)</f>
        <v/>
      </c>
      <c r="AB291" s="7" t="str">
        <f aca="false">IF(AA291="","",IF(LEFT(AA291,4)="P - ","P",IF(LEFT(AA291,4)="H - ","H",IF(LEFT(AA291,5)="AC - ","AC",IF(OR(LEFT(AA291,4)="V - ",LEFT(AA291,7)="HVAC - "),"V","Other")))))</f>
        <v/>
      </c>
      <c r="AC291" s="7" t="str">
        <f aca="false">IF(AA291="","",IFERROR(LOOKUP(2,1/(($AZ$5:$AZ$60&lt;&gt;"")*ISNUMBER(SEARCH($AZ$5:$AZ$60,AA291))),$BA$5:$BA$60),IF(AB291="Other","Excluded","Unmapped")))</f>
        <v/>
      </c>
      <c r="AD291" s="7" t="str">
        <f aca="false">IF(AA291="","",IF(AND(AB291&lt;&gt;"Other",OR(AND('KNOWIFY PHASES'!B291="Closed",N('KNOWIFY PHASES'!D291)&gt;=0.5),N('KNOWIFY PHASES'!D291)&gt;=1)),1,0))</f>
        <v/>
      </c>
      <c r="AE291" s="7" t="n">
        <f aca="false">N('KNOWIFY PHASES'!L291)</f>
        <v>0</v>
      </c>
      <c r="AF291" s="7" t="n">
        <f aca="false">N('KNOWIFY PHASES'!K291)</f>
        <v>0</v>
      </c>
      <c r="AG291" s="7" t="n">
        <f aca="false">N('KNOWIFY PHASES'!I291)</f>
        <v>0</v>
      </c>
      <c r="AH291" s="7" t="n">
        <f aca="false">N('KNOWIFY PHASES'!H291)</f>
        <v>0</v>
      </c>
      <c r="AI291" s="7" t="n">
        <f aca="false">N('KNOWIFY PHASES'!O291)</f>
        <v>0</v>
      </c>
      <c r="AJ291" s="7" t="n">
        <f aca="false">N('KNOWIFY PHASES'!N291)</f>
        <v>0</v>
      </c>
      <c r="AK291" s="7" t="n">
        <f aca="false">N('KNOWIFY PHASES'!R291)</f>
        <v>0</v>
      </c>
      <c r="AL291" s="7" t="n">
        <f aca="false">N('KNOWIFY PHASES'!Q291)</f>
        <v>0</v>
      </c>
      <c r="AM291" s="7" t="n">
        <f aca="false">N('KNOWIFY PHASES'!F291)</f>
        <v>0</v>
      </c>
      <c r="AN291" s="7" t="n">
        <f aca="false">N('KNOWIFY PHASES'!E291)</f>
        <v>0</v>
      </c>
      <c r="AO291" s="7" t="n">
        <f aca="false">MAX(AE291,AF291)</f>
        <v>0</v>
      </c>
      <c r="AP291" s="7" t="n">
        <f aca="false">MAX(AG291,AH291)</f>
        <v>0</v>
      </c>
      <c r="AQ291" s="7" t="n">
        <f aca="false">MAX(AI291,AJ291)</f>
        <v>0</v>
      </c>
      <c r="AR291" s="7" t="n">
        <f aca="false">MAX(AK291,AL291)</f>
        <v>0</v>
      </c>
      <c r="AT291" s="7" t="str">
        <f aca="false">IF('KNOWIFY TIME'!B291="","",'KNOWIFY TIME'!B291)</f>
        <v/>
      </c>
      <c r="AU291" s="7" t="n">
        <f aca="false">IF(AT291="",0,IF(ISNUMBER('KNOWIFY TIME'!D291),'KNOWIFY TIME'!D291*24,IFERROR(VALUE(LEFT('KNOWIFY TIME'!D291,FIND(":",'KNOWIFY TIME'!D291)-1))+VALUE(MID('KNOWIFY TIME'!D291,FIND(":",'KNOWIFY TIME'!D291)+1,2))/60,0)))</f>
        <v>0</v>
      </c>
      <c r="AV291" s="7" t="n">
        <f aca="false">N('KNOWIFY TIME'!E291)</f>
        <v>0</v>
      </c>
      <c r="AW291" s="7" t="str">
        <f aca="false">IF(AT291="","",IFERROR(INDEX($BD$5:$BD$60,MATCH(AT291,$BC$5:$BC$60,0)),"Unmapped"))</f>
        <v/>
      </c>
    </row>
    <row r="292" customFormat="false" ht="15" hidden="false" customHeight="false" outlineLevel="0" collapsed="false">
      <c r="AA292" s="7" t="str">
        <f aca="false">IF('KNOWIFY PHASES'!A292="","",'KNOWIFY PHASES'!A292)</f>
        <v/>
      </c>
      <c r="AB292" s="7" t="str">
        <f aca="false">IF(AA292="","",IF(LEFT(AA292,4)="P - ","P",IF(LEFT(AA292,4)="H - ","H",IF(LEFT(AA292,5)="AC - ","AC",IF(OR(LEFT(AA292,4)="V - ",LEFT(AA292,7)="HVAC - "),"V","Other")))))</f>
        <v/>
      </c>
      <c r="AC292" s="7" t="str">
        <f aca="false">IF(AA292="","",IFERROR(LOOKUP(2,1/(($AZ$5:$AZ$60&lt;&gt;"")*ISNUMBER(SEARCH($AZ$5:$AZ$60,AA292))),$BA$5:$BA$60),IF(AB292="Other","Excluded","Unmapped")))</f>
        <v/>
      </c>
      <c r="AD292" s="7" t="str">
        <f aca="false">IF(AA292="","",IF(AND(AB292&lt;&gt;"Other",OR(AND('KNOWIFY PHASES'!B292="Closed",N('KNOWIFY PHASES'!D292)&gt;=0.5),N('KNOWIFY PHASES'!D292)&gt;=1)),1,0))</f>
        <v/>
      </c>
      <c r="AE292" s="7" t="n">
        <f aca="false">N('KNOWIFY PHASES'!L292)</f>
        <v>0</v>
      </c>
      <c r="AF292" s="7" t="n">
        <f aca="false">N('KNOWIFY PHASES'!K292)</f>
        <v>0</v>
      </c>
      <c r="AG292" s="7" t="n">
        <f aca="false">N('KNOWIFY PHASES'!I292)</f>
        <v>0</v>
      </c>
      <c r="AH292" s="7" t="n">
        <f aca="false">N('KNOWIFY PHASES'!H292)</f>
        <v>0</v>
      </c>
      <c r="AI292" s="7" t="n">
        <f aca="false">N('KNOWIFY PHASES'!O292)</f>
        <v>0</v>
      </c>
      <c r="AJ292" s="7" t="n">
        <f aca="false">N('KNOWIFY PHASES'!N292)</f>
        <v>0</v>
      </c>
      <c r="AK292" s="7" t="n">
        <f aca="false">N('KNOWIFY PHASES'!R292)</f>
        <v>0</v>
      </c>
      <c r="AL292" s="7" t="n">
        <f aca="false">N('KNOWIFY PHASES'!Q292)</f>
        <v>0</v>
      </c>
      <c r="AM292" s="7" t="n">
        <f aca="false">N('KNOWIFY PHASES'!F292)</f>
        <v>0</v>
      </c>
      <c r="AN292" s="7" t="n">
        <f aca="false">N('KNOWIFY PHASES'!E292)</f>
        <v>0</v>
      </c>
      <c r="AO292" s="7" t="n">
        <f aca="false">MAX(AE292,AF292)</f>
        <v>0</v>
      </c>
      <c r="AP292" s="7" t="n">
        <f aca="false">MAX(AG292,AH292)</f>
        <v>0</v>
      </c>
      <c r="AQ292" s="7" t="n">
        <f aca="false">MAX(AI292,AJ292)</f>
        <v>0</v>
      </c>
      <c r="AR292" s="7" t="n">
        <f aca="false">MAX(AK292,AL292)</f>
        <v>0</v>
      </c>
      <c r="AT292" s="7" t="str">
        <f aca="false">IF('KNOWIFY TIME'!B292="","",'KNOWIFY TIME'!B292)</f>
        <v/>
      </c>
      <c r="AU292" s="7" t="n">
        <f aca="false">IF(AT292="",0,IF(ISNUMBER('KNOWIFY TIME'!D292),'KNOWIFY TIME'!D292*24,IFERROR(VALUE(LEFT('KNOWIFY TIME'!D292,FIND(":",'KNOWIFY TIME'!D292)-1))+VALUE(MID('KNOWIFY TIME'!D292,FIND(":",'KNOWIFY TIME'!D292)+1,2))/60,0)))</f>
        <v>0</v>
      </c>
      <c r="AV292" s="7" t="n">
        <f aca="false">N('KNOWIFY TIME'!E292)</f>
        <v>0</v>
      </c>
      <c r="AW292" s="7" t="str">
        <f aca="false">IF(AT292="","",IFERROR(INDEX($BD$5:$BD$60,MATCH(AT292,$BC$5:$BC$60,0)),"Unmapped"))</f>
        <v/>
      </c>
    </row>
    <row r="293" customFormat="false" ht="15" hidden="false" customHeight="false" outlineLevel="0" collapsed="false">
      <c r="AA293" s="7" t="str">
        <f aca="false">IF('KNOWIFY PHASES'!A293="","",'KNOWIFY PHASES'!A293)</f>
        <v/>
      </c>
      <c r="AB293" s="7" t="str">
        <f aca="false">IF(AA293="","",IF(LEFT(AA293,4)="P - ","P",IF(LEFT(AA293,4)="H - ","H",IF(LEFT(AA293,5)="AC - ","AC",IF(OR(LEFT(AA293,4)="V - ",LEFT(AA293,7)="HVAC - "),"V","Other")))))</f>
        <v/>
      </c>
      <c r="AC293" s="7" t="str">
        <f aca="false">IF(AA293="","",IFERROR(LOOKUP(2,1/(($AZ$5:$AZ$60&lt;&gt;"")*ISNUMBER(SEARCH($AZ$5:$AZ$60,AA293))),$BA$5:$BA$60),IF(AB293="Other","Excluded","Unmapped")))</f>
        <v/>
      </c>
      <c r="AD293" s="7" t="str">
        <f aca="false">IF(AA293="","",IF(AND(AB293&lt;&gt;"Other",OR(AND('KNOWIFY PHASES'!B293="Closed",N('KNOWIFY PHASES'!D293)&gt;=0.5),N('KNOWIFY PHASES'!D293)&gt;=1)),1,0))</f>
        <v/>
      </c>
      <c r="AE293" s="7" t="n">
        <f aca="false">N('KNOWIFY PHASES'!L293)</f>
        <v>0</v>
      </c>
      <c r="AF293" s="7" t="n">
        <f aca="false">N('KNOWIFY PHASES'!K293)</f>
        <v>0</v>
      </c>
      <c r="AG293" s="7" t="n">
        <f aca="false">N('KNOWIFY PHASES'!I293)</f>
        <v>0</v>
      </c>
      <c r="AH293" s="7" t="n">
        <f aca="false">N('KNOWIFY PHASES'!H293)</f>
        <v>0</v>
      </c>
      <c r="AI293" s="7" t="n">
        <f aca="false">N('KNOWIFY PHASES'!O293)</f>
        <v>0</v>
      </c>
      <c r="AJ293" s="7" t="n">
        <f aca="false">N('KNOWIFY PHASES'!N293)</f>
        <v>0</v>
      </c>
      <c r="AK293" s="7" t="n">
        <f aca="false">N('KNOWIFY PHASES'!R293)</f>
        <v>0</v>
      </c>
      <c r="AL293" s="7" t="n">
        <f aca="false">N('KNOWIFY PHASES'!Q293)</f>
        <v>0</v>
      </c>
      <c r="AM293" s="7" t="n">
        <f aca="false">N('KNOWIFY PHASES'!F293)</f>
        <v>0</v>
      </c>
      <c r="AN293" s="7" t="n">
        <f aca="false">N('KNOWIFY PHASES'!E293)</f>
        <v>0</v>
      </c>
      <c r="AO293" s="7" t="n">
        <f aca="false">MAX(AE293,AF293)</f>
        <v>0</v>
      </c>
      <c r="AP293" s="7" t="n">
        <f aca="false">MAX(AG293,AH293)</f>
        <v>0</v>
      </c>
      <c r="AQ293" s="7" t="n">
        <f aca="false">MAX(AI293,AJ293)</f>
        <v>0</v>
      </c>
      <c r="AR293" s="7" t="n">
        <f aca="false">MAX(AK293,AL293)</f>
        <v>0</v>
      </c>
      <c r="AT293" s="7" t="str">
        <f aca="false">IF('KNOWIFY TIME'!B293="","",'KNOWIFY TIME'!B293)</f>
        <v/>
      </c>
      <c r="AU293" s="7" t="n">
        <f aca="false">IF(AT293="",0,IF(ISNUMBER('KNOWIFY TIME'!D293),'KNOWIFY TIME'!D293*24,IFERROR(VALUE(LEFT('KNOWIFY TIME'!D293,FIND(":",'KNOWIFY TIME'!D293)-1))+VALUE(MID('KNOWIFY TIME'!D293,FIND(":",'KNOWIFY TIME'!D293)+1,2))/60,0)))</f>
        <v>0</v>
      </c>
      <c r="AV293" s="7" t="n">
        <f aca="false">N('KNOWIFY TIME'!E293)</f>
        <v>0</v>
      </c>
      <c r="AW293" s="7" t="str">
        <f aca="false">IF(AT293="","",IFERROR(INDEX($BD$5:$BD$60,MATCH(AT293,$BC$5:$BC$60,0)),"Unmapped"))</f>
        <v/>
      </c>
    </row>
    <row r="294" customFormat="false" ht="15" hidden="false" customHeight="false" outlineLevel="0" collapsed="false">
      <c r="AA294" s="7" t="str">
        <f aca="false">IF('KNOWIFY PHASES'!A294="","",'KNOWIFY PHASES'!A294)</f>
        <v/>
      </c>
      <c r="AB294" s="7" t="str">
        <f aca="false">IF(AA294="","",IF(LEFT(AA294,4)="P - ","P",IF(LEFT(AA294,4)="H - ","H",IF(LEFT(AA294,5)="AC - ","AC",IF(OR(LEFT(AA294,4)="V - ",LEFT(AA294,7)="HVAC - "),"V","Other")))))</f>
        <v/>
      </c>
      <c r="AC294" s="7" t="str">
        <f aca="false">IF(AA294="","",IFERROR(LOOKUP(2,1/(($AZ$5:$AZ$60&lt;&gt;"")*ISNUMBER(SEARCH($AZ$5:$AZ$60,AA294))),$BA$5:$BA$60),IF(AB294="Other","Excluded","Unmapped")))</f>
        <v/>
      </c>
      <c r="AD294" s="7" t="str">
        <f aca="false">IF(AA294="","",IF(AND(AB294&lt;&gt;"Other",OR(AND('KNOWIFY PHASES'!B294="Closed",N('KNOWIFY PHASES'!D294)&gt;=0.5),N('KNOWIFY PHASES'!D294)&gt;=1)),1,0))</f>
        <v/>
      </c>
      <c r="AE294" s="7" t="n">
        <f aca="false">N('KNOWIFY PHASES'!L294)</f>
        <v>0</v>
      </c>
      <c r="AF294" s="7" t="n">
        <f aca="false">N('KNOWIFY PHASES'!K294)</f>
        <v>0</v>
      </c>
      <c r="AG294" s="7" t="n">
        <f aca="false">N('KNOWIFY PHASES'!I294)</f>
        <v>0</v>
      </c>
      <c r="AH294" s="7" t="n">
        <f aca="false">N('KNOWIFY PHASES'!H294)</f>
        <v>0</v>
      </c>
      <c r="AI294" s="7" t="n">
        <f aca="false">N('KNOWIFY PHASES'!O294)</f>
        <v>0</v>
      </c>
      <c r="AJ294" s="7" t="n">
        <f aca="false">N('KNOWIFY PHASES'!N294)</f>
        <v>0</v>
      </c>
      <c r="AK294" s="7" t="n">
        <f aca="false">N('KNOWIFY PHASES'!R294)</f>
        <v>0</v>
      </c>
      <c r="AL294" s="7" t="n">
        <f aca="false">N('KNOWIFY PHASES'!Q294)</f>
        <v>0</v>
      </c>
      <c r="AM294" s="7" t="n">
        <f aca="false">N('KNOWIFY PHASES'!F294)</f>
        <v>0</v>
      </c>
      <c r="AN294" s="7" t="n">
        <f aca="false">N('KNOWIFY PHASES'!E294)</f>
        <v>0</v>
      </c>
      <c r="AO294" s="7" t="n">
        <f aca="false">MAX(AE294,AF294)</f>
        <v>0</v>
      </c>
      <c r="AP294" s="7" t="n">
        <f aca="false">MAX(AG294,AH294)</f>
        <v>0</v>
      </c>
      <c r="AQ294" s="7" t="n">
        <f aca="false">MAX(AI294,AJ294)</f>
        <v>0</v>
      </c>
      <c r="AR294" s="7" t="n">
        <f aca="false">MAX(AK294,AL294)</f>
        <v>0</v>
      </c>
      <c r="AT294" s="7" t="str">
        <f aca="false">IF('KNOWIFY TIME'!B294="","",'KNOWIFY TIME'!B294)</f>
        <v/>
      </c>
      <c r="AU294" s="7" t="n">
        <f aca="false">IF(AT294="",0,IF(ISNUMBER('KNOWIFY TIME'!D294),'KNOWIFY TIME'!D294*24,IFERROR(VALUE(LEFT('KNOWIFY TIME'!D294,FIND(":",'KNOWIFY TIME'!D294)-1))+VALUE(MID('KNOWIFY TIME'!D294,FIND(":",'KNOWIFY TIME'!D294)+1,2))/60,0)))</f>
        <v>0</v>
      </c>
      <c r="AV294" s="7" t="n">
        <f aca="false">N('KNOWIFY TIME'!E294)</f>
        <v>0</v>
      </c>
      <c r="AW294" s="7" t="str">
        <f aca="false">IF(AT294="","",IFERROR(INDEX($BD$5:$BD$60,MATCH(AT294,$BC$5:$BC$60,0)),"Unmapped"))</f>
        <v/>
      </c>
    </row>
    <row r="295" customFormat="false" ht="15" hidden="false" customHeight="false" outlineLevel="0" collapsed="false">
      <c r="AA295" s="7" t="str">
        <f aca="false">IF('KNOWIFY PHASES'!A295="","",'KNOWIFY PHASES'!A295)</f>
        <v/>
      </c>
      <c r="AB295" s="7" t="str">
        <f aca="false">IF(AA295="","",IF(LEFT(AA295,4)="P - ","P",IF(LEFT(AA295,4)="H - ","H",IF(LEFT(AA295,5)="AC - ","AC",IF(OR(LEFT(AA295,4)="V - ",LEFT(AA295,7)="HVAC - "),"V","Other")))))</f>
        <v/>
      </c>
      <c r="AC295" s="7" t="str">
        <f aca="false">IF(AA295="","",IFERROR(LOOKUP(2,1/(($AZ$5:$AZ$60&lt;&gt;"")*ISNUMBER(SEARCH($AZ$5:$AZ$60,AA295))),$BA$5:$BA$60),IF(AB295="Other","Excluded","Unmapped")))</f>
        <v/>
      </c>
      <c r="AD295" s="7" t="str">
        <f aca="false">IF(AA295="","",IF(AND(AB295&lt;&gt;"Other",OR(AND('KNOWIFY PHASES'!B295="Closed",N('KNOWIFY PHASES'!D295)&gt;=0.5),N('KNOWIFY PHASES'!D295)&gt;=1)),1,0))</f>
        <v/>
      </c>
      <c r="AE295" s="7" t="n">
        <f aca="false">N('KNOWIFY PHASES'!L295)</f>
        <v>0</v>
      </c>
      <c r="AF295" s="7" t="n">
        <f aca="false">N('KNOWIFY PHASES'!K295)</f>
        <v>0</v>
      </c>
      <c r="AG295" s="7" t="n">
        <f aca="false">N('KNOWIFY PHASES'!I295)</f>
        <v>0</v>
      </c>
      <c r="AH295" s="7" t="n">
        <f aca="false">N('KNOWIFY PHASES'!H295)</f>
        <v>0</v>
      </c>
      <c r="AI295" s="7" t="n">
        <f aca="false">N('KNOWIFY PHASES'!O295)</f>
        <v>0</v>
      </c>
      <c r="AJ295" s="7" t="n">
        <f aca="false">N('KNOWIFY PHASES'!N295)</f>
        <v>0</v>
      </c>
      <c r="AK295" s="7" t="n">
        <f aca="false">N('KNOWIFY PHASES'!R295)</f>
        <v>0</v>
      </c>
      <c r="AL295" s="7" t="n">
        <f aca="false">N('KNOWIFY PHASES'!Q295)</f>
        <v>0</v>
      </c>
      <c r="AM295" s="7" t="n">
        <f aca="false">N('KNOWIFY PHASES'!F295)</f>
        <v>0</v>
      </c>
      <c r="AN295" s="7" t="n">
        <f aca="false">N('KNOWIFY PHASES'!E295)</f>
        <v>0</v>
      </c>
      <c r="AO295" s="7" t="n">
        <f aca="false">MAX(AE295,AF295)</f>
        <v>0</v>
      </c>
      <c r="AP295" s="7" t="n">
        <f aca="false">MAX(AG295,AH295)</f>
        <v>0</v>
      </c>
      <c r="AQ295" s="7" t="n">
        <f aca="false">MAX(AI295,AJ295)</f>
        <v>0</v>
      </c>
      <c r="AR295" s="7" t="n">
        <f aca="false">MAX(AK295,AL295)</f>
        <v>0</v>
      </c>
      <c r="AT295" s="7" t="str">
        <f aca="false">IF('KNOWIFY TIME'!B295="","",'KNOWIFY TIME'!B295)</f>
        <v/>
      </c>
      <c r="AU295" s="7" t="n">
        <f aca="false">IF(AT295="",0,IF(ISNUMBER('KNOWIFY TIME'!D295),'KNOWIFY TIME'!D295*24,IFERROR(VALUE(LEFT('KNOWIFY TIME'!D295,FIND(":",'KNOWIFY TIME'!D295)-1))+VALUE(MID('KNOWIFY TIME'!D295,FIND(":",'KNOWIFY TIME'!D295)+1,2))/60,0)))</f>
        <v>0</v>
      </c>
      <c r="AV295" s="7" t="n">
        <f aca="false">N('KNOWIFY TIME'!E295)</f>
        <v>0</v>
      </c>
      <c r="AW295" s="7" t="str">
        <f aca="false">IF(AT295="","",IFERROR(INDEX($BD$5:$BD$60,MATCH(AT295,$BC$5:$BC$60,0)),"Unmapped"))</f>
        <v/>
      </c>
    </row>
    <row r="296" customFormat="false" ht="15" hidden="false" customHeight="false" outlineLevel="0" collapsed="false">
      <c r="AA296" s="7" t="str">
        <f aca="false">IF('KNOWIFY PHASES'!A296="","",'KNOWIFY PHASES'!A296)</f>
        <v/>
      </c>
      <c r="AB296" s="7" t="str">
        <f aca="false">IF(AA296="","",IF(LEFT(AA296,4)="P - ","P",IF(LEFT(AA296,4)="H - ","H",IF(LEFT(AA296,5)="AC - ","AC",IF(OR(LEFT(AA296,4)="V - ",LEFT(AA296,7)="HVAC - "),"V","Other")))))</f>
        <v/>
      </c>
      <c r="AC296" s="7" t="str">
        <f aca="false">IF(AA296="","",IFERROR(LOOKUP(2,1/(($AZ$5:$AZ$60&lt;&gt;"")*ISNUMBER(SEARCH($AZ$5:$AZ$60,AA296))),$BA$5:$BA$60),IF(AB296="Other","Excluded","Unmapped")))</f>
        <v/>
      </c>
      <c r="AD296" s="7" t="str">
        <f aca="false">IF(AA296="","",IF(AND(AB296&lt;&gt;"Other",OR(AND('KNOWIFY PHASES'!B296="Closed",N('KNOWIFY PHASES'!D296)&gt;=0.5),N('KNOWIFY PHASES'!D296)&gt;=1)),1,0))</f>
        <v/>
      </c>
      <c r="AE296" s="7" t="n">
        <f aca="false">N('KNOWIFY PHASES'!L296)</f>
        <v>0</v>
      </c>
      <c r="AF296" s="7" t="n">
        <f aca="false">N('KNOWIFY PHASES'!K296)</f>
        <v>0</v>
      </c>
      <c r="AG296" s="7" t="n">
        <f aca="false">N('KNOWIFY PHASES'!I296)</f>
        <v>0</v>
      </c>
      <c r="AH296" s="7" t="n">
        <f aca="false">N('KNOWIFY PHASES'!H296)</f>
        <v>0</v>
      </c>
      <c r="AI296" s="7" t="n">
        <f aca="false">N('KNOWIFY PHASES'!O296)</f>
        <v>0</v>
      </c>
      <c r="AJ296" s="7" t="n">
        <f aca="false">N('KNOWIFY PHASES'!N296)</f>
        <v>0</v>
      </c>
      <c r="AK296" s="7" t="n">
        <f aca="false">N('KNOWIFY PHASES'!R296)</f>
        <v>0</v>
      </c>
      <c r="AL296" s="7" t="n">
        <f aca="false">N('KNOWIFY PHASES'!Q296)</f>
        <v>0</v>
      </c>
      <c r="AM296" s="7" t="n">
        <f aca="false">N('KNOWIFY PHASES'!F296)</f>
        <v>0</v>
      </c>
      <c r="AN296" s="7" t="n">
        <f aca="false">N('KNOWIFY PHASES'!E296)</f>
        <v>0</v>
      </c>
      <c r="AO296" s="7" t="n">
        <f aca="false">MAX(AE296,AF296)</f>
        <v>0</v>
      </c>
      <c r="AP296" s="7" t="n">
        <f aca="false">MAX(AG296,AH296)</f>
        <v>0</v>
      </c>
      <c r="AQ296" s="7" t="n">
        <f aca="false">MAX(AI296,AJ296)</f>
        <v>0</v>
      </c>
      <c r="AR296" s="7" t="n">
        <f aca="false">MAX(AK296,AL296)</f>
        <v>0</v>
      </c>
      <c r="AT296" s="7" t="str">
        <f aca="false">IF('KNOWIFY TIME'!B296="","",'KNOWIFY TIME'!B296)</f>
        <v/>
      </c>
      <c r="AU296" s="7" t="n">
        <f aca="false">IF(AT296="",0,IF(ISNUMBER('KNOWIFY TIME'!D296),'KNOWIFY TIME'!D296*24,IFERROR(VALUE(LEFT('KNOWIFY TIME'!D296,FIND(":",'KNOWIFY TIME'!D296)-1))+VALUE(MID('KNOWIFY TIME'!D296,FIND(":",'KNOWIFY TIME'!D296)+1,2))/60,0)))</f>
        <v>0</v>
      </c>
      <c r="AV296" s="7" t="n">
        <f aca="false">N('KNOWIFY TIME'!E296)</f>
        <v>0</v>
      </c>
      <c r="AW296" s="7" t="str">
        <f aca="false">IF(AT296="","",IFERROR(INDEX($BD$5:$BD$60,MATCH(AT296,$BC$5:$BC$60,0)),"Unmapped"))</f>
        <v/>
      </c>
    </row>
    <row r="297" customFormat="false" ht="15" hidden="false" customHeight="false" outlineLevel="0" collapsed="false">
      <c r="AA297" s="7" t="str">
        <f aca="false">IF('KNOWIFY PHASES'!A297="","",'KNOWIFY PHASES'!A297)</f>
        <v/>
      </c>
      <c r="AB297" s="7" t="str">
        <f aca="false">IF(AA297="","",IF(LEFT(AA297,4)="P - ","P",IF(LEFT(AA297,4)="H - ","H",IF(LEFT(AA297,5)="AC - ","AC",IF(OR(LEFT(AA297,4)="V - ",LEFT(AA297,7)="HVAC - "),"V","Other")))))</f>
        <v/>
      </c>
      <c r="AC297" s="7" t="str">
        <f aca="false">IF(AA297="","",IFERROR(LOOKUP(2,1/(($AZ$5:$AZ$60&lt;&gt;"")*ISNUMBER(SEARCH($AZ$5:$AZ$60,AA297))),$BA$5:$BA$60),IF(AB297="Other","Excluded","Unmapped")))</f>
        <v/>
      </c>
      <c r="AD297" s="7" t="str">
        <f aca="false">IF(AA297="","",IF(AND(AB297&lt;&gt;"Other",OR(AND('KNOWIFY PHASES'!B297="Closed",N('KNOWIFY PHASES'!D297)&gt;=0.5),N('KNOWIFY PHASES'!D297)&gt;=1)),1,0))</f>
        <v/>
      </c>
      <c r="AE297" s="7" t="n">
        <f aca="false">N('KNOWIFY PHASES'!L297)</f>
        <v>0</v>
      </c>
      <c r="AF297" s="7" t="n">
        <f aca="false">N('KNOWIFY PHASES'!K297)</f>
        <v>0</v>
      </c>
      <c r="AG297" s="7" t="n">
        <f aca="false">N('KNOWIFY PHASES'!I297)</f>
        <v>0</v>
      </c>
      <c r="AH297" s="7" t="n">
        <f aca="false">N('KNOWIFY PHASES'!H297)</f>
        <v>0</v>
      </c>
      <c r="AI297" s="7" t="n">
        <f aca="false">N('KNOWIFY PHASES'!O297)</f>
        <v>0</v>
      </c>
      <c r="AJ297" s="7" t="n">
        <f aca="false">N('KNOWIFY PHASES'!N297)</f>
        <v>0</v>
      </c>
      <c r="AK297" s="7" t="n">
        <f aca="false">N('KNOWIFY PHASES'!R297)</f>
        <v>0</v>
      </c>
      <c r="AL297" s="7" t="n">
        <f aca="false">N('KNOWIFY PHASES'!Q297)</f>
        <v>0</v>
      </c>
      <c r="AM297" s="7" t="n">
        <f aca="false">N('KNOWIFY PHASES'!F297)</f>
        <v>0</v>
      </c>
      <c r="AN297" s="7" t="n">
        <f aca="false">N('KNOWIFY PHASES'!E297)</f>
        <v>0</v>
      </c>
      <c r="AO297" s="7" t="n">
        <f aca="false">MAX(AE297,AF297)</f>
        <v>0</v>
      </c>
      <c r="AP297" s="7" t="n">
        <f aca="false">MAX(AG297,AH297)</f>
        <v>0</v>
      </c>
      <c r="AQ297" s="7" t="n">
        <f aca="false">MAX(AI297,AJ297)</f>
        <v>0</v>
      </c>
      <c r="AR297" s="7" t="n">
        <f aca="false">MAX(AK297,AL297)</f>
        <v>0</v>
      </c>
      <c r="AT297" s="7" t="str">
        <f aca="false">IF('KNOWIFY TIME'!B297="","",'KNOWIFY TIME'!B297)</f>
        <v/>
      </c>
      <c r="AU297" s="7" t="n">
        <f aca="false">IF(AT297="",0,IF(ISNUMBER('KNOWIFY TIME'!D297),'KNOWIFY TIME'!D297*24,IFERROR(VALUE(LEFT('KNOWIFY TIME'!D297,FIND(":",'KNOWIFY TIME'!D297)-1))+VALUE(MID('KNOWIFY TIME'!D297,FIND(":",'KNOWIFY TIME'!D297)+1,2))/60,0)))</f>
        <v>0</v>
      </c>
      <c r="AV297" s="7" t="n">
        <f aca="false">N('KNOWIFY TIME'!E297)</f>
        <v>0</v>
      </c>
      <c r="AW297" s="7" t="str">
        <f aca="false">IF(AT297="","",IFERROR(INDEX($BD$5:$BD$60,MATCH(AT297,$BC$5:$BC$60,0)),"Unmapped"))</f>
        <v/>
      </c>
    </row>
    <row r="298" customFormat="false" ht="15" hidden="false" customHeight="false" outlineLevel="0" collapsed="false">
      <c r="AA298" s="7" t="str">
        <f aca="false">IF('KNOWIFY PHASES'!A298="","",'KNOWIFY PHASES'!A298)</f>
        <v/>
      </c>
      <c r="AB298" s="7" t="str">
        <f aca="false">IF(AA298="","",IF(LEFT(AA298,4)="P - ","P",IF(LEFT(AA298,4)="H - ","H",IF(LEFT(AA298,5)="AC - ","AC",IF(OR(LEFT(AA298,4)="V - ",LEFT(AA298,7)="HVAC - "),"V","Other")))))</f>
        <v/>
      </c>
      <c r="AC298" s="7" t="str">
        <f aca="false">IF(AA298="","",IFERROR(LOOKUP(2,1/(($AZ$5:$AZ$60&lt;&gt;"")*ISNUMBER(SEARCH($AZ$5:$AZ$60,AA298))),$BA$5:$BA$60),IF(AB298="Other","Excluded","Unmapped")))</f>
        <v/>
      </c>
      <c r="AD298" s="7" t="str">
        <f aca="false">IF(AA298="","",IF(AND(AB298&lt;&gt;"Other",OR(AND('KNOWIFY PHASES'!B298="Closed",N('KNOWIFY PHASES'!D298)&gt;=0.5),N('KNOWIFY PHASES'!D298)&gt;=1)),1,0))</f>
        <v/>
      </c>
      <c r="AE298" s="7" t="n">
        <f aca="false">N('KNOWIFY PHASES'!L298)</f>
        <v>0</v>
      </c>
      <c r="AF298" s="7" t="n">
        <f aca="false">N('KNOWIFY PHASES'!K298)</f>
        <v>0</v>
      </c>
      <c r="AG298" s="7" t="n">
        <f aca="false">N('KNOWIFY PHASES'!I298)</f>
        <v>0</v>
      </c>
      <c r="AH298" s="7" t="n">
        <f aca="false">N('KNOWIFY PHASES'!H298)</f>
        <v>0</v>
      </c>
      <c r="AI298" s="7" t="n">
        <f aca="false">N('KNOWIFY PHASES'!O298)</f>
        <v>0</v>
      </c>
      <c r="AJ298" s="7" t="n">
        <f aca="false">N('KNOWIFY PHASES'!N298)</f>
        <v>0</v>
      </c>
      <c r="AK298" s="7" t="n">
        <f aca="false">N('KNOWIFY PHASES'!R298)</f>
        <v>0</v>
      </c>
      <c r="AL298" s="7" t="n">
        <f aca="false">N('KNOWIFY PHASES'!Q298)</f>
        <v>0</v>
      </c>
      <c r="AM298" s="7" t="n">
        <f aca="false">N('KNOWIFY PHASES'!F298)</f>
        <v>0</v>
      </c>
      <c r="AN298" s="7" t="n">
        <f aca="false">N('KNOWIFY PHASES'!E298)</f>
        <v>0</v>
      </c>
      <c r="AO298" s="7" t="n">
        <f aca="false">MAX(AE298,AF298)</f>
        <v>0</v>
      </c>
      <c r="AP298" s="7" t="n">
        <f aca="false">MAX(AG298,AH298)</f>
        <v>0</v>
      </c>
      <c r="AQ298" s="7" t="n">
        <f aca="false">MAX(AI298,AJ298)</f>
        <v>0</v>
      </c>
      <c r="AR298" s="7" t="n">
        <f aca="false">MAX(AK298,AL298)</f>
        <v>0</v>
      </c>
      <c r="AT298" s="7" t="str">
        <f aca="false">IF('KNOWIFY TIME'!B298="","",'KNOWIFY TIME'!B298)</f>
        <v/>
      </c>
      <c r="AU298" s="7" t="n">
        <f aca="false">IF(AT298="",0,IF(ISNUMBER('KNOWIFY TIME'!D298),'KNOWIFY TIME'!D298*24,IFERROR(VALUE(LEFT('KNOWIFY TIME'!D298,FIND(":",'KNOWIFY TIME'!D298)-1))+VALUE(MID('KNOWIFY TIME'!D298,FIND(":",'KNOWIFY TIME'!D298)+1,2))/60,0)))</f>
        <v>0</v>
      </c>
      <c r="AV298" s="7" t="n">
        <f aca="false">N('KNOWIFY TIME'!E298)</f>
        <v>0</v>
      </c>
      <c r="AW298" s="7" t="str">
        <f aca="false">IF(AT298="","",IFERROR(INDEX($BD$5:$BD$60,MATCH(AT298,$BC$5:$BC$60,0)),"Unmapped"))</f>
        <v/>
      </c>
    </row>
    <row r="299" customFormat="false" ht="15" hidden="false" customHeight="false" outlineLevel="0" collapsed="false">
      <c r="AA299" s="7" t="str">
        <f aca="false">IF('KNOWIFY PHASES'!A299="","",'KNOWIFY PHASES'!A299)</f>
        <v/>
      </c>
      <c r="AB299" s="7" t="str">
        <f aca="false">IF(AA299="","",IF(LEFT(AA299,4)="P - ","P",IF(LEFT(AA299,4)="H - ","H",IF(LEFT(AA299,5)="AC - ","AC",IF(OR(LEFT(AA299,4)="V - ",LEFT(AA299,7)="HVAC - "),"V","Other")))))</f>
        <v/>
      </c>
      <c r="AC299" s="7" t="str">
        <f aca="false">IF(AA299="","",IFERROR(LOOKUP(2,1/(($AZ$5:$AZ$60&lt;&gt;"")*ISNUMBER(SEARCH($AZ$5:$AZ$60,AA299))),$BA$5:$BA$60),IF(AB299="Other","Excluded","Unmapped")))</f>
        <v/>
      </c>
      <c r="AD299" s="7" t="str">
        <f aca="false">IF(AA299="","",IF(AND(AB299&lt;&gt;"Other",OR(AND('KNOWIFY PHASES'!B299="Closed",N('KNOWIFY PHASES'!D299)&gt;=0.5),N('KNOWIFY PHASES'!D299)&gt;=1)),1,0))</f>
        <v/>
      </c>
      <c r="AE299" s="7" t="n">
        <f aca="false">N('KNOWIFY PHASES'!L299)</f>
        <v>0</v>
      </c>
      <c r="AF299" s="7" t="n">
        <f aca="false">N('KNOWIFY PHASES'!K299)</f>
        <v>0</v>
      </c>
      <c r="AG299" s="7" t="n">
        <f aca="false">N('KNOWIFY PHASES'!I299)</f>
        <v>0</v>
      </c>
      <c r="AH299" s="7" t="n">
        <f aca="false">N('KNOWIFY PHASES'!H299)</f>
        <v>0</v>
      </c>
      <c r="AI299" s="7" t="n">
        <f aca="false">N('KNOWIFY PHASES'!O299)</f>
        <v>0</v>
      </c>
      <c r="AJ299" s="7" t="n">
        <f aca="false">N('KNOWIFY PHASES'!N299)</f>
        <v>0</v>
      </c>
      <c r="AK299" s="7" t="n">
        <f aca="false">N('KNOWIFY PHASES'!R299)</f>
        <v>0</v>
      </c>
      <c r="AL299" s="7" t="n">
        <f aca="false">N('KNOWIFY PHASES'!Q299)</f>
        <v>0</v>
      </c>
      <c r="AM299" s="7" t="n">
        <f aca="false">N('KNOWIFY PHASES'!F299)</f>
        <v>0</v>
      </c>
      <c r="AN299" s="7" t="n">
        <f aca="false">N('KNOWIFY PHASES'!E299)</f>
        <v>0</v>
      </c>
      <c r="AO299" s="7" t="n">
        <f aca="false">MAX(AE299,AF299)</f>
        <v>0</v>
      </c>
      <c r="AP299" s="7" t="n">
        <f aca="false">MAX(AG299,AH299)</f>
        <v>0</v>
      </c>
      <c r="AQ299" s="7" t="n">
        <f aca="false">MAX(AI299,AJ299)</f>
        <v>0</v>
      </c>
      <c r="AR299" s="7" t="n">
        <f aca="false">MAX(AK299,AL299)</f>
        <v>0</v>
      </c>
      <c r="AT299" s="7" t="str">
        <f aca="false">IF('KNOWIFY TIME'!B299="","",'KNOWIFY TIME'!B299)</f>
        <v/>
      </c>
      <c r="AU299" s="7" t="n">
        <f aca="false">IF(AT299="",0,IF(ISNUMBER('KNOWIFY TIME'!D299),'KNOWIFY TIME'!D299*24,IFERROR(VALUE(LEFT('KNOWIFY TIME'!D299,FIND(":",'KNOWIFY TIME'!D299)-1))+VALUE(MID('KNOWIFY TIME'!D299,FIND(":",'KNOWIFY TIME'!D299)+1,2))/60,0)))</f>
        <v>0</v>
      </c>
      <c r="AV299" s="7" t="n">
        <f aca="false">N('KNOWIFY TIME'!E299)</f>
        <v>0</v>
      </c>
      <c r="AW299" s="7" t="str">
        <f aca="false">IF(AT299="","",IFERROR(INDEX($BD$5:$BD$60,MATCH(AT299,$BC$5:$BC$60,0)),"Unmapped"))</f>
        <v/>
      </c>
    </row>
    <row r="300" customFormat="false" ht="15" hidden="false" customHeight="false" outlineLevel="0" collapsed="false">
      <c r="AA300" s="7" t="str">
        <f aca="false">IF('KNOWIFY PHASES'!A300="","",'KNOWIFY PHASES'!A300)</f>
        <v/>
      </c>
      <c r="AB300" s="7" t="str">
        <f aca="false">IF(AA300="","",IF(LEFT(AA300,4)="P - ","P",IF(LEFT(AA300,4)="H - ","H",IF(LEFT(AA300,5)="AC - ","AC",IF(OR(LEFT(AA300,4)="V - ",LEFT(AA300,7)="HVAC - "),"V","Other")))))</f>
        <v/>
      </c>
      <c r="AC300" s="7" t="str">
        <f aca="false">IF(AA300="","",IFERROR(LOOKUP(2,1/(($AZ$5:$AZ$60&lt;&gt;"")*ISNUMBER(SEARCH($AZ$5:$AZ$60,AA300))),$BA$5:$BA$60),IF(AB300="Other","Excluded","Unmapped")))</f>
        <v/>
      </c>
      <c r="AD300" s="7" t="str">
        <f aca="false">IF(AA300="","",IF(AND(AB300&lt;&gt;"Other",OR(AND('KNOWIFY PHASES'!B300="Closed",N('KNOWIFY PHASES'!D300)&gt;=0.5),N('KNOWIFY PHASES'!D300)&gt;=1)),1,0))</f>
        <v/>
      </c>
      <c r="AE300" s="7" t="n">
        <f aca="false">N('KNOWIFY PHASES'!L300)</f>
        <v>0</v>
      </c>
      <c r="AF300" s="7" t="n">
        <f aca="false">N('KNOWIFY PHASES'!K300)</f>
        <v>0</v>
      </c>
      <c r="AG300" s="7" t="n">
        <f aca="false">N('KNOWIFY PHASES'!I300)</f>
        <v>0</v>
      </c>
      <c r="AH300" s="7" t="n">
        <f aca="false">N('KNOWIFY PHASES'!H300)</f>
        <v>0</v>
      </c>
      <c r="AI300" s="7" t="n">
        <f aca="false">N('KNOWIFY PHASES'!O300)</f>
        <v>0</v>
      </c>
      <c r="AJ300" s="7" t="n">
        <f aca="false">N('KNOWIFY PHASES'!N300)</f>
        <v>0</v>
      </c>
      <c r="AK300" s="7" t="n">
        <f aca="false">N('KNOWIFY PHASES'!R300)</f>
        <v>0</v>
      </c>
      <c r="AL300" s="7" t="n">
        <f aca="false">N('KNOWIFY PHASES'!Q300)</f>
        <v>0</v>
      </c>
      <c r="AM300" s="7" t="n">
        <f aca="false">N('KNOWIFY PHASES'!F300)</f>
        <v>0</v>
      </c>
      <c r="AN300" s="7" t="n">
        <f aca="false">N('KNOWIFY PHASES'!E300)</f>
        <v>0</v>
      </c>
      <c r="AO300" s="7" t="n">
        <f aca="false">MAX(AE300,AF300)</f>
        <v>0</v>
      </c>
      <c r="AP300" s="7" t="n">
        <f aca="false">MAX(AG300,AH300)</f>
        <v>0</v>
      </c>
      <c r="AQ300" s="7" t="n">
        <f aca="false">MAX(AI300,AJ300)</f>
        <v>0</v>
      </c>
      <c r="AR300" s="7" t="n">
        <f aca="false">MAX(AK300,AL300)</f>
        <v>0</v>
      </c>
      <c r="AT300" s="7" t="str">
        <f aca="false">IF('KNOWIFY TIME'!B300="","",'KNOWIFY TIME'!B300)</f>
        <v/>
      </c>
      <c r="AU300" s="7" t="n">
        <f aca="false">IF(AT300="",0,IF(ISNUMBER('KNOWIFY TIME'!D300),'KNOWIFY TIME'!D300*24,IFERROR(VALUE(LEFT('KNOWIFY TIME'!D300,FIND(":",'KNOWIFY TIME'!D300)-1))+VALUE(MID('KNOWIFY TIME'!D300,FIND(":",'KNOWIFY TIME'!D300)+1,2))/60,0)))</f>
        <v>0</v>
      </c>
      <c r="AV300" s="7" t="n">
        <f aca="false">N('KNOWIFY TIME'!E300)</f>
        <v>0</v>
      </c>
      <c r="AW300" s="7" t="str">
        <f aca="false">IF(AT300="","",IFERROR(INDEX($BD$5:$BD$60,MATCH(AT300,$BC$5:$BC$60,0)),"Unmapped"))</f>
        <v/>
      </c>
    </row>
    <row r="301" customFormat="false" ht="15" hidden="false" customHeight="false" outlineLevel="0" collapsed="false">
      <c r="AA301" s="7" t="str">
        <f aca="false">IF('KNOWIFY PHASES'!A301="","",'KNOWIFY PHASES'!A301)</f>
        <v/>
      </c>
      <c r="AB301" s="7" t="str">
        <f aca="false">IF(AA301="","",IF(LEFT(AA301,4)="P - ","P",IF(LEFT(AA301,4)="H - ","H",IF(LEFT(AA301,5)="AC - ","AC",IF(OR(LEFT(AA301,4)="V - ",LEFT(AA301,7)="HVAC - "),"V","Other")))))</f>
        <v/>
      </c>
      <c r="AC301" s="7" t="str">
        <f aca="false">IF(AA301="","",IFERROR(LOOKUP(2,1/(($AZ$5:$AZ$60&lt;&gt;"")*ISNUMBER(SEARCH($AZ$5:$AZ$60,AA301))),$BA$5:$BA$60),IF(AB301="Other","Excluded","Unmapped")))</f>
        <v/>
      </c>
      <c r="AD301" s="7" t="str">
        <f aca="false">IF(AA301="","",IF(AND(AB301&lt;&gt;"Other",OR(AND('KNOWIFY PHASES'!B301="Closed",N('KNOWIFY PHASES'!D301)&gt;=0.5),N('KNOWIFY PHASES'!D301)&gt;=1)),1,0))</f>
        <v/>
      </c>
      <c r="AE301" s="7" t="n">
        <f aca="false">N('KNOWIFY PHASES'!L301)</f>
        <v>0</v>
      </c>
      <c r="AF301" s="7" t="n">
        <f aca="false">N('KNOWIFY PHASES'!K301)</f>
        <v>0</v>
      </c>
      <c r="AG301" s="7" t="n">
        <f aca="false">N('KNOWIFY PHASES'!I301)</f>
        <v>0</v>
      </c>
      <c r="AH301" s="7" t="n">
        <f aca="false">N('KNOWIFY PHASES'!H301)</f>
        <v>0</v>
      </c>
      <c r="AI301" s="7" t="n">
        <f aca="false">N('KNOWIFY PHASES'!O301)</f>
        <v>0</v>
      </c>
      <c r="AJ301" s="7" t="n">
        <f aca="false">N('KNOWIFY PHASES'!N301)</f>
        <v>0</v>
      </c>
      <c r="AK301" s="7" t="n">
        <f aca="false">N('KNOWIFY PHASES'!R301)</f>
        <v>0</v>
      </c>
      <c r="AL301" s="7" t="n">
        <f aca="false">N('KNOWIFY PHASES'!Q301)</f>
        <v>0</v>
      </c>
      <c r="AM301" s="7" t="n">
        <f aca="false">N('KNOWIFY PHASES'!F301)</f>
        <v>0</v>
      </c>
      <c r="AN301" s="7" t="n">
        <f aca="false">N('KNOWIFY PHASES'!E301)</f>
        <v>0</v>
      </c>
      <c r="AO301" s="7" t="n">
        <f aca="false">MAX(AE301,AF301)</f>
        <v>0</v>
      </c>
      <c r="AP301" s="7" t="n">
        <f aca="false">MAX(AG301,AH301)</f>
        <v>0</v>
      </c>
      <c r="AQ301" s="7" t="n">
        <f aca="false">MAX(AI301,AJ301)</f>
        <v>0</v>
      </c>
      <c r="AR301" s="7" t="n">
        <f aca="false">MAX(AK301,AL301)</f>
        <v>0</v>
      </c>
    </row>
    <row r="302" customFormat="false" ht="15" hidden="false" customHeight="false" outlineLevel="0" collapsed="false">
      <c r="AA302" s="7" t="str">
        <f aca="false">IF('KNOWIFY PHASES'!A302="","",'KNOWIFY PHASES'!A302)</f>
        <v/>
      </c>
      <c r="AB302" s="7" t="str">
        <f aca="false">IF(AA302="","",IF(LEFT(AA302,4)="P - ","P",IF(LEFT(AA302,4)="H - ","H",IF(LEFT(AA302,5)="AC - ","AC",IF(OR(LEFT(AA302,4)="V - ",LEFT(AA302,7)="HVAC - "),"V","Other")))))</f>
        <v/>
      </c>
      <c r="AC302" s="7" t="str">
        <f aca="false">IF(AA302="","",IFERROR(LOOKUP(2,1/(($AZ$5:$AZ$60&lt;&gt;"")*ISNUMBER(SEARCH($AZ$5:$AZ$60,AA302))),$BA$5:$BA$60),IF(AB302="Other","Excluded","Unmapped")))</f>
        <v/>
      </c>
      <c r="AD302" s="7" t="str">
        <f aca="false">IF(AA302="","",IF(AND(AB302&lt;&gt;"Other",OR(AND('KNOWIFY PHASES'!B302="Closed",N('KNOWIFY PHASES'!D302)&gt;=0.5),N('KNOWIFY PHASES'!D302)&gt;=1)),1,0))</f>
        <v/>
      </c>
      <c r="AE302" s="7" t="n">
        <f aca="false">N('KNOWIFY PHASES'!L302)</f>
        <v>0</v>
      </c>
      <c r="AF302" s="7" t="n">
        <f aca="false">N('KNOWIFY PHASES'!K302)</f>
        <v>0</v>
      </c>
      <c r="AG302" s="7" t="n">
        <f aca="false">N('KNOWIFY PHASES'!I302)</f>
        <v>0</v>
      </c>
      <c r="AH302" s="7" t="n">
        <f aca="false">N('KNOWIFY PHASES'!H302)</f>
        <v>0</v>
      </c>
      <c r="AI302" s="7" t="n">
        <f aca="false">N('KNOWIFY PHASES'!O302)</f>
        <v>0</v>
      </c>
      <c r="AJ302" s="7" t="n">
        <f aca="false">N('KNOWIFY PHASES'!N302)</f>
        <v>0</v>
      </c>
      <c r="AK302" s="7" t="n">
        <f aca="false">N('KNOWIFY PHASES'!R302)</f>
        <v>0</v>
      </c>
      <c r="AL302" s="7" t="n">
        <f aca="false">N('KNOWIFY PHASES'!Q302)</f>
        <v>0</v>
      </c>
      <c r="AM302" s="7" t="n">
        <f aca="false">N('KNOWIFY PHASES'!F302)</f>
        <v>0</v>
      </c>
      <c r="AN302" s="7" t="n">
        <f aca="false">N('KNOWIFY PHASES'!E302)</f>
        <v>0</v>
      </c>
      <c r="AO302" s="7" t="n">
        <f aca="false">MAX(AE302,AF302)</f>
        <v>0</v>
      </c>
      <c r="AP302" s="7" t="n">
        <f aca="false">MAX(AG302,AH302)</f>
        <v>0</v>
      </c>
      <c r="AQ302" s="7" t="n">
        <f aca="false">MAX(AI302,AJ302)</f>
        <v>0</v>
      </c>
      <c r="AR302" s="7" t="n">
        <f aca="false">MAX(AK302,AL302)</f>
        <v>0</v>
      </c>
    </row>
    <row r="303" customFormat="false" ht="15" hidden="false" customHeight="false" outlineLevel="0" collapsed="false">
      <c r="AA303" s="7" t="str">
        <f aca="false">IF('KNOWIFY PHASES'!A303="","",'KNOWIFY PHASES'!A303)</f>
        <v/>
      </c>
      <c r="AB303" s="7" t="str">
        <f aca="false">IF(AA303="","",IF(LEFT(AA303,4)="P - ","P",IF(LEFT(AA303,4)="H - ","H",IF(LEFT(AA303,5)="AC - ","AC",IF(OR(LEFT(AA303,4)="V - ",LEFT(AA303,7)="HVAC - "),"V","Other")))))</f>
        <v/>
      </c>
      <c r="AC303" s="7" t="str">
        <f aca="false">IF(AA303="","",IFERROR(LOOKUP(2,1/(($AZ$5:$AZ$60&lt;&gt;"")*ISNUMBER(SEARCH($AZ$5:$AZ$60,AA303))),$BA$5:$BA$60),IF(AB303="Other","Excluded","Unmapped")))</f>
        <v/>
      </c>
      <c r="AD303" s="7" t="str">
        <f aca="false">IF(AA303="","",IF(AND(AB303&lt;&gt;"Other",OR(AND('KNOWIFY PHASES'!B303="Closed",N('KNOWIFY PHASES'!D303)&gt;=0.5),N('KNOWIFY PHASES'!D303)&gt;=1)),1,0))</f>
        <v/>
      </c>
      <c r="AE303" s="7" t="n">
        <f aca="false">N('KNOWIFY PHASES'!L303)</f>
        <v>0</v>
      </c>
      <c r="AF303" s="7" t="n">
        <f aca="false">N('KNOWIFY PHASES'!K303)</f>
        <v>0</v>
      </c>
      <c r="AG303" s="7" t="n">
        <f aca="false">N('KNOWIFY PHASES'!I303)</f>
        <v>0</v>
      </c>
      <c r="AH303" s="7" t="n">
        <f aca="false">N('KNOWIFY PHASES'!H303)</f>
        <v>0</v>
      </c>
      <c r="AI303" s="7" t="n">
        <f aca="false">N('KNOWIFY PHASES'!O303)</f>
        <v>0</v>
      </c>
      <c r="AJ303" s="7" t="n">
        <f aca="false">N('KNOWIFY PHASES'!N303)</f>
        <v>0</v>
      </c>
      <c r="AK303" s="7" t="n">
        <f aca="false">N('KNOWIFY PHASES'!R303)</f>
        <v>0</v>
      </c>
      <c r="AL303" s="7" t="n">
        <f aca="false">N('KNOWIFY PHASES'!Q303)</f>
        <v>0</v>
      </c>
      <c r="AM303" s="7" t="n">
        <f aca="false">N('KNOWIFY PHASES'!F303)</f>
        <v>0</v>
      </c>
      <c r="AN303" s="7" t="n">
        <f aca="false">N('KNOWIFY PHASES'!E303)</f>
        <v>0</v>
      </c>
      <c r="AO303" s="7" t="n">
        <f aca="false">MAX(AE303,AF303)</f>
        <v>0</v>
      </c>
      <c r="AP303" s="7" t="n">
        <f aca="false">MAX(AG303,AH303)</f>
        <v>0</v>
      </c>
      <c r="AQ303" s="7" t="n">
        <f aca="false">MAX(AI303,AJ303)</f>
        <v>0</v>
      </c>
      <c r="AR303" s="7" t="n">
        <f aca="false">MAX(AK303,AL303)</f>
        <v>0</v>
      </c>
    </row>
    <row r="304" customFormat="false" ht="15" hidden="false" customHeight="false" outlineLevel="0" collapsed="false">
      <c r="AA304" s="7" t="str">
        <f aca="false">IF('KNOWIFY PHASES'!A304="","",'KNOWIFY PHASES'!A304)</f>
        <v/>
      </c>
      <c r="AB304" s="7" t="str">
        <f aca="false">IF(AA304="","",IF(LEFT(AA304,4)="P - ","P",IF(LEFT(AA304,4)="H - ","H",IF(LEFT(AA304,5)="AC - ","AC",IF(OR(LEFT(AA304,4)="V - ",LEFT(AA304,7)="HVAC - "),"V","Other")))))</f>
        <v/>
      </c>
      <c r="AC304" s="7" t="str">
        <f aca="false">IF(AA304="","",IFERROR(LOOKUP(2,1/(($AZ$5:$AZ$60&lt;&gt;"")*ISNUMBER(SEARCH($AZ$5:$AZ$60,AA304))),$BA$5:$BA$60),IF(AB304="Other","Excluded","Unmapped")))</f>
        <v/>
      </c>
      <c r="AD304" s="7" t="str">
        <f aca="false">IF(AA304="","",IF(AND(AB304&lt;&gt;"Other",OR(AND('KNOWIFY PHASES'!B304="Closed",N('KNOWIFY PHASES'!D304)&gt;=0.5),N('KNOWIFY PHASES'!D304)&gt;=1)),1,0))</f>
        <v/>
      </c>
      <c r="AE304" s="7" t="n">
        <f aca="false">N('KNOWIFY PHASES'!L304)</f>
        <v>0</v>
      </c>
      <c r="AF304" s="7" t="n">
        <f aca="false">N('KNOWIFY PHASES'!K304)</f>
        <v>0</v>
      </c>
      <c r="AG304" s="7" t="n">
        <f aca="false">N('KNOWIFY PHASES'!I304)</f>
        <v>0</v>
      </c>
      <c r="AH304" s="7" t="n">
        <f aca="false">N('KNOWIFY PHASES'!H304)</f>
        <v>0</v>
      </c>
      <c r="AI304" s="7" t="n">
        <f aca="false">N('KNOWIFY PHASES'!O304)</f>
        <v>0</v>
      </c>
      <c r="AJ304" s="7" t="n">
        <f aca="false">N('KNOWIFY PHASES'!N304)</f>
        <v>0</v>
      </c>
      <c r="AK304" s="7" t="n">
        <f aca="false">N('KNOWIFY PHASES'!R304)</f>
        <v>0</v>
      </c>
      <c r="AL304" s="7" t="n">
        <f aca="false">N('KNOWIFY PHASES'!Q304)</f>
        <v>0</v>
      </c>
      <c r="AM304" s="7" t="n">
        <f aca="false">N('KNOWIFY PHASES'!F304)</f>
        <v>0</v>
      </c>
      <c r="AN304" s="7" t="n">
        <f aca="false">N('KNOWIFY PHASES'!E304)</f>
        <v>0</v>
      </c>
      <c r="AO304" s="7" t="n">
        <f aca="false">MAX(AE304,AF304)</f>
        <v>0</v>
      </c>
      <c r="AP304" s="7" t="n">
        <f aca="false">MAX(AG304,AH304)</f>
        <v>0</v>
      </c>
      <c r="AQ304" s="7" t="n">
        <f aca="false">MAX(AI304,AJ304)</f>
        <v>0</v>
      </c>
      <c r="AR304" s="7" t="n">
        <f aca="false">MAX(AK304,AL304)</f>
        <v>0</v>
      </c>
    </row>
    <row r="305" customFormat="false" ht="15" hidden="false" customHeight="false" outlineLevel="0" collapsed="false">
      <c r="AA305" s="7" t="str">
        <f aca="false">IF('KNOWIFY PHASES'!A305="","",'KNOWIFY PHASES'!A305)</f>
        <v/>
      </c>
      <c r="AB305" s="7" t="str">
        <f aca="false">IF(AA305="","",IF(LEFT(AA305,4)="P - ","P",IF(LEFT(AA305,4)="H - ","H",IF(LEFT(AA305,5)="AC - ","AC",IF(OR(LEFT(AA305,4)="V - ",LEFT(AA305,7)="HVAC - "),"V","Other")))))</f>
        <v/>
      </c>
      <c r="AC305" s="7" t="str">
        <f aca="false">IF(AA305="","",IFERROR(LOOKUP(2,1/(($AZ$5:$AZ$60&lt;&gt;"")*ISNUMBER(SEARCH($AZ$5:$AZ$60,AA305))),$BA$5:$BA$60),IF(AB305="Other","Excluded","Unmapped")))</f>
        <v/>
      </c>
      <c r="AD305" s="7" t="str">
        <f aca="false">IF(AA305="","",IF(AND(AB305&lt;&gt;"Other",OR(AND('KNOWIFY PHASES'!B305="Closed",N('KNOWIFY PHASES'!D305)&gt;=0.5),N('KNOWIFY PHASES'!D305)&gt;=1)),1,0))</f>
        <v/>
      </c>
      <c r="AE305" s="7" t="n">
        <f aca="false">N('KNOWIFY PHASES'!L305)</f>
        <v>0</v>
      </c>
      <c r="AF305" s="7" t="n">
        <f aca="false">N('KNOWIFY PHASES'!K305)</f>
        <v>0</v>
      </c>
      <c r="AG305" s="7" t="n">
        <f aca="false">N('KNOWIFY PHASES'!I305)</f>
        <v>0</v>
      </c>
      <c r="AH305" s="7" t="n">
        <f aca="false">N('KNOWIFY PHASES'!H305)</f>
        <v>0</v>
      </c>
      <c r="AI305" s="7" t="n">
        <f aca="false">N('KNOWIFY PHASES'!O305)</f>
        <v>0</v>
      </c>
      <c r="AJ305" s="7" t="n">
        <f aca="false">N('KNOWIFY PHASES'!N305)</f>
        <v>0</v>
      </c>
      <c r="AK305" s="7" t="n">
        <f aca="false">N('KNOWIFY PHASES'!R305)</f>
        <v>0</v>
      </c>
      <c r="AL305" s="7" t="n">
        <f aca="false">N('KNOWIFY PHASES'!Q305)</f>
        <v>0</v>
      </c>
      <c r="AM305" s="7" t="n">
        <f aca="false">N('KNOWIFY PHASES'!F305)</f>
        <v>0</v>
      </c>
      <c r="AN305" s="7" t="n">
        <f aca="false">N('KNOWIFY PHASES'!E305)</f>
        <v>0</v>
      </c>
      <c r="AO305" s="7" t="n">
        <f aca="false">MAX(AE305,AF305)</f>
        <v>0</v>
      </c>
      <c r="AP305" s="7" t="n">
        <f aca="false">MAX(AG305,AH305)</f>
        <v>0</v>
      </c>
      <c r="AQ305" s="7" t="n">
        <f aca="false">MAX(AI305,AJ305)</f>
        <v>0</v>
      </c>
      <c r="AR305" s="7" t="n">
        <f aca="false">MAX(AK305,AL305)</f>
        <v>0</v>
      </c>
    </row>
    <row r="306" customFormat="false" ht="15" hidden="false" customHeight="false" outlineLevel="0" collapsed="false">
      <c r="AA306" s="7" t="str">
        <f aca="false">IF('KNOWIFY PHASES'!A306="","",'KNOWIFY PHASES'!A306)</f>
        <v/>
      </c>
      <c r="AB306" s="7" t="str">
        <f aca="false">IF(AA306="","",IF(LEFT(AA306,4)="P - ","P",IF(LEFT(AA306,4)="H - ","H",IF(LEFT(AA306,5)="AC - ","AC",IF(OR(LEFT(AA306,4)="V - ",LEFT(AA306,7)="HVAC - "),"V","Other")))))</f>
        <v/>
      </c>
      <c r="AC306" s="7" t="str">
        <f aca="false">IF(AA306="","",IFERROR(LOOKUP(2,1/(($AZ$5:$AZ$60&lt;&gt;"")*ISNUMBER(SEARCH($AZ$5:$AZ$60,AA306))),$BA$5:$BA$60),IF(AB306="Other","Excluded","Unmapped")))</f>
        <v/>
      </c>
      <c r="AD306" s="7" t="str">
        <f aca="false">IF(AA306="","",IF(AND(AB306&lt;&gt;"Other",OR(AND('KNOWIFY PHASES'!B306="Closed",N('KNOWIFY PHASES'!D306)&gt;=0.5),N('KNOWIFY PHASES'!D306)&gt;=1)),1,0))</f>
        <v/>
      </c>
      <c r="AE306" s="7" t="n">
        <f aca="false">N('KNOWIFY PHASES'!L306)</f>
        <v>0</v>
      </c>
      <c r="AF306" s="7" t="n">
        <f aca="false">N('KNOWIFY PHASES'!K306)</f>
        <v>0</v>
      </c>
      <c r="AG306" s="7" t="n">
        <f aca="false">N('KNOWIFY PHASES'!I306)</f>
        <v>0</v>
      </c>
      <c r="AH306" s="7" t="n">
        <f aca="false">N('KNOWIFY PHASES'!H306)</f>
        <v>0</v>
      </c>
      <c r="AI306" s="7" t="n">
        <f aca="false">N('KNOWIFY PHASES'!O306)</f>
        <v>0</v>
      </c>
      <c r="AJ306" s="7" t="n">
        <f aca="false">N('KNOWIFY PHASES'!N306)</f>
        <v>0</v>
      </c>
      <c r="AK306" s="7" t="n">
        <f aca="false">N('KNOWIFY PHASES'!R306)</f>
        <v>0</v>
      </c>
      <c r="AL306" s="7" t="n">
        <f aca="false">N('KNOWIFY PHASES'!Q306)</f>
        <v>0</v>
      </c>
      <c r="AM306" s="7" t="n">
        <f aca="false">N('KNOWIFY PHASES'!F306)</f>
        <v>0</v>
      </c>
      <c r="AN306" s="7" t="n">
        <f aca="false">N('KNOWIFY PHASES'!E306)</f>
        <v>0</v>
      </c>
      <c r="AO306" s="7" t="n">
        <f aca="false">MAX(AE306,AF306)</f>
        <v>0</v>
      </c>
      <c r="AP306" s="7" t="n">
        <f aca="false">MAX(AG306,AH306)</f>
        <v>0</v>
      </c>
      <c r="AQ306" s="7" t="n">
        <f aca="false">MAX(AI306,AJ306)</f>
        <v>0</v>
      </c>
      <c r="AR306" s="7" t="n">
        <f aca="false">MAX(AK306,AL306)</f>
        <v>0</v>
      </c>
    </row>
    <row r="307" customFormat="false" ht="15" hidden="false" customHeight="false" outlineLevel="0" collapsed="false">
      <c r="AA307" s="7" t="str">
        <f aca="false">IF('KNOWIFY PHASES'!A307="","",'KNOWIFY PHASES'!A307)</f>
        <v/>
      </c>
      <c r="AB307" s="7" t="str">
        <f aca="false">IF(AA307="","",IF(LEFT(AA307,4)="P - ","P",IF(LEFT(AA307,4)="H - ","H",IF(LEFT(AA307,5)="AC - ","AC",IF(OR(LEFT(AA307,4)="V - ",LEFT(AA307,7)="HVAC - "),"V","Other")))))</f>
        <v/>
      </c>
      <c r="AC307" s="7" t="str">
        <f aca="false">IF(AA307="","",IFERROR(LOOKUP(2,1/(($AZ$5:$AZ$60&lt;&gt;"")*ISNUMBER(SEARCH($AZ$5:$AZ$60,AA307))),$BA$5:$BA$60),IF(AB307="Other","Excluded","Unmapped")))</f>
        <v/>
      </c>
      <c r="AD307" s="7" t="str">
        <f aca="false">IF(AA307="","",IF(AND(AB307&lt;&gt;"Other",OR(AND('KNOWIFY PHASES'!B307="Closed",N('KNOWIFY PHASES'!D307)&gt;=0.5),N('KNOWIFY PHASES'!D307)&gt;=1)),1,0))</f>
        <v/>
      </c>
      <c r="AE307" s="7" t="n">
        <f aca="false">N('KNOWIFY PHASES'!L307)</f>
        <v>0</v>
      </c>
      <c r="AF307" s="7" t="n">
        <f aca="false">N('KNOWIFY PHASES'!K307)</f>
        <v>0</v>
      </c>
      <c r="AG307" s="7" t="n">
        <f aca="false">N('KNOWIFY PHASES'!I307)</f>
        <v>0</v>
      </c>
      <c r="AH307" s="7" t="n">
        <f aca="false">N('KNOWIFY PHASES'!H307)</f>
        <v>0</v>
      </c>
      <c r="AI307" s="7" t="n">
        <f aca="false">N('KNOWIFY PHASES'!O307)</f>
        <v>0</v>
      </c>
      <c r="AJ307" s="7" t="n">
        <f aca="false">N('KNOWIFY PHASES'!N307)</f>
        <v>0</v>
      </c>
      <c r="AK307" s="7" t="n">
        <f aca="false">N('KNOWIFY PHASES'!R307)</f>
        <v>0</v>
      </c>
      <c r="AL307" s="7" t="n">
        <f aca="false">N('KNOWIFY PHASES'!Q307)</f>
        <v>0</v>
      </c>
      <c r="AM307" s="7" t="n">
        <f aca="false">N('KNOWIFY PHASES'!F307)</f>
        <v>0</v>
      </c>
      <c r="AN307" s="7" t="n">
        <f aca="false">N('KNOWIFY PHASES'!E307)</f>
        <v>0</v>
      </c>
      <c r="AO307" s="7" t="n">
        <f aca="false">MAX(AE307,AF307)</f>
        <v>0</v>
      </c>
      <c r="AP307" s="7" t="n">
        <f aca="false">MAX(AG307,AH307)</f>
        <v>0</v>
      </c>
      <c r="AQ307" s="7" t="n">
        <f aca="false">MAX(AI307,AJ307)</f>
        <v>0</v>
      </c>
      <c r="AR307" s="7" t="n">
        <f aca="false">MAX(AK307,AL307)</f>
        <v>0</v>
      </c>
    </row>
    <row r="308" customFormat="false" ht="15" hidden="false" customHeight="false" outlineLevel="0" collapsed="false">
      <c r="AA308" s="7" t="str">
        <f aca="false">IF('KNOWIFY PHASES'!A308="","",'KNOWIFY PHASES'!A308)</f>
        <v/>
      </c>
      <c r="AB308" s="7" t="str">
        <f aca="false">IF(AA308="","",IF(LEFT(AA308,4)="P - ","P",IF(LEFT(AA308,4)="H - ","H",IF(LEFT(AA308,5)="AC - ","AC",IF(OR(LEFT(AA308,4)="V - ",LEFT(AA308,7)="HVAC - "),"V","Other")))))</f>
        <v/>
      </c>
      <c r="AC308" s="7" t="str">
        <f aca="false">IF(AA308="","",IFERROR(LOOKUP(2,1/(($AZ$5:$AZ$60&lt;&gt;"")*ISNUMBER(SEARCH($AZ$5:$AZ$60,AA308))),$BA$5:$BA$60),IF(AB308="Other","Excluded","Unmapped")))</f>
        <v/>
      </c>
      <c r="AD308" s="7" t="str">
        <f aca="false">IF(AA308="","",IF(AND(AB308&lt;&gt;"Other",OR(AND('KNOWIFY PHASES'!B308="Closed",N('KNOWIFY PHASES'!D308)&gt;=0.5),N('KNOWIFY PHASES'!D308)&gt;=1)),1,0))</f>
        <v/>
      </c>
      <c r="AE308" s="7" t="n">
        <f aca="false">N('KNOWIFY PHASES'!L308)</f>
        <v>0</v>
      </c>
      <c r="AF308" s="7" t="n">
        <f aca="false">N('KNOWIFY PHASES'!K308)</f>
        <v>0</v>
      </c>
      <c r="AG308" s="7" t="n">
        <f aca="false">N('KNOWIFY PHASES'!I308)</f>
        <v>0</v>
      </c>
      <c r="AH308" s="7" t="n">
        <f aca="false">N('KNOWIFY PHASES'!H308)</f>
        <v>0</v>
      </c>
      <c r="AI308" s="7" t="n">
        <f aca="false">N('KNOWIFY PHASES'!O308)</f>
        <v>0</v>
      </c>
      <c r="AJ308" s="7" t="n">
        <f aca="false">N('KNOWIFY PHASES'!N308)</f>
        <v>0</v>
      </c>
      <c r="AK308" s="7" t="n">
        <f aca="false">N('KNOWIFY PHASES'!R308)</f>
        <v>0</v>
      </c>
      <c r="AL308" s="7" t="n">
        <f aca="false">N('KNOWIFY PHASES'!Q308)</f>
        <v>0</v>
      </c>
      <c r="AM308" s="7" t="n">
        <f aca="false">N('KNOWIFY PHASES'!F308)</f>
        <v>0</v>
      </c>
      <c r="AN308" s="7" t="n">
        <f aca="false">N('KNOWIFY PHASES'!E308)</f>
        <v>0</v>
      </c>
      <c r="AO308" s="7" t="n">
        <f aca="false">MAX(AE308,AF308)</f>
        <v>0</v>
      </c>
      <c r="AP308" s="7" t="n">
        <f aca="false">MAX(AG308,AH308)</f>
        <v>0</v>
      </c>
      <c r="AQ308" s="7" t="n">
        <f aca="false">MAX(AI308,AJ308)</f>
        <v>0</v>
      </c>
      <c r="AR308" s="7" t="n">
        <f aca="false">MAX(AK308,AL308)</f>
        <v>0</v>
      </c>
    </row>
    <row r="309" customFormat="false" ht="15" hidden="false" customHeight="false" outlineLevel="0" collapsed="false">
      <c r="AA309" s="7" t="str">
        <f aca="false">IF('KNOWIFY PHASES'!A309="","",'KNOWIFY PHASES'!A309)</f>
        <v/>
      </c>
      <c r="AB309" s="7" t="str">
        <f aca="false">IF(AA309="","",IF(LEFT(AA309,4)="P - ","P",IF(LEFT(AA309,4)="H - ","H",IF(LEFT(AA309,5)="AC - ","AC",IF(OR(LEFT(AA309,4)="V - ",LEFT(AA309,7)="HVAC - "),"V","Other")))))</f>
        <v/>
      </c>
      <c r="AC309" s="7" t="str">
        <f aca="false">IF(AA309="","",IFERROR(LOOKUP(2,1/(($AZ$5:$AZ$60&lt;&gt;"")*ISNUMBER(SEARCH($AZ$5:$AZ$60,AA309))),$BA$5:$BA$60),IF(AB309="Other","Excluded","Unmapped")))</f>
        <v/>
      </c>
      <c r="AD309" s="7" t="str">
        <f aca="false">IF(AA309="","",IF(AND(AB309&lt;&gt;"Other",OR(AND('KNOWIFY PHASES'!B309="Closed",N('KNOWIFY PHASES'!D309)&gt;=0.5),N('KNOWIFY PHASES'!D309)&gt;=1)),1,0))</f>
        <v/>
      </c>
      <c r="AE309" s="7" t="n">
        <f aca="false">N('KNOWIFY PHASES'!L309)</f>
        <v>0</v>
      </c>
      <c r="AF309" s="7" t="n">
        <f aca="false">N('KNOWIFY PHASES'!K309)</f>
        <v>0</v>
      </c>
      <c r="AG309" s="7" t="n">
        <f aca="false">N('KNOWIFY PHASES'!I309)</f>
        <v>0</v>
      </c>
      <c r="AH309" s="7" t="n">
        <f aca="false">N('KNOWIFY PHASES'!H309)</f>
        <v>0</v>
      </c>
      <c r="AI309" s="7" t="n">
        <f aca="false">N('KNOWIFY PHASES'!O309)</f>
        <v>0</v>
      </c>
      <c r="AJ309" s="7" t="n">
        <f aca="false">N('KNOWIFY PHASES'!N309)</f>
        <v>0</v>
      </c>
      <c r="AK309" s="7" t="n">
        <f aca="false">N('KNOWIFY PHASES'!R309)</f>
        <v>0</v>
      </c>
      <c r="AL309" s="7" t="n">
        <f aca="false">N('KNOWIFY PHASES'!Q309)</f>
        <v>0</v>
      </c>
      <c r="AM309" s="7" t="n">
        <f aca="false">N('KNOWIFY PHASES'!F309)</f>
        <v>0</v>
      </c>
      <c r="AN309" s="7" t="n">
        <f aca="false">N('KNOWIFY PHASES'!E309)</f>
        <v>0</v>
      </c>
      <c r="AO309" s="7" t="n">
        <f aca="false">MAX(AE309,AF309)</f>
        <v>0</v>
      </c>
      <c r="AP309" s="7" t="n">
        <f aca="false">MAX(AG309,AH309)</f>
        <v>0</v>
      </c>
      <c r="AQ309" s="7" t="n">
        <f aca="false">MAX(AI309,AJ309)</f>
        <v>0</v>
      </c>
      <c r="AR309" s="7" t="n">
        <f aca="false">MAX(AK309,AL309)</f>
        <v>0</v>
      </c>
    </row>
    <row r="310" customFormat="false" ht="15" hidden="false" customHeight="false" outlineLevel="0" collapsed="false">
      <c r="AA310" s="7" t="str">
        <f aca="false">IF('KNOWIFY PHASES'!A310="","",'KNOWIFY PHASES'!A310)</f>
        <v/>
      </c>
      <c r="AB310" s="7" t="str">
        <f aca="false">IF(AA310="","",IF(LEFT(AA310,4)="P - ","P",IF(LEFT(AA310,4)="H - ","H",IF(LEFT(AA310,5)="AC - ","AC",IF(OR(LEFT(AA310,4)="V - ",LEFT(AA310,7)="HVAC - "),"V","Other")))))</f>
        <v/>
      </c>
      <c r="AC310" s="7" t="str">
        <f aca="false">IF(AA310="","",IFERROR(LOOKUP(2,1/(($AZ$5:$AZ$60&lt;&gt;"")*ISNUMBER(SEARCH($AZ$5:$AZ$60,AA310))),$BA$5:$BA$60),IF(AB310="Other","Excluded","Unmapped")))</f>
        <v/>
      </c>
      <c r="AD310" s="7" t="str">
        <f aca="false">IF(AA310="","",IF(AND(AB310&lt;&gt;"Other",OR(AND('KNOWIFY PHASES'!B310="Closed",N('KNOWIFY PHASES'!D310)&gt;=0.5),N('KNOWIFY PHASES'!D310)&gt;=1)),1,0))</f>
        <v/>
      </c>
      <c r="AE310" s="7" t="n">
        <f aca="false">N('KNOWIFY PHASES'!L310)</f>
        <v>0</v>
      </c>
      <c r="AF310" s="7" t="n">
        <f aca="false">N('KNOWIFY PHASES'!K310)</f>
        <v>0</v>
      </c>
      <c r="AG310" s="7" t="n">
        <f aca="false">N('KNOWIFY PHASES'!I310)</f>
        <v>0</v>
      </c>
      <c r="AH310" s="7" t="n">
        <f aca="false">N('KNOWIFY PHASES'!H310)</f>
        <v>0</v>
      </c>
      <c r="AI310" s="7" t="n">
        <f aca="false">N('KNOWIFY PHASES'!O310)</f>
        <v>0</v>
      </c>
      <c r="AJ310" s="7" t="n">
        <f aca="false">N('KNOWIFY PHASES'!N310)</f>
        <v>0</v>
      </c>
      <c r="AK310" s="7" t="n">
        <f aca="false">N('KNOWIFY PHASES'!R310)</f>
        <v>0</v>
      </c>
      <c r="AL310" s="7" t="n">
        <f aca="false">N('KNOWIFY PHASES'!Q310)</f>
        <v>0</v>
      </c>
      <c r="AM310" s="7" t="n">
        <f aca="false">N('KNOWIFY PHASES'!F310)</f>
        <v>0</v>
      </c>
      <c r="AN310" s="7" t="n">
        <f aca="false">N('KNOWIFY PHASES'!E310)</f>
        <v>0</v>
      </c>
      <c r="AO310" s="7" t="n">
        <f aca="false">MAX(AE310,AF310)</f>
        <v>0</v>
      </c>
      <c r="AP310" s="7" t="n">
        <f aca="false">MAX(AG310,AH310)</f>
        <v>0</v>
      </c>
      <c r="AQ310" s="7" t="n">
        <f aca="false">MAX(AI310,AJ310)</f>
        <v>0</v>
      </c>
      <c r="AR310" s="7" t="n">
        <f aca="false">MAX(AK310,AL310)</f>
        <v>0</v>
      </c>
    </row>
    <row r="311" customFormat="false" ht="15" hidden="false" customHeight="false" outlineLevel="0" collapsed="false">
      <c r="AA311" s="7" t="str">
        <f aca="false">IF('KNOWIFY PHASES'!A311="","",'KNOWIFY PHASES'!A311)</f>
        <v/>
      </c>
      <c r="AB311" s="7" t="str">
        <f aca="false">IF(AA311="","",IF(LEFT(AA311,4)="P - ","P",IF(LEFT(AA311,4)="H - ","H",IF(LEFT(AA311,5)="AC - ","AC",IF(OR(LEFT(AA311,4)="V - ",LEFT(AA311,7)="HVAC - "),"V","Other")))))</f>
        <v/>
      </c>
      <c r="AC311" s="7" t="str">
        <f aca="false">IF(AA311="","",IFERROR(LOOKUP(2,1/(($AZ$5:$AZ$60&lt;&gt;"")*ISNUMBER(SEARCH($AZ$5:$AZ$60,AA311))),$BA$5:$BA$60),IF(AB311="Other","Excluded","Unmapped")))</f>
        <v/>
      </c>
      <c r="AD311" s="7" t="str">
        <f aca="false">IF(AA311="","",IF(AND(AB311&lt;&gt;"Other",OR(AND('KNOWIFY PHASES'!B311="Closed",N('KNOWIFY PHASES'!D311)&gt;=0.5),N('KNOWIFY PHASES'!D311)&gt;=1)),1,0))</f>
        <v/>
      </c>
      <c r="AE311" s="7" t="n">
        <f aca="false">N('KNOWIFY PHASES'!L311)</f>
        <v>0</v>
      </c>
      <c r="AF311" s="7" t="n">
        <f aca="false">N('KNOWIFY PHASES'!K311)</f>
        <v>0</v>
      </c>
      <c r="AG311" s="7" t="n">
        <f aca="false">N('KNOWIFY PHASES'!I311)</f>
        <v>0</v>
      </c>
      <c r="AH311" s="7" t="n">
        <f aca="false">N('KNOWIFY PHASES'!H311)</f>
        <v>0</v>
      </c>
      <c r="AI311" s="7" t="n">
        <f aca="false">N('KNOWIFY PHASES'!O311)</f>
        <v>0</v>
      </c>
      <c r="AJ311" s="7" t="n">
        <f aca="false">N('KNOWIFY PHASES'!N311)</f>
        <v>0</v>
      </c>
      <c r="AK311" s="7" t="n">
        <f aca="false">N('KNOWIFY PHASES'!R311)</f>
        <v>0</v>
      </c>
      <c r="AL311" s="7" t="n">
        <f aca="false">N('KNOWIFY PHASES'!Q311)</f>
        <v>0</v>
      </c>
      <c r="AM311" s="7" t="n">
        <f aca="false">N('KNOWIFY PHASES'!F311)</f>
        <v>0</v>
      </c>
      <c r="AN311" s="7" t="n">
        <f aca="false">N('KNOWIFY PHASES'!E311)</f>
        <v>0</v>
      </c>
      <c r="AO311" s="7" t="n">
        <f aca="false">MAX(AE311,AF311)</f>
        <v>0</v>
      </c>
      <c r="AP311" s="7" t="n">
        <f aca="false">MAX(AG311,AH311)</f>
        <v>0</v>
      </c>
      <c r="AQ311" s="7" t="n">
        <f aca="false">MAX(AI311,AJ311)</f>
        <v>0</v>
      </c>
      <c r="AR311" s="7" t="n">
        <f aca="false">MAX(AK311,AL311)</f>
        <v>0</v>
      </c>
    </row>
    <row r="312" customFormat="false" ht="15" hidden="false" customHeight="false" outlineLevel="0" collapsed="false">
      <c r="AA312" s="7" t="str">
        <f aca="false">IF('KNOWIFY PHASES'!A312="","",'KNOWIFY PHASES'!A312)</f>
        <v/>
      </c>
      <c r="AB312" s="7" t="str">
        <f aca="false">IF(AA312="","",IF(LEFT(AA312,4)="P - ","P",IF(LEFT(AA312,4)="H - ","H",IF(LEFT(AA312,5)="AC - ","AC",IF(OR(LEFT(AA312,4)="V - ",LEFT(AA312,7)="HVAC - "),"V","Other")))))</f>
        <v/>
      </c>
      <c r="AC312" s="7" t="str">
        <f aca="false">IF(AA312="","",IFERROR(LOOKUP(2,1/(($AZ$5:$AZ$60&lt;&gt;"")*ISNUMBER(SEARCH($AZ$5:$AZ$60,AA312))),$BA$5:$BA$60),IF(AB312="Other","Excluded","Unmapped")))</f>
        <v/>
      </c>
      <c r="AD312" s="7" t="str">
        <f aca="false">IF(AA312="","",IF(AND(AB312&lt;&gt;"Other",OR(AND('KNOWIFY PHASES'!B312="Closed",N('KNOWIFY PHASES'!D312)&gt;=0.5),N('KNOWIFY PHASES'!D312)&gt;=1)),1,0))</f>
        <v/>
      </c>
      <c r="AE312" s="7" t="n">
        <f aca="false">N('KNOWIFY PHASES'!L312)</f>
        <v>0</v>
      </c>
      <c r="AF312" s="7" t="n">
        <f aca="false">N('KNOWIFY PHASES'!K312)</f>
        <v>0</v>
      </c>
      <c r="AG312" s="7" t="n">
        <f aca="false">N('KNOWIFY PHASES'!I312)</f>
        <v>0</v>
      </c>
      <c r="AH312" s="7" t="n">
        <f aca="false">N('KNOWIFY PHASES'!H312)</f>
        <v>0</v>
      </c>
      <c r="AI312" s="7" t="n">
        <f aca="false">N('KNOWIFY PHASES'!O312)</f>
        <v>0</v>
      </c>
      <c r="AJ312" s="7" t="n">
        <f aca="false">N('KNOWIFY PHASES'!N312)</f>
        <v>0</v>
      </c>
      <c r="AK312" s="7" t="n">
        <f aca="false">N('KNOWIFY PHASES'!R312)</f>
        <v>0</v>
      </c>
      <c r="AL312" s="7" t="n">
        <f aca="false">N('KNOWIFY PHASES'!Q312)</f>
        <v>0</v>
      </c>
      <c r="AM312" s="7" t="n">
        <f aca="false">N('KNOWIFY PHASES'!F312)</f>
        <v>0</v>
      </c>
      <c r="AN312" s="7" t="n">
        <f aca="false">N('KNOWIFY PHASES'!E312)</f>
        <v>0</v>
      </c>
      <c r="AO312" s="7" t="n">
        <f aca="false">MAX(AE312,AF312)</f>
        <v>0</v>
      </c>
      <c r="AP312" s="7" t="n">
        <f aca="false">MAX(AG312,AH312)</f>
        <v>0</v>
      </c>
      <c r="AQ312" s="7" t="n">
        <f aca="false">MAX(AI312,AJ312)</f>
        <v>0</v>
      </c>
      <c r="AR312" s="7" t="n">
        <f aca="false">MAX(AK312,AL312)</f>
        <v>0</v>
      </c>
    </row>
    <row r="313" customFormat="false" ht="15" hidden="false" customHeight="false" outlineLevel="0" collapsed="false">
      <c r="AA313" s="7" t="str">
        <f aca="false">IF('KNOWIFY PHASES'!A313="","",'KNOWIFY PHASES'!A313)</f>
        <v/>
      </c>
      <c r="AB313" s="7" t="str">
        <f aca="false">IF(AA313="","",IF(LEFT(AA313,4)="P - ","P",IF(LEFT(AA313,4)="H - ","H",IF(LEFT(AA313,5)="AC - ","AC",IF(OR(LEFT(AA313,4)="V - ",LEFT(AA313,7)="HVAC - "),"V","Other")))))</f>
        <v/>
      </c>
      <c r="AC313" s="7" t="str">
        <f aca="false">IF(AA313="","",IFERROR(LOOKUP(2,1/(($AZ$5:$AZ$60&lt;&gt;"")*ISNUMBER(SEARCH($AZ$5:$AZ$60,AA313))),$BA$5:$BA$60),IF(AB313="Other","Excluded","Unmapped")))</f>
        <v/>
      </c>
      <c r="AD313" s="7" t="str">
        <f aca="false">IF(AA313="","",IF(AND(AB313&lt;&gt;"Other",OR(AND('KNOWIFY PHASES'!B313="Closed",N('KNOWIFY PHASES'!D313)&gt;=0.5),N('KNOWIFY PHASES'!D313)&gt;=1)),1,0))</f>
        <v/>
      </c>
      <c r="AE313" s="7" t="n">
        <f aca="false">N('KNOWIFY PHASES'!L313)</f>
        <v>0</v>
      </c>
      <c r="AF313" s="7" t="n">
        <f aca="false">N('KNOWIFY PHASES'!K313)</f>
        <v>0</v>
      </c>
      <c r="AG313" s="7" t="n">
        <f aca="false">N('KNOWIFY PHASES'!I313)</f>
        <v>0</v>
      </c>
      <c r="AH313" s="7" t="n">
        <f aca="false">N('KNOWIFY PHASES'!H313)</f>
        <v>0</v>
      </c>
      <c r="AI313" s="7" t="n">
        <f aca="false">N('KNOWIFY PHASES'!O313)</f>
        <v>0</v>
      </c>
      <c r="AJ313" s="7" t="n">
        <f aca="false">N('KNOWIFY PHASES'!N313)</f>
        <v>0</v>
      </c>
      <c r="AK313" s="7" t="n">
        <f aca="false">N('KNOWIFY PHASES'!R313)</f>
        <v>0</v>
      </c>
      <c r="AL313" s="7" t="n">
        <f aca="false">N('KNOWIFY PHASES'!Q313)</f>
        <v>0</v>
      </c>
      <c r="AM313" s="7" t="n">
        <f aca="false">N('KNOWIFY PHASES'!F313)</f>
        <v>0</v>
      </c>
      <c r="AN313" s="7" t="n">
        <f aca="false">N('KNOWIFY PHASES'!E313)</f>
        <v>0</v>
      </c>
      <c r="AO313" s="7" t="n">
        <f aca="false">MAX(AE313,AF313)</f>
        <v>0</v>
      </c>
      <c r="AP313" s="7" t="n">
        <f aca="false">MAX(AG313,AH313)</f>
        <v>0</v>
      </c>
      <c r="AQ313" s="7" t="n">
        <f aca="false">MAX(AI313,AJ313)</f>
        <v>0</v>
      </c>
      <c r="AR313" s="7" t="n">
        <f aca="false">MAX(AK313,AL313)</f>
        <v>0</v>
      </c>
    </row>
    <row r="314" customFormat="false" ht="15" hidden="false" customHeight="false" outlineLevel="0" collapsed="false">
      <c r="AA314" s="7" t="str">
        <f aca="false">IF('KNOWIFY PHASES'!A314="","",'KNOWIFY PHASES'!A314)</f>
        <v/>
      </c>
      <c r="AB314" s="7" t="str">
        <f aca="false">IF(AA314="","",IF(LEFT(AA314,4)="P - ","P",IF(LEFT(AA314,4)="H - ","H",IF(LEFT(AA314,5)="AC - ","AC",IF(OR(LEFT(AA314,4)="V - ",LEFT(AA314,7)="HVAC - "),"V","Other")))))</f>
        <v/>
      </c>
      <c r="AC314" s="7" t="str">
        <f aca="false">IF(AA314="","",IFERROR(LOOKUP(2,1/(($AZ$5:$AZ$60&lt;&gt;"")*ISNUMBER(SEARCH($AZ$5:$AZ$60,AA314))),$BA$5:$BA$60),IF(AB314="Other","Excluded","Unmapped")))</f>
        <v/>
      </c>
      <c r="AD314" s="7" t="str">
        <f aca="false">IF(AA314="","",IF(AND(AB314&lt;&gt;"Other",OR(AND('KNOWIFY PHASES'!B314="Closed",N('KNOWIFY PHASES'!D314)&gt;=0.5),N('KNOWIFY PHASES'!D314)&gt;=1)),1,0))</f>
        <v/>
      </c>
      <c r="AE314" s="7" t="n">
        <f aca="false">N('KNOWIFY PHASES'!L314)</f>
        <v>0</v>
      </c>
      <c r="AF314" s="7" t="n">
        <f aca="false">N('KNOWIFY PHASES'!K314)</f>
        <v>0</v>
      </c>
      <c r="AG314" s="7" t="n">
        <f aca="false">N('KNOWIFY PHASES'!I314)</f>
        <v>0</v>
      </c>
      <c r="AH314" s="7" t="n">
        <f aca="false">N('KNOWIFY PHASES'!H314)</f>
        <v>0</v>
      </c>
      <c r="AI314" s="7" t="n">
        <f aca="false">N('KNOWIFY PHASES'!O314)</f>
        <v>0</v>
      </c>
      <c r="AJ314" s="7" t="n">
        <f aca="false">N('KNOWIFY PHASES'!N314)</f>
        <v>0</v>
      </c>
      <c r="AK314" s="7" t="n">
        <f aca="false">N('KNOWIFY PHASES'!R314)</f>
        <v>0</v>
      </c>
      <c r="AL314" s="7" t="n">
        <f aca="false">N('KNOWIFY PHASES'!Q314)</f>
        <v>0</v>
      </c>
      <c r="AM314" s="7" t="n">
        <f aca="false">N('KNOWIFY PHASES'!F314)</f>
        <v>0</v>
      </c>
      <c r="AN314" s="7" t="n">
        <f aca="false">N('KNOWIFY PHASES'!E314)</f>
        <v>0</v>
      </c>
      <c r="AO314" s="7" t="n">
        <f aca="false">MAX(AE314,AF314)</f>
        <v>0</v>
      </c>
      <c r="AP314" s="7" t="n">
        <f aca="false">MAX(AG314,AH314)</f>
        <v>0</v>
      </c>
      <c r="AQ314" s="7" t="n">
        <f aca="false">MAX(AI314,AJ314)</f>
        <v>0</v>
      </c>
      <c r="AR314" s="7" t="n">
        <f aca="false">MAX(AK314,AL314)</f>
        <v>0</v>
      </c>
    </row>
    <row r="315" customFormat="false" ht="15" hidden="false" customHeight="false" outlineLevel="0" collapsed="false">
      <c r="AA315" s="7" t="str">
        <f aca="false">IF('KNOWIFY PHASES'!A315="","",'KNOWIFY PHASES'!A315)</f>
        <v/>
      </c>
      <c r="AB315" s="7" t="str">
        <f aca="false">IF(AA315="","",IF(LEFT(AA315,4)="P - ","P",IF(LEFT(AA315,4)="H - ","H",IF(LEFT(AA315,5)="AC - ","AC",IF(OR(LEFT(AA315,4)="V - ",LEFT(AA315,7)="HVAC - "),"V","Other")))))</f>
        <v/>
      </c>
      <c r="AC315" s="7" t="str">
        <f aca="false">IF(AA315="","",IFERROR(LOOKUP(2,1/(($AZ$5:$AZ$60&lt;&gt;"")*ISNUMBER(SEARCH($AZ$5:$AZ$60,AA315))),$BA$5:$BA$60),IF(AB315="Other","Excluded","Unmapped")))</f>
        <v/>
      </c>
      <c r="AD315" s="7" t="str">
        <f aca="false">IF(AA315="","",IF(AND(AB315&lt;&gt;"Other",OR(AND('KNOWIFY PHASES'!B315="Closed",N('KNOWIFY PHASES'!D315)&gt;=0.5),N('KNOWIFY PHASES'!D315)&gt;=1)),1,0))</f>
        <v/>
      </c>
      <c r="AE315" s="7" t="n">
        <f aca="false">N('KNOWIFY PHASES'!L315)</f>
        <v>0</v>
      </c>
      <c r="AF315" s="7" t="n">
        <f aca="false">N('KNOWIFY PHASES'!K315)</f>
        <v>0</v>
      </c>
      <c r="AG315" s="7" t="n">
        <f aca="false">N('KNOWIFY PHASES'!I315)</f>
        <v>0</v>
      </c>
      <c r="AH315" s="7" t="n">
        <f aca="false">N('KNOWIFY PHASES'!H315)</f>
        <v>0</v>
      </c>
      <c r="AI315" s="7" t="n">
        <f aca="false">N('KNOWIFY PHASES'!O315)</f>
        <v>0</v>
      </c>
      <c r="AJ315" s="7" t="n">
        <f aca="false">N('KNOWIFY PHASES'!N315)</f>
        <v>0</v>
      </c>
      <c r="AK315" s="7" t="n">
        <f aca="false">N('KNOWIFY PHASES'!R315)</f>
        <v>0</v>
      </c>
      <c r="AL315" s="7" t="n">
        <f aca="false">N('KNOWIFY PHASES'!Q315)</f>
        <v>0</v>
      </c>
      <c r="AM315" s="7" t="n">
        <f aca="false">N('KNOWIFY PHASES'!F315)</f>
        <v>0</v>
      </c>
      <c r="AN315" s="7" t="n">
        <f aca="false">N('KNOWIFY PHASES'!E315)</f>
        <v>0</v>
      </c>
      <c r="AO315" s="7" t="n">
        <f aca="false">MAX(AE315,AF315)</f>
        <v>0</v>
      </c>
      <c r="AP315" s="7" t="n">
        <f aca="false">MAX(AG315,AH315)</f>
        <v>0</v>
      </c>
      <c r="AQ315" s="7" t="n">
        <f aca="false">MAX(AI315,AJ315)</f>
        <v>0</v>
      </c>
      <c r="AR315" s="7" t="n">
        <f aca="false">MAX(AK315,AL315)</f>
        <v>0</v>
      </c>
    </row>
    <row r="316" customFormat="false" ht="15" hidden="false" customHeight="false" outlineLevel="0" collapsed="false">
      <c r="AA316" s="7" t="str">
        <f aca="false">IF('KNOWIFY PHASES'!A316="","",'KNOWIFY PHASES'!A316)</f>
        <v/>
      </c>
      <c r="AB316" s="7" t="str">
        <f aca="false">IF(AA316="","",IF(LEFT(AA316,4)="P - ","P",IF(LEFT(AA316,4)="H - ","H",IF(LEFT(AA316,5)="AC - ","AC",IF(OR(LEFT(AA316,4)="V - ",LEFT(AA316,7)="HVAC - "),"V","Other")))))</f>
        <v/>
      </c>
      <c r="AC316" s="7" t="str">
        <f aca="false">IF(AA316="","",IFERROR(LOOKUP(2,1/(($AZ$5:$AZ$60&lt;&gt;"")*ISNUMBER(SEARCH($AZ$5:$AZ$60,AA316))),$BA$5:$BA$60),IF(AB316="Other","Excluded","Unmapped")))</f>
        <v/>
      </c>
      <c r="AD316" s="7" t="str">
        <f aca="false">IF(AA316="","",IF(AND(AB316&lt;&gt;"Other",OR(AND('KNOWIFY PHASES'!B316="Closed",N('KNOWIFY PHASES'!D316)&gt;=0.5),N('KNOWIFY PHASES'!D316)&gt;=1)),1,0))</f>
        <v/>
      </c>
      <c r="AE316" s="7" t="n">
        <f aca="false">N('KNOWIFY PHASES'!L316)</f>
        <v>0</v>
      </c>
      <c r="AF316" s="7" t="n">
        <f aca="false">N('KNOWIFY PHASES'!K316)</f>
        <v>0</v>
      </c>
      <c r="AG316" s="7" t="n">
        <f aca="false">N('KNOWIFY PHASES'!I316)</f>
        <v>0</v>
      </c>
      <c r="AH316" s="7" t="n">
        <f aca="false">N('KNOWIFY PHASES'!H316)</f>
        <v>0</v>
      </c>
      <c r="AI316" s="7" t="n">
        <f aca="false">N('KNOWIFY PHASES'!O316)</f>
        <v>0</v>
      </c>
      <c r="AJ316" s="7" t="n">
        <f aca="false">N('KNOWIFY PHASES'!N316)</f>
        <v>0</v>
      </c>
      <c r="AK316" s="7" t="n">
        <f aca="false">N('KNOWIFY PHASES'!R316)</f>
        <v>0</v>
      </c>
      <c r="AL316" s="7" t="n">
        <f aca="false">N('KNOWIFY PHASES'!Q316)</f>
        <v>0</v>
      </c>
      <c r="AM316" s="7" t="n">
        <f aca="false">N('KNOWIFY PHASES'!F316)</f>
        <v>0</v>
      </c>
      <c r="AN316" s="7" t="n">
        <f aca="false">N('KNOWIFY PHASES'!E316)</f>
        <v>0</v>
      </c>
      <c r="AO316" s="7" t="n">
        <f aca="false">MAX(AE316,AF316)</f>
        <v>0</v>
      </c>
      <c r="AP316" s="7" t="n">
        <f aca="false">MAX(AG316,AH316)</f>
        <v>0</v>
      </c>
      <c r="AQ316" s="7" t="n">
        <f aca="false">MAX(AI316,AJ316)</f>
        <v>0</v>
      </c>
      <c r="AR316" s="7" t="n">
        <f aca="false">MAX(AK316,AL316)</f>
        <v>0</v>
      </c>
    </row>
    <row r="317" customFormat="false" ht="15" hidden="false" customHeight="false" outlineLevel="0" collapsed="false">
      <c r="AA317" s="7" t="str">
        <f aca="false">IF('KNOWIFY PHASES'!A317="","",'KNOWIFY PHASES'!A317)</f>
        <v/>
      </c>
      <c r="AB317" s="7" t="str">
        <f aca="false">IF(AA317="","",IF(LEFT(AA317,4)="P - ","P",IF(LEFT(AA317,4)="H - ","H",IF(LEFT(AA317,5)="AC - ","AC",IF(OR(LEFT(AA317,4)="V - ",LEFT(AA317,7)="HVAC - "),"V","Other")))))</f>
        <v/>
      </c>
      <c r="AC317" s="7" t="str">
        <f aca="false">IF(AA317="","",IFERROR(LOOKUP(2,1/(($AZ$5:$AZ$60&lt;&gt;"")*ISNUMBER(SEARCH($AZ$5:$AZ$60,AA317))),$BA$5:$BA$60),IF(AB317="Other","Excluded","Unmapped")))</f>
        <v/>
      </c>
      <c r="AD317" s="7" t="str">
        <f aca="false">IF(AA317="","",IF(AND(AB317&lt;&gt;"Other",OR(AND('KNOWIFY PHASES'!B317="Closed",N('KNOWIFY PHASES'!D317)&gt;=0.5),N('KNOWIFY PHASES'!D317)&gt;=1)),1,0))</f>
        <v/>
      </c>
      <c r="AE317" s="7" t="n">
        <f aca="false">N('KNOWIFY PHASES'!L317)</f>
        <v>0</v>
      </c>
      <c r="AF317" s="7" t="n">
        <f aca="false">N('KNOWIFY PHASES'!K317)</f>
        <v>0</v>
      </c>
      <c r="AG317" s="7" t="n">
        <f aca="false">N('KNOWIFY PHASES'!I317)</f>
        <v>0</v>
      </c>
      <c r="AH317" s="7" t="n">
        <f aca="false">N('KNOWIFY PHASES'!H317)</f>
        <v>0</v>
      </c>
      <c r="AI317" s="7" t="n">
        <f aca="false">N('KNOWIFY PHASES'!O317)</f>
        <v>0</v>
      </c>
      <c r="AJ317" s="7" t="n">
        <f aca="false">N('KNOWIFY PHASES'!N317)</f>
        <v>0</v>
      </c>
      <c r="AK317" s="7" t="n">
        <f aca="false">N('KNOWIFY PHASES'!R317)</f>
        <v>0</v>
      </c>
      <c r="AL317" s="7" t="n">
        <f aca="false">N('KNOWIFY PHASES'!Q317)</f>
        <v>0</v>
      </c>
      <c r="AM317" s="7" t="n">
        <f aca="false">N('KNOWIFY PHASES'!F317)</f>
        <v>0</v>
      </c>
      <c r="AN317" s="7" t="n">
        <f aca="false">N('KNOWIFY PHASES'!E317)</f>
        <v>0</v>
      </c>
      <c r="AO317" s="7" t="n">
        <f aca="false">MAX(AE317,AF317)</f>
        <v>0</v>
      </c>
      <c r="AP317" s="7" t="n">
        <f aca="false">MAX(AG317,AH317)</f>
        <v>0</v>
      </c>
      <c r="AQ317" s="7" t="n">
        <f aca="false">MAX(AI317,AJ317)</f>
        <v>0</v>
      </c>
      <c r="AR317" s="7" t="n">
        <f aca="false">MAX(AK317,AL317)</f>
        <v>0</v>
      </c>
    </row>
    <row r="318" customFormat="false" ht="15" hidden="false" customHeight="false" outlineLevel="0" collapsed="false">
      <c r="AA318" s="7" t="str">
        <f aca="false">IF('KNOWIFY PHASES'!A318="","",'KNOWIFY PHASES'!A318)</f>
        <v/>
      </c>
      <c r="AB318" s="7" t="str">
        <f aca="false">IF(AA318="","",IF(LEFT(AA318,4)="P - ","P",IF(LEFT(AA318,4)="H - ","H",IF(LEFT(AA318,5)="AC - ","AC",IF(OR(LEFT(AA318,4)="V - ",LEFT(AA318,7)="HVAC - "),"V","Other")))))</f>
        <v/>
      </c>
      <c r="AC318" s="7" t="str">
        <f aca="false">IF(AA318="","",IFERROR(LOOKUP(2,1/(($AZ$5:$AZ$60&lt;&gt;"")*ISNUMBER(SEARCH($AZ$5:$AZ$60,AA318))),$BA$5:$BA$60),IF(AB318="Other","Excluded","Unmapped")))</f>
        <v/>
      </c>
      <c r="AD318" s="7" t="str">
        <f aca="false">IF(AA318="","",IF(AND(AB318&lt;&gt;"Other",OR(AND('KNOWIFY PHASES'!B318="Closed",N('KNOWIFY PHASES'!D318)&gt;=0.5),N('KNOWIFY PHASES'!D318)&gt;=1)),1,0))</f>
        <v/>
      </c>
      <c r="AE318" s="7" t="n">
        <f aca="false">N('KNOWIFY PHASES'!L318)</f>
        <v>0</v>
      </c>
      <c r="AF318" s="7" t="n">
        <f aca="false">N('KNOWIFY PHASES'!K318)</f>
        <v>0</v>
      </c>
      <c r="AG318" s="7" t="n">
        <f aca="false">N('KNOWIFY PHASES'!I318)</f>
        <v>0</v>
      </c>
      <c r="AH318" s="7" t="n">
        <f aca="false">N('KNOWIFY PHASES'!H318)</f>
        <v>0</v>
      </c>
      <c r="AI318" s="7" t="n">
        <f aca="false">N('KNOWIFY PHASES'!O318)</f>
        <v>0</v>
      </c>
      <c r="AJ318" s="7" t="n">
        <f aca="false">N('KNOWIFY PHASES'!N318)</f>
        <v>0</v>
      </c>
      <c r="AK318" s="7" t="n">
        <f aca="false">N('KNOWIFY PHASES'!R318)</f>
        <v>0</v>
      </c>
      <c r="AL318" s="7" t="n">
        <f aca="false">N('KNOWIFY PHASES'!Q318)</f>
        <v>0</v>
      </c>
      <c r="AM318" s="7" t="n">
        <f aca="false">N('KNOWIFY PHASES'!F318)</f>
        <v>0</v>
      </c>
      <c r="AN318" s="7" t="n">
        <f aca="false">N('KNOWIFY PHASES'!E318)</f>
        <v>0</v>
      </c>
      <c r="AO318" s="7" t="n">
        <f aca="false">MAX(AE318,AF318)</f>
        <v>0</v>
      </c>
      <c r="AP318" s="7" t="n">
        <f aca="false">MAX(AG318,AH318)</f>
        <v>0</v>
      </c>
      <c r="AQ318" s="7" t="n">
        <f aca="false">MAX(AI318,AJ318)</f>
        <v>0</v>
      </c>
      <c r="AR318" s="7" t="n">
        <f aca="false">MAX(AK318,AL318)</f>
        <v>0</v>
      </c>
    </row>
    <row r="319" customFormat="false" ht="15" hidden="false" customHeight="false" outlineLevel="0" collapsed="false">
      <c r="AA319" s="7" t="str">
        <f aca="false">IF('KNOWIFY PHASES'!A319="","",'KNOWIFY PHASES'!A319)</f>
        <v/>
      </c>
      <c r="AB319" s="7" t="str">
        <f aca="false">IF(AA319="","",IF(LEFT(AA319,4)="P - ","P",IF(LEFT(AA319,4)="H - ","H",IF(LEFT(AA319,5)="AC - ","AC",IF(OR(LEFT(AA319,4)="V - ",LEFT(AA319,7)="HVAC - "),"V","Other")))))</f>
        <v/>
      </c>
      <c r="AC319" s="7" t="str">
        <f aca="false">IF(AA319="","",IFERROR(LOOKUP(2,1/(($AZ$5:$AZ$60&lt;&gt;"")*ISNUMBER(SEARCH($AZ$5:$AZ$60,AA319))),$BA$5:$BA$60),IF(AB319="Other","Excluded","Unmapped")))</f>
        <v/>
      </c>
      <c r="AD319" s="7" t="str">
        <f aca="false">IF(AA319="","",IF(AND(AB319&lt;&gt;"Other",OR(AND('KNOWIFY PHASES'!B319="Closed",N('KNOWIFY PHASES'!D319)&gt;=0.5),N('KNOWIFY PHASES'!D319)&gt;=1)),1,0))</f>
        <v/>
      </c>
      <c r="AE319" s="7" t="n">
        <f aca="false">N('KNOWIFY PHASES'!L319)</f>
        <v>0</v>
      </c>
      <c r="AF319" s="7" t="n">
        <f aca="false">N('KNOWIFY PHASES'!K319)</f>
        <v>0</v>
      </c>
      <c r="AG319" s="7" t="n">
        <f aca="false">N('KNOWIFY PHASES'!I319)</f>
        <v>0</v>
      </c>
      <c r="AH319" s="7" t="n">
        <f aca="false">N('KNOWIFY PHASES'!H319)</f>
        <v>0</v>
      </c>
      <c r="AI319" s="7" t="n">
        <f aca="false">N('KNOWIFY PHASES'!O319)</f>
        <v>0</v>
      </c>
      <c r="AJ319" s="7" t="n">
        <f aca="false">N('KNOWIFY PHASES'!N319)</f>
        <v>0</v>
      </c>
      <c r="AK319" s="7" t="n">
        <f aca="false">N('KNOWIFY PHASES'!R319)</f>
        <v>0</v>
      </c>
      <c r="AL319" s="7" t="n">
        <f aca="false">N('KNOWIFY PHASES'!Q319)</f>
        <v>0</v>
      </c>
      <c r="AM319" s="7" t="n">
        <f aca="false">N('KNOWIFY PHASES'!F319)</f>
        <v>0</v>
      </c>
      <c r="AN319" s="7" t="n">
        <f aca="false">N('KNOWIFY PHASES'!E319)</f>
        <v>0</v>
      </c>
      <c r="AO319" s="7" t="n">
        <f aca="false">MAX(AE319,AF319)</f>
        <v>0</v>
      </c>
      <c r="AP319" s="7" t="n">
        <f aca="false">MAX(AG319,AH319)</f>
        <v>0</v>
      </c>
      <c r="AQ319" s="7" t="n">
        <f aca="false">MAX(AI319,AJ319)</f>
        <v>0</v>
      </c>
      <c r="AR319" s="7" t="n">
        <f aca="false">MAX(AK319,AL319)</f>
        <v>0</v>
      </c>
    </row>
    <row r="320" customFormat="false" ht="15" hidden="false" customHeight="false" outlineLevel="0" collapsed="false">
      <c r="AA320" s="7" t="str">
        <f aca="false">IF('KNOWIFY PHASES'!A320="","",'KNOWIFY PHASES'!A320)</f>
        <v/>
      </c>
      <c r="AB320" s="7" t="str">
        <f aca="false">IF(AA320="","",IF(LEFT(AA320,4)="P - ","P",IF(LEFT(AA320,4)="H - ","H",IF(LEFT(AA320,5)="AC - ","AC",IF(OR(LEFT(AA320,4)="V - ",LEFT(AA320,7)="HVAC - "),"V","Other")))))</f>
        <v/>
      </c>
      <c r="AC320" s="7" t="str">
        <f aca="false">IF(AA320="","",IFERROR(LOOKUP(2,1/(($AZ$5:$AZ$60&lt;&gt;"")*ISNUMBER(SEARCH($AZ$5:$AZ$60,AA320))),$BA$5:$BA$60),IF(AB320="Other","Excluded","Unmapped")))</f>
        <v/>
      </c>
      <c r="AD320" s="7" t="str">
        <f aca="false">IF(AA320="","",IF(AND(AB320&lt;&gt;"Other",OR(AND('KNOWIFY PHASES'!B320="Closed",N('KNOWIFY PHASES'!D320)&gt;=0.5),N('KNOWIFY PHASES'!D320)&gt;=1)),1,0))</f>
        <v/>
      </c>
      <c r="AE320" s="7" t="n">
        <f aca="false">N('KNOWIFY PHASES'!L320)</f>
        <v>0</v>
      </c>
      <c r="AF320" s="7" t="n">
        <f aca="false">N('KNOWIFY PHASES'!K320)</f>
        <v>0</v>
      </c>
      <c r="AG320" s="7" t="n">
        <f aca="false">N('KNOWIFY PHASES'!I320)</f>
        <v>0</v>
      </c>
      <c r="AH320" s="7" t="n">
        <f aca="false">N('KNOWIFY PHASES'!H320)</f>
        <v>0</v>
      </c>
      <c r="AI320" s="7" t="n">
        <f aca="false">N('KNOWIFY PHASES'!O320)</f>
        <v>0</v>
      </c>
      <c r="AJ320" s="7" t="n">
        <f aca="false">N('KNOWIFY PHASES'!N320)</f>
        <v>0</v>
      </c>
      <c r="AK320" s="7" t="n">
        <f aca="false">N('KNOWIFY PHASES'!R320)</f>
        <v>0</v>
      </c>
      <c r="AL320" s="7" t="n">
        <f aca="false">N('KNOWIFY PHASES'!Q320)</f>
        <v>0</v>
      </c>
      <c r="AM320" s="7" t="n">
        <f aca="false">N('KNOWIFY PHASES'!F320)</f>
        <v>0</v>
      </c>
      <c r="AN320" s="7" t="n">
        <f aca="false">N('KNOWIFY PHASES'!E320)</f>
        <v>0</v>
      </c>
      <c r="AO320" s="7" t="n">
        <f aca="false">MAX(AE320,AF320)</f>
        <v>0</v>
      </c>
      <c r="AP320" s="7" t="n">
        <f aca="false">MAX(AG320,AH320)</f>
        <v>0</v>
      </c>
      <c r="AQ320" s="7" t="n">
        <f aca="false">MAX(AI320,AJ320)</f>
        <v>0</v>
      </c>
      <c r="AR320" s="7" t="n">
        <f aca="false">MAX(AK320,AL320)</f>
        <v>0</v>
      </c>
    </row>
    <row r="321" customFormat="false" ht="15" hidden="false" customHeight="false" outlineLevel="0" collapsed="false">
      <c r="AA321" s="7" t="str">
        <f aca="false">IF('KNOWIFY PHASES'!A321="","",'KNOWIFY PHASES'!A321)</f>
        <v/>
      </c>
      <c r="AB321" s="7" t="str">
        <f aca="false">IF(AA321="","",IF(LEFT(AA321,4)="P - ","P",IF(LEFT(AA321,4)="H - ","H",IF(LEFT(AA321,5)="AC - ","AC",IF(OR(LEFT(AA321,4)="V - ",LEFT(AA321,7)="HVAC - "),"V","Other")))))</f>
        <v/>
      </c>
      <c r="AC321" s="7" t="str">
        <f aca="false">IF(AA321="","",IFERROR(LOOKUP(2,1/(($AZ$5:$AZ$60&lt;&gt;"")*ISNUMBER(SEARCH($AZ$5:$AZ$60,AA321))),$BA$5:$BA$60),IF(AB321="Other","Excluded","Unmapped")))</f>
        <v/>
      </c>
      <c r="AD321" s="7" t="str">
        <f aca="false">IF(AA321="","",IF(AND(AB321&lt;&gt;"Other",OR(AND('KNOWIFY PHASES'!B321="Closed",N('KNOWIFY PHASES'!D321)&gt;=0.5),N('KNOWIFY PHASES'!D321)&gt;=1)),1,0))</f>
        <v/>
      </c>
      <c r="AE321" s="7" t="n">
        <f aca="false">N('KNOWIFY PHASES'!L321)</f>
        <v>0</v>
      </c>
      <c r="AF321" s="7" t="n">
        <f aca="false">N('KNOWIFY PHASES'!K321)</f>
        <v>0</v>
      </c>
      <c r="AG321" s="7" t="n">
        <f aca="false">N('KNOWIFY PHASES'!I321)</f>
        <v>0</v>
      </c>
      <c r="AH321" s="7" t="n">
        <f aca="false">N('KNOWIFY PHASES'!H321)</f>
        <v>0</v>
      </c>
      <c r="AI321" s="7" t="n">
        <f aca="false">N('KNOWIFY PHASES'!O321)</f>
        <v>0</v>
      </c>
      <c r="AJ321" s="7" t="n">
        <f aca="false">N('KNOWIFY PHASES'!N321)</f>
        <v>0</v>
      </c>
      <c r="AK321" s="7" t="n">
        <f aca="false">N('KNOWIFY PHASES'!R321)</f>
        <v>0</v>
      </c>
      <c r="AL321" s="7" t="n">
        <f aca="false">N('KNOWIFY PHASES'!Q321)</f>
        <v>0</v>
      </c>
      <c r="AM321" s="7" t="n">
        <f aca="false">N('KNOWIFY PHASES'!F321)</f>
        <v>0</v>
      </c>
      <c r="AN321" s="7" t="n">
        <f aca="false">N('KNOWIFY PHASES'!E321)</f>
        <v>0</v>
      </c>
      <c r="AO321" s="7" t="n">
        <f aca="false">MAX(AE321,AF321)</f>
        <v>0</v>
      </c>
      <c r="AP321" s="7" t="n">
        <f aca="false">MAX(AG321,AH321)</f>
        <v>0</v>
      </c>
      <c r="AQ321" s="7" t="n">
        <f aca="false">MAX(AI321,AJ321)</f>
        <v>0</v>
      </c>
      <c r="AR321" s="7" t="n">
        <f aca="false">MAX(AK321,AL321)</f>
        <v>0</v>
      </c>
    </row>
    <row r="322" customFormat="false" ht="15" hidden="false" customHeight="false" outlineLevel="0" collapsed="false">
      <c r="AA322" s="7" t="str">
        <f aca="false">IF('KNOWIFY PHASES'!A322="","",'KNOWIFY PHASES'!A322)</f>
        <v/>
      </c>
      <c r="AB322" s="7" t="str">
        <f aca="false">IF(AA322="","",IF(LEFT(AA322,4)="P - ","P",IF(LEFT(AA322,4)="H - ","H",IF(LEFT(AA322,5)="AC - ","AC",IF(OR(LEFT(AA322,4)="V - ",LEFT(AA322,7)="HVAC - "),"V","Other")))))</f>
        <v/>
      </c>
      <c r="AC322" s="7" t="str">
        <f aca="false">IF(AA322="","",IFERROR(LOOKUP(2,1/(($AZ$5:$AZ$60&lt;&gt;"")*ISNUMBER(SEARCH($AZ$5:$AZ$60,AA322))),$BA$5:$BA$60),IF(AB322="Other","Excluded","Unmapped")))</f>
        <v/>
      </c>
      <c r="AD322" s="7" t="str">
        <f aca="false">IF(AA322="","",IF(AND(AB322&lt;&gt;"Other",OR(AND('KNOWIFY PHASES'!B322="Closed",N('KNOWIFY PHASES'!D322)&gt;=0.5),N('KNOWIFY PHASES'!D322)&gt;=1)),1,0))</f>
        <v/>
      </c>
      <c r="AE322" s="7" t="n">
        <f aca="false">N('KNOWIFY PHASES'!L322)</f>
        <v>0</v>
      </c>
      <c r="AF322" s="7" t="n">
        <f aca="false">N('KNOWIFY PHASES'!K322)</f>
        <v>0</v>
      </c>
      <c r="AG322" s="7" t="n">
        <f aca="false">N('KNOWIFY PHASES'!I322)</f>
        <v>0</v>
      </c>
      <c r="AH322" s="7" t="n">
        <f aca="false">N('KNOWIFY PHASES'!H322)</f>
        <v>0</v>
      </c>
      <c r="AI322" s="7" t="n">
        <f aca="false">N('KNOWIFY PHASES'!O322)</f>
        <v>0</v>
      </c>
      <c r="AJ322" s="7" t="n">
        <f aca="false">N('KNOWIFY PHASES'!N322)</f>
        <v>0</v>
      </c>
      <c r="AK322" s="7" t="n">
        <f aca="false">N('KNOWIFY PHASES'!R322)</f>
        <v>0</v>
      </c>
      <c r="AL322" s="7" t="n">
        <f aca="false">N('KNOWIFY PHASES'!Q322)</f>
        <v>0</v>
      </c>
      <c r="AM322" s="7" t="n">
        <f aca="false">N('KNOWIFY PHASES'!F322)</f>
        <v>0</v>
      </c>
      <c r="AN322" s="7" t="n">
        <f aca="false">N('KNOWIFY PHASES'!E322)</f>
        <v>0</v>
      </c>
      <c r="AO322" s="7" t="n">
        <f aca="false">MAX(AE322,AF322)</f>
        <v>0</v>
      </c>
      <c r="AP322" s="7" t="n">
        <f aca="false">MAX(AG322,AH322)</f>
        <v>0</v>
      </c>
      <c r="AQ322" s="7" t="n">
        <f aca="false">MAX(AI322,AJ322)</f>
        <v>0</v>
      </c>
      <c r="AR322" s="7" t="n">
        <f aca="false">MAX(AK322,AL322)</f>
        <v>0</v>
      </c>
    </row>
    <row r="323" customFormat="false" ht="15" hidden="false" customHeight="false" outlineLevel="0" collapsed="false">
      <c r="AA323" s="7" t="str">
        <f aca="false">IF('KNOWIFY PHASES'!A323="","",'KNOWIFY PHASES'!A323)</f>
        <v/>
      </c>
      <c r="AB323" s="7" t="str">
        <f aca="false">IF(AA323="","",IF(LEFT(AA323,4)="P - ","P",IF(LEFT(AA323,4)="H - ","H",IF(LEFT(AA323,5)="AC - ","AC",IF(OR(LEFT(AA323,4)="V - ",LEFT(AA323,7)="HVAC - "),"V","Other")))))</f>
        <v/>
      </c>
      <c r="AC323" s="7" t="str">
        <f aca="false">IF(AA323="","",IFERROR(LOOKUP(2,1/(($AZ$5:$AZ$60&lt;&gt;"")*ISNUMBER(SEARCH($AZ$5:$AZ$60,AA323))),$BA$5:$BA$60),IF(AB323="Other","Excluded","Unmapped")))</f>
        <v/>
      </c>
      <c r="AD323" s="7" t="str">
        <f aca="false">IF(AA323="","",IF(AND(AB323&lt;&gt;"Other",OR(AND('KNOWIFY PHASES'!B323="Closed",N('KNOWIFY PHASES'!D323)&gt;=0.5),N('KNOWIFY PHASES'!D323)&gt;=1)),1,0))</f>
        <v/>
      </c>
      <c r="AE323" s="7" t="n">
        <f aca="false">N('KNOWIFY PHASES'!L323)</f>
        <v>0</v>
      </c>
      <c r="AF323" s="7" t="n">
        <f aca="false">N('KNOWIFY PHASES'!K323)</f>
        <v>0</v>
      </c>
      <c r="AG323" s="7" t="n">
        <f aca="false">N('KNOWIFY PHASES'!I323)</f>
        <v>0</v>
      </c>
      <c r="AH323" s="7" t="n">
        <f aca="false">N('KNOWIFY PHASES'!H323)</f>
        <v>0</v>
      </c>
      <c r="AI323" s="7" t="n">
        <f aca="false">N('KNOWIFY PHASES'!O323)</f>
        <v>0</v>
      </c>
      <c r="AJ323" s="7" t="n">
        <f aca="false">N('KNOWIFY PHASES'!N323)</f>
        <v>0</v>
      </c>
      <c r="AK323" s="7" t="n">
        <f aca="false">N('KNOWIFY PHASES'!R323)</f>
        <v>0</v>
      </c>
      <c r="AL323" s="7" t="n">
        <f aca="false">N('KNOWIFY PHASES'!Q323)</f>
        <v>0</v>
      </c>
      <c r="AM323" s="7" t="n">
        <f aca="false">N('KNOWIFY PHASES'!F323)</f>
        <v>0</v>
      </c>
      <c r="AN323" s="7" t="n">
        <f aca="false">N('KNOWIFY PHASES'!E323)</f>
        <v>0</v>
      </c>
      <c r="AO323" s="7" t="n">
        <f aca="false">MAX(AE323,AF323)</f>
        <v>0</v>
      </c>
      <c r="AP323" s="7" t="n">
        <f aca="false">MAX(AG323,AH323)</f>
        <v>0</v>
      </c>
      <c r="AQ323" s="7" t="n">
        <f aca="false">MAX(AI323,AJ323)</f>
        <v>0</v>
      </c>
      <c r="AR323" s="7" t="n">
        <f aca="false">MAX(AK323,AL323)</f>
        <v>0</v>
      </c>
    </row>
    <row r="324" customFormat="false" ht="15" hidden="false" customHeight="false" outlineLevel="0" collapsed="false">
      <c r="AA324" s="7" t="str">
        <f aca="false">IF('KNOWIFY PHASES'!A324="","",'KNOWIFY PHASES'!A324)</f>
        <v/>
      </c>
      <c r="AB324" s="7" t="str">
        <f aca="false">IF(AA324="","",IF(LEFT(AA324,4)="P - ","P",IF(LEFT(AA324,4)="H - ","H",IF(LEFT(AA324,5)="AC - ","AC",IF(OR(LEFT(AA324,4)="V - ",LEFT(AA324,7)="HVAC - "),"V","Other")))))</f>
        <v/>
      </c>
      <c r="AC324" s="7" t="str">
        <f aca="false">IF(AA324="","",IFERROR(LOOKUP(2,1/(($AZ$5:$AZ$60&lt;&gt;"")*ISNUMBER(SEARCH($AZ$5:$AZ$60,AA324))),$BA$5:$BA$60),IF(AB324="Other","Excluded","Unmapped")))</f>
        <v/>
      </c>
      <c r="AD324" s="7" t="str">
        <f aca="false">IF(AA324="","",IF(AND(AB324&lt;&gt;"Other",OR(AND('KNOWIFY PHASES'!B324="Closed",N('KNOWIFY PHASES'!D324)&gt;=0.5),N('KNOWIFY PHASES'!D324)&gt;=1)),1,0))</f>
        <v/>
      </c>
      <c r="AE324" s="7" t="n">
        <f aca="false">N('KNOWIFY PHASES'!L324)</f>
        <v>0</v>
      </c>
      <c r="AF324" s="7" t="n">
        <f aca="false">N('KNOWIFY PHASES'!K324)</f>
        <v>0</v>
      </c>
      <c r="AG324" s="7" t="n">
        <f aca="false">N('KNOWIFY PHASES'!I324)</f>
        <v>0</v>
      </c>
      <c r="AH324" s="7" t="n">
        <f aca="false">N('KNOWIFY PHASES'!H324)</f>
        <v>0</v>
      </c>
      <c r="AI324" s="7" t="n">
        <f aca="false">N('KNOWIFY PHASES'!O324)</f>
        <v>0</v>
      </c>
      <c r="AJ324" s="7" t="n">
        <f aca="false">N('KNOWIFY PHASES'!N324)</f>
        <v>0</v>
      </c>
      <c r="AK324" s="7" t="n">
        <f aca="false">N('KNOWIFY PHASES'!R324)</f>
        <v>0</v>
      </c>
      <c r="AL324" s="7" t="n">
        <f aca="false">N('KNOWIFY PHASES'!Q324)</f>
        <v>0</v>
      </c>
      <c r="AM324" s="7" t="n">
        <f aca="false">N('KNOWIFY PHASES'!F324)</f>
        <v>0</v>
      </c>
      <c r="AN324" s="7" t="n">
        <f aca="false">N('KNOWIFY PHASES'!E324)</f>
        <v>0</v>
      </c>
      <c r="AO324" s="7" t="n">
        <f aca="false">MAX(AE324,AF324)</f>
        <v>0</v>
      </c>
      <c r="AP324" s="7" t="n">
        <f aca="false">MAX(AG324,AH324)</f>
        <v>0</v>
      </c>
      <c r="AQ324" s="7" t="n">
        <f aca="false">MAX(AI324,AJ324)</f>
        <v>0</v>
      </c>
      <c r="AR324" s="7" t="n">
        <f aca="false">MAX(AK324,AL324)</f>
        <v>0</v>
      </c>
    </row>
    <row r="325" customFormat="false" ht="15" hidden="false" customHeight="false" outlineLevel="0" collapsed="false">
      <c r="AA325" s="7" t="str">
        <f aca="false">IF('KNOWIFY PHASES'!A325="","",'KNOWIFY PHASES'!A325)</f>
        <v/>
      </c>
      <c r="AB325" s="7" t="str">
        <f aca="false">IF(AA325="","",IF(LEFT(AA325,4)="P - ","P",IF(LEFT(AA325,4)="H - ","H",IF(LEFT(AA325,5)="AC - ","AC",IF(OR(LEFT(AA325,4)="V - ",LEFT(AA325,7)="HVAC - "),"V","Other")))))</f>
        <v/>
      </c>
      <c r="AC325" s="7" t="str">
        <f aca="false">IF(AA325="","",IFERROR(LOOKUP(2,1/(($AZ$5:$AZ$60&lt;&gt;"")*ISNUMBER(SEARCH($AZ$5:$AZ$60,AA325))),$BA$5:$BA$60),IF(AB325="Other","Excluded","Unmapped")))</f>
        <v/>
      </c>
      <c r="AD325" s="7" t="str">
        <f aca="false">IF(AA325="","",IF(AND(AB325&lt;&gt;"Other",OR(AND('KNOWIFY PHASES'!B325="Closed",N('KNOWIFY PHASES'!D325)&gt;=0.5),N('KNOWIFY PHASES'!D325)&gt;=1)),1,0))</f>
        <v/>
      </c>
      <c r="AE325" s="7" t="n">
        <f aca="false">N('KNOWIFY PHASES'!L325)</f>
        <v>0</v>
      </c>
      <c r="AF325" s="7" t="n">
        <f aca="false">N('KNOWIFY PHASES'!K325)</f>
        <v>0</v>
      </c>
      <c r="AG325" s="7" t="n">
        <f aca="false">N('KNOWIFY PHASES'!I325)</f>
        <v>0</v>
      </c>
      <c r="AH325" s="7" t="n">
        <f aca="false">N('KNOWIFY PHASES'!H325)</f>
        <v>0</v>
      </c>
      <c r="AI325" s="7" t="n">
        <f aca="false">N('KNOWIFY PHASES'!O325)</f>
        <v>0</v>
      </c>
      <c r="AJ325" s="7" t="n">
        <f aca="false">N('KNOWIFY PHASES'!N325)</f>
        <v>0</v>
      </c>
      <c r="AK325" s="7" t="n">
        <f aca="false">N('KNOWIFY PHASES'!R325)</f>
        <v>0</v>
      </c>
      <c r="AL325" s="7" t="n">
        <f aca="false">N('KNOWIFY PHASES'!Q325)</f>
        <v>0</v>
      </c>
      <c r="AM325" s="7" t="n">
        <f aca="false">N('KNOWIFY PHASES'!F325)</f>
        <v>0</v>
      </c>
      <c r="AN325" s="7" t="n">
        <f aca="false">N('KNOWIFY PHASES'!E325)</f>
        <v>0</v>
      </c>
      <c r="AO325" s="7" t="n">
        <f aca="false">MAX(AE325,AF325)</f>
        <v>0</v>
      </c>
      <c r="AP325" s="7" t="n">
        <f aca="false">MAX(AG325,AH325)</f>
        <v>0</v>
      </c>
      <c r="AQ325" s="7" t="n">
        <f aca="false">MAX(AI325,AJ325)</f>
        <v>0</v>
      </c>
      <c r="AR325" s="7" t="n">
        <f aca="false">MAX(AK325,AL325)</f>
        <v>0</v>
      </c>
    </row>
    <row r="326" customFormat="false" ht="15" hidden="false" customHeight="false" outlineLevel="0" collapsed="false">
      <c r="AA326" s="7" t="str">
        <f aca="false">IF('KNOWIFY PHASES'!A326="","",'KNOWIFY PHASES'!A326)</f>
        <v/>
      </c>
      <c r="AB326" s="7" t="str">
        <f aca="false">IF(AA326="","",IF(LEFT(AA326,4)="P - ","P",IF(LEFT(AA326,4)="H - ","H",IF(LEFT(AA326,5)="AC - ","AC",IF(OR(LEFT(AA326,4)="V - ",LEFT(AA326,7)="HVAC - "),"V","Other")))))</f>
        <v/>
      </c>
      <c r="AC326" s="7" t="str">
        <f aca="false">IF(AA326="","",IFERROR(LOOKUP(2,1/(($AZ$5:$AZ$60&lt;&gt;"")*ISNUMBER(SEARCH($AZ$5:$AZ$60,AA326))),$BA$5:$BA$60),IF(AB326="Other","Excluded","Unmapped")))</f>
        <v/>
      </c>
      <c r="AD326" s="7" t="str">
        <f aca="false">IF(AA326="","",IF(AND(AB326&lt;&gt;"Other",OR(AND('KNOWIFY PHASES'!B326="Closed",N('KNOWIFY PHASES'!D326)&gt;=0.5),N('KNOWIFY PHASES'!D326)&gt;=1)),1,0))</f>
        <v/>
      </c>
      <c r="AE326" s="7" t="n">
        <f aca="false">N('KNOWIFY PHASES'!L326)</f>
        <v>0</v>
      </c>
      <c r="AF326" s="7" t="n">
        <f aca="false">N('KNOWIFY PHASES'!K326)</f>
        <v>0</v>
      </c>
      <c r="AG326" s="7" t="n">
        <f aca="false">N('KNOWIFY PHASES'!I326)</f>
        <v>0</v>
      </c>
      <c r="AH326" s="7" t="n">
        <f aca="false">N('KNOWIFY PHASES'!H326)</f>
        <v>0</v>
      </c>
      <c r="AI326" s="7" t="n">
        <f aca="false">N('KNOWIFY PHASES'!O326)</f>
        <v>0</v>
      </c>
      <c r="AJ326" s="7" t="n">
        <f aca="false">N('KNOWIFY PHASES'!N326)</f>
        <v>0</v>
      </c>
      <c r="AK326" s="7" t="n">
        <f aca="false">N('KNOWIFY PHASES'!R326)</f>
        <v>0</v>
      </c>
      <c r="AL326" s="7" t="n">
        <f aca="false">N('KNOWIFY PHASES'!Q326)</f>
        <v>0</v>
      </c>
      <c r="AM326" s="7" t="n">
        <f aca="false">N('KNOWIFY PHASES'!F326)</f>
        <v>0</v>
      </c>
      <c r="AN326" s="7" t="n">
        <f aca="false">N('KNOWIFY PHASES'!E326)</f>
        <v>0</v>
      </c>
      <c r="AO326" s="7" t="n">
        <f aca="false">MAX(AE326,AF326)</f>
        <v>0</v>
      </c>
      <c r="AP326" s="7" t="n">
        <f aca="false">MAX(AG326,AH326)</f>
        <v>0</v>
      </c>
      <c r="AQ326" s="7" t="n">
        <f aca="false">MAX(AI326,AJ326)</f>
        <v>0</v>
      </c>
      <c r="AR326" s="7" t="n">
        <f aca="false">MAX(AK326,AL326)</f>
        <v>0</v>
      </c>
    </row>
    <row r="327" customFormat="false" ht="15" hidden="false" customHeight="false" outlineLevel="0" collapsed="false">
      <c r="AA327" s="7" t="str">
        <f aca="false">IF('KNOWIFY PHASES'!A327="","",'KNOWIFY PHASES'!A327)</f>
        <v/>
      </c>
      <c r="AB327" s="7" t="str">
        <f aca="false">IF(AA327="","",IF(LEFT(AA327,4)="P - ","P",IF(LEFT(AA327,4)="H - ","H",IF(LEFT(AA327,5)="AC - ","AC",IF(OR(LEFT(AA327,4)="V - ",LEFT(AA327,7)="HVAC - "),"V","Other")))))</f>
        <v/>
      </c>
      <c r="AC327" s="7" t="str">
        <f aca="false">IF(AA327="","",IFERROR(LOOKUP(2,1/(($AZ$5:$AZ$60&lt;&gt;"")*ISNUMBER(SEARCH($AZ$5:$AZ$60,AA327))),$BA$5:$BA$60),IF(AB327="Other","Excluded","Unmapped")))</f>
        <v/>
      </c>
      <c r="AD327" s="7" t="str">
        <f aca="false">IF(AA327="","",IF(AND(AB327&lt;&gt;"Other",OR(AND('KNOWIFY PHASES'!B327="Closed",N('KNOWIFY PHASES'!D327)&gt;=0.5),N('KNOWIFY PHASES'!D327)&gt;=1)),1,0))</f>
        <v/>
      </c>
      <c r="AE327" s="7" t="n">
        <f aca="false">N('KNOWIFY PHASES'!L327)</f>
        <v>0</v>
      </c>
      <c r="AF327" s="7" t="n">
        <f aca="false">N('KNOWIFY PHASES'!K327)</f>
        <v>0</v>
      </c>
      <c r="AG327" s="7" t="n">
        <f aca="false">N('KNOWIFY PHASES'!I327)</f>
        <v>0</v>
      </c>
      <c r="AH327" s="7" t="n">
        <f aca="false">N('KNOWIFY PHASES'!H327)</f>
        <v>0</v>
      </c>
      <c r="AI327" s="7" t="n">
        <f aca="false">N('KNOWIFY PHASES'!O327)</f>
        <v>0</v>
      </c>
      <c r="AJ327" s="7" t="n">
        <f aca="false">N('KNOWIFY PHASES'!N327)</f>
        <v>0</v>
      </c>
      <c r="AK327" s="7" t="n">
        <f aca="false">N('KNOWIFY PHASES'!R327)</f>
        <v>0</v>
      </c>
      <c r="AL327" s="7" t="n">
        <f aca="false">N('KNOWIFY PHASES'!Q327)</f>
        <v>0</v>
      </c>
      <c r="AM327" s="7" t="n">
        <f aca="false">N('KNOWIFY PHASES'!F327)</f>
        <v>0</v>
      </c>
      <c r="AN327" s="7" t="n">
        <f aca="false">N('KNOWIFY PHASES'!E327)</f>
        <v>0</v>
      </c>
      <c r="AO327" s="7" t="n">
        <f aca="false">MAX(AE327,AF327)</f>
        <v>0</v>
      </c>
      <c r="AP327" s="7" t="n">
        <f aca="false">MAX(AG327,AH327)</f>
        <v>0</v>
      </c>
      <c r="AQ327" s="7" t="n">
        <f aca="false">MAX(AI327,AJ327)</f>
        <v>0</v>
      </c>
      <c r="AR327" s="7" t="n">
        <f aca="false">MAX(AK327,AL327)</f>
        <v>0</v>
      </c>
    </row>
    <row r="328" customFormat="false" ht="15" hidden="false" customHeight="false" outlineLevel="0" collapsed="false">
      <c r="AA328" s="7" t="str">
        <f aca="false">IF('KNOWIFY PHASES'!A328="","",'KNOWIFY PHASES'!A328)</f>
        <v/>
      </c>
      <c r="AB328" s="7" t="str">
        <f aca="false">IF(AA328="","",IF(LEFT(AA328,4)="P - ","P",IF(LEFT(AA328,4)="H - ","H",IF(LEFT(AA328,5)="AC - ","AC",IF(OR(LEFT(AA328,4)="V - ",LEFT(AA328,7)="HVAC - "),"V","Other")))))</f>
        <v/>
      </c>
      <c r="AC328" s="7" t="str">
        <f aca="false">IF(AA328="","",IFERROR(LOOKUP(2,1/(($AZ$5:$AZ$60&lt;&gt;"")*ISNUMBER(SEARCH($AZ$5:$AZ$60,AA328))),$BA$5:$BA$60),IF(AB328="Other","Excluded","Unmapped")))</f>
        <v/>
      </c>
      <c r="AD328" s="7" t="str">
        <f aca="false">IF(AA328="","",IF(AND(AB328&lt;&gt;"Other",OR(AND('KNOWIFY PHASES'!B328="Closed",N('KNOWIFY PHASES'!D328)&gt;=0.5),N('KNOWIFY PHASES'!D328)&gt;=1)),1,0))</f>
        <v/>
      </c>
      <c r="AE328" s="7" t="n">
        <f aca="false">N('KNOWIFY PHASES'!L328)</f>
        <v>0</v>
      </c>
      <c r="AF328" s="7" t="n">
        <f aca="false">N('KNOWIFY PHASES'!K328)</f>
        <v>0</v>
      </c>
      <c r="AG328" s="7" t="n">
        <f aca="false">N('KNOWIFY PHASES'!I328)</f>
        <v>0</v>
      </c>
      <c r="AH328" s="7" t="n">
        <f aca="false">N('KNOWIFY PHASES'!H328)</f>
        <v>0</v>
      </c>
      <c r="AI328" s="7" t="n">
        <f aca="false">N('KNOWIFY PHASES'!O328)</f>
        <v>0</v>
      </c>
      <c r="AJ328" s="7" t="n">
        <f aca="false">N('KNOWIFY PHASES'!N328)</f>
        <v>0</v>
      </c>
      <c r="AK328" s="7" t="n">
        <f aca="false">N('KNOWIFY PHASES'!R328)</f>
        <v>0</v>
      </c>
      <c r="AL328" s="7" t="n">
        <f aca="false">N('KNOWIFY PHASES'!Q328)</f>
        <v>0</v>
      </c>
      <c r="AM328" s="7" t="n">
        <f aca="false">N('KNOWIFY PHASES'!F328)</f>
        <v>0</v>
      </c>
      <c r="AN328" s="7" t="n">
        <f aca="false">N('KNOWIFY PHASES'!E328)</f>
        <v>0</v>
      </c>
      <c r="AO328" s="7" t="n">
        <f aca="false">MAX(AE328,AF328)</f>
        <v>0</v>
      </c>
      <c r="AP328" s="7" t="n">
        <f aca="false">MAX(AG328,AH328)</f>
        <v>0</v>
      </c>
      <c r="AQ328" s="7" t="n">
        <f aca="false">MAX(AI328,AJ328)</f>
        <v>0</v>
      </c>
      <c r="AR328" s="7" t="n">
        <f aca="false">MAX(AK328,AL328)</f>
        <v>0</v>
      </c>
    </row>
    <row r="329" customFormat="false" ht="15" hidden="false" customHeight="false" outlineLevel="0" collapsed="false">
      <c r="AA329" s="7" t="str">
        <f aca="false">IF('KNOWIFY PHASES'!A329="","",'KNOWIFY PHASES'!A329)</f>
        <v/>
      </c>
      <c r="AB329" s="7" t="str">
        <f aca="false">IF(AA329="","",IF(LEFT(AA329,4)="P - ","P",IF(LEFT(AA329,4)="H - ","H",IF(LEFT(AA329,5)="AC - ","AC",IF(OR(LEFT(AA329,4)="V - ",LEFT(AA329,7)="HVAC - "),"V","Other")))))</f>
        <v/>
      </c>
      <c r="AC329" s="7" t="str">
        <f aca="false">IF(AA329="","",IFERROR(LOOKUP(2,1/(($AZ$5:$AZ$60&lt;&gt;"")*ISNUMBER(SEARCH($AZ$5:$AZ$60,AA329))),$BA$5:$BA$60),IF(AB329="Other","Excluded","Unmapped")))</f>
        <v/>
      </c>
      <c r="AD329" s="7" t="str">
        <f aca="false">IF(AA329="","",IF(AND(AB329&lt;&gt;"Other",OR(AND('KNOWIFY PHASES'!B329="Closed",N('KNOWIFY PHASES'!D329)&gt;=0.5),N('KNOWIFY PHASES'!D329)&gt;=1)),1,0))</f>
        <v/>
      </c>
      <c r="AE329" s="7" t="n">
        <f aca="false">N('KNOWIFY PHASES'!L329)</f>
        <v>0</v>
      </c>
      <c r="AF329" s="7" t="n">
        <f aca="false">N('KNOWIFY PHASES'!K329)</f>
        <v>0</v>
      </c>
      <c r="AG329" s="7" t="n">
        <f aca="false">N('KNOWIFY PHASES'!I329)</f>
        <v>0</v>
      </c>
      <c r="AH329" s="7" t="n">
        <f aca="false">N('KNOWIFY PHASES'!H329)</f>
        <v>0</v>
      </c>
      <c r="AI329" s="7" t="n">
        <f aca="false">N('KNOWIFY PHASES'!O329)</f>
        <v>0</v>
      </c>
      <c r="AJ329" s="7" t="n">
        <f aca="false">N('KNOWIFY PHASES'!N329)</f>
        <v>0</v>
      </c>
      <c r="AK329" s="7" t="n">
        <f aca="false">N('KNOWIFY PHASES'!R329)</f>
        <v>0</v>
      </c>
      <c r="AL329" s="7" t="n">
        <f aca="false">N('KNOWIFY PHASES'!Q329)</f>
        <v>0</v>
      </c>
      <c r="AM329" s="7" t="n">
        <f aca="false">N('KNOWIFY PHASES'!F329)</f>
        <v>0</v>
      </c>
      <c r="AN329" s="7" t="n">
        <f aca="false">N('KNOWIFY PHASES'!E329)</f>
        <v>0</v>
      </c>
      <c r="AO329" s="7" t="n">
        <f aca="false">MAX(AE329,AF329)</f>
        <v>0</v>
      </c>
      <c r="AP329" s="7" t="n">
        <f aca="false">MAX(AG329,AH329)</f>
        <v>0</v>
      </c>
      <c r="AQ329" s="7" t="n">
        <f aca="false">MAX(AI329,AJ329)</f>
        <v>0</v>
      </c>
      <c r="AR329" s="7" t="n">
        <f aca="false">MAX(AK329,AL329)</f>
        <v>0</v>
      </c>
    </row>
    <row r="330" customFormat="false" ht="15" hidden="false" customHeight="false" outlineLevel="0" collapsed="false">
      <c r="AA330" s="7" t="str">
        <f aca="false">IF('KNOWIFY PHASES'!A330="","",'KNOWIFY PHASES'!A330)</f>
        <v/>
      </c>
      <c r="AB330" s="7" t="str">
        <f aca="false">IF(AA330="","",IF(LEFT(AA330,4)="P - ","P",IF(LEFT(AA330,4)="H - ","H",IF(LEFT(AA330,5)="AC - ","AC",IF(OR(LEFT(AA330,4)="V - ",LEFT(AA330,7)="HVAC - "),"V","Other")))))</f>
        <v/>
      </c>
      <c r="AC330" s="7" t="str">
        <f aca="false">IF(AA330="","",IFERROR(LOOKUP(2,1/(($AZ$5:$AZ$60&lt;&gt;"")*ISNUMBER(SEARCH($AZ$5:$AZ$60,AA330))),$BA$5:$BA$60),IF(AB330="Other","Excluded","Unmapped")))</f>
        <v/>
      </c>
      <c r="AD330" s="7" t="str">
        <f aca="false">IF(AA330="","",IF(AND(AB330&lt;&gt;"Other",OR(AND('KNOWIFY PHASES'!B330="Closed",N('KNOWIFY PHASES'!D330)&gt;=0.5),N('KNOWIFY PHASES'!D330)&gt;=1)),1,0))</f>
        <v/>
      </c>
      <c r="AE330" s="7" t="n">
        <f aca="false">N('KNOWIFY PHASES'!L330)</f>
        <v>0</v>
      </c>
      <c r="AF330" s="7" t="n">
        <f aca="false">N('KNOWIFY PHASES'!K330)</f>
        <v>0</v>
      </c>
      <c r="AG330" s="7" t="n">
        <f aca="false">N('KNOWIFY PHASES'!I330)</f>
        <v>0</v>
      </c>
      <c r="AH330" s="7" t="n">
        <f aca="false">N('KNOWIFY PHASES'!H330)</f>
        <v>0</v>
      </c>
      <c r="AI330" s="7" t="n">
        <f aca="false">N('KNOWIFY PHASES'!O330)</f>
        <v>0</v>
      </c>
      <c r="AJ330" s="7" t="n">
        <f aca="false">N('KNOWIFY PHASES'!N330)</f>
        <v>0</v>
      </c>
      <c r="AK330" s="7" t="n">
        <f aca="false">N('KNOWIFY PHASES'!R330)</f>
        <v>0</v>
      </c>
      <c r="AL330" s="7" t="n">
        <f aca="false">N('KNOWIFY PHASES'!Q330)</f>
        <v>0</v>
      </c>
      <c r="AM330" s="7" t="n">
        <f aca="false">N('KNOWIFY PHASES'!F330)</f>
        <v>0</v>
      </c>
      <c r="AN330" s="7" t="n">
        <f aca="false">N('KNOWIFY PHASES'!E330)</f>
        <v>0</v>
      </c>
      <c r="AO330" s="7" t="n">
        <f aca="false">MAX(AE330,AF330)</f>
        <v>0</v>
      </c>
      <c r="AP330" s="7" t="n">
        <f aca="false">MAX(AG330,AH330)</f>
        <v>0</v>
      </c>
      <c r="AQ330" s="7" t="n">
        <f aca="false">MAX(AI330,AJ330)</f>
        <v>0</v>
      </c>
      <c r="AR330" s="7" t="n">
        <f aca="false">MAX(AK330,AL330)</f>
        <v>0</v>
      </c>
    </row>
    <row r="331" customFormat="false" ht="15" hidden="false" customHeight="false" outlineLevel="0" collapsed="false">
      <c r="AA331" s="7" t="str">
        <f aca="false">IF('KNOWIFY PHASES'!A331="","",'KNOWIFY PHASES'!A331)</f>
        <v/>
      </c>
      <c r="AB331" s="7" t="str">
        <f aca="false">IF(AA331="","",IF(LEFT(AA331,4)="P - ","P",IF(LEFT(AA331,4)="H - ","H",IF(LEFT(AA331,5)="AC - ","AC",IF(OR(LEFT(AA331,4)="V - ",LEFT(AA331,7)="HVAC - "),"V","Other")))))</f>
        <v/>
      </c>
      <c r="AC331" s="7" t="str">
        <f aca="false">IF(AA331="","",IFERROR(LOOKUP(2,1/(($AZ$5:$AZ$60&lt;&gt;"")*ISNUMBER(SEARCH($AZ$5:$AZ$60,AA331))),$BA$5:$BA$60),IF(AB331="Other","Excluded","Unmapped")))</f>
        <v/>
      </c>
      <c r="AD331" s="7" t="str">
        <f aca="false">IF(AA331="","",IF(AND(AB331&lt;&gt;"Other",OR(AND('KNOWIFY PHASES'!B331="Closed",N('KNOWIFY PHASES'!D331)&gt;=0.5),N('KNOWIFY PHASES'!D331)&gt;=1)),1,0))</f>
        <v/>
      </c>
      <c r="AE331" s="7" t="n">
        <f aca="false">N('KNOWIFY PHASES'!L331)</f>
        <v>0</v>
      </c>
      <c r="AF331" s="7" t="n">
        <f aca="false">N('KNOWIFY PHASES'!K331)</f>
        <v>0</v>
      </c>
      <c r="AG331" s="7" t="n">
        <f aca="false">N('KNOWIFY PHASES'!I331)</f>
        <v>0</v>
      </c>
      <c r="AH331" s="7" t="n">
        <f aca="false">N('KNOWIFY PHASES'!H331)</f>
        <v>0</v>
      </c>
      <c r="AI331" s="7" t="n">
        <f aca="false">N('KNOWIFY PHASES'!O331)</f>
        <v>0</v>
      </c>
      <c r="AJ331" s="7" t="n">
        <f aca="false">N('KNOWIFY PHASES'!N331)</f>
        <v>0</v>
      </c>
      <c r="AK331" s="7" t="n">
        <f aca="false">N('KNOWIFY PHASES'!R331)</f>
        <v>0</v>
      </c>
      <c r="AL331" s="7" t="n">
        <f aca="false">N('KNOWIFY PHASES'!Q331)</f>
        <v>0</v>
      </c>
      <c r="AM331" s="7" t="n">
        <f aca="false">N('KNOWIFY PHASES'!F331)</f>
        <v>0</v>
      </c>
      <c r="AN331" s="7" t="n">
        <f aca="false">N('KNOWIFY PHASES'!E331)</f>
        <v>0</v>
      </c>
      <c r="AO331" s="7" t="n">
        <f aca="false">MAX(AE331,AF331)</f>
        <v>0</v>
      </c>
      <c r="AP331" s="7" t="n">
        <f aca="false">MAX(AG331,AH331)</f>
        <v>0</v>
      </c>
      <c r="AQ331" s="7" t="n">
        <f aca="false">MAX(AI331,AJ331)</f>
        <v>0</v>
      </c>
      <c r="AR331" s="7" t="n">
        <f aca="false">MAX(AK331,AL331)</f>
        <v>0</v>
      </c>
    </row>
    <row r="332" customFormat="false" ht="15" hidden="false" customHeight="false" outlineLevel="0" collapsed="false">
      <c r="AA332" s="7" t="str">
        <f aca="false">IF('KNOWIFY PHASES'!A332="","",'KNOWIFY PHASES'!A332)</f>
        <v/>
      </c>
      <c r="AB332" s="7" t="str">
        <f aca="false">IF(AA332="","",IF(LEFT(AA332,4)="P - ","P",IF(LEFT(AA332,4)="H - ","H",IF(LEFT(AA332,5)="AC - ","AC",IF(OR(LEFT(AA332,4)="V - ",LEFT(AA332,7)="HVAC - "),"V","Other")))))</f>
        <v/>
      </c>
      <c r="AC332" s="7" t="str">
        <f aca="false">IF(AA332="","",IFERROR(LOOKUP(2,1/(($AZ$5:$AZ$60&lt;&gt;"")*ISNUMBER(SEARCH($AZ$5:$AZ$60,AA332))),$BA$5:$BA$60),IF(AB332="Other","Excluded","Unmapped")))</f>
        <v/>
      </c>
      <c r="AD332" s="7" t="str">
        <f aca="false">IF(AA332="","",IF(AND(AB332&lt;&gt;"Other",OR(AND('KNOWIFY PHASES'!B332="Closed",N('KNOWIFY PHASES'!D332)&gt;=0.5),N('KNOWIFY PHASES'!D332)&gt;=1)),1,0))</f>
        <v/>
      </c>
      <c r="AE332" s="7" t="n">
        <f aca="false">N('KNOWIFY PHASES'!L332)</f>
        <v>0</v>
      </c>
      <c r="AF332" s="7" t="n">
        <f aca="false">N('KNOWIFY PHASES'!K332)</f>
        <v>0</v>
      </c>
      <c r="AG332" s="7" t="n">
        <f aca="false">N('KNOWIFY PHASES'!I332)</f>
        <v>0</v>
      </c>
      <c r="AH332" s="7" t="n">
        <f aca="false">N('KNOWIFY PHASES'!H332)</f>
        <v>0</v>
      </c>
      <c r="AI332" s="7" t="n">
        <f aca="false">N('KNOWIFY PHASES'!O332)</f>
        <v>0</v>
      </c>
      <c r="AJ332" s="7" t="n">
        <f aca="false">N('KNOWIFY PHASES'!N332)</f>
        <v>0</v>
      </c>
      <c r="AK332" s="7" t="n">
        <f aca="false">N('KNOWIFY PHASES'!R332)</f>
        <v>0</v>
      </c>
      <c r="AL332" s="7" t="n">
        <f aca="false">N('KNOWIFY PHASES'!Q332)</f>
        <v>0</v>
      </c>
      <c r="AM332" s="7" t="n">
        <f aca="false">N('KNOWIFY PHASES'!F332)</f>
        <v>0</v>
      </c>
      <c r="AN332" s="7" t="n">
        <f aca="false">N('KNOWIFY PHASES'!E332)</f>
        <v>0</v>
      </c>
      <c r="AO332" s="7" t="n">
        <f aca="false">MAX(AE332,AF332)</f>
        <v>0</v>
      </c>
      <c r="AP332" s="7" t="n">
        <f aca="false">MAX(AG332,AH332)</f>
        <v>0</v>
      </c>
      <c r="AQ332" s="7" t="n">
        <f aca="false">MAX(AI332,AJ332)</f>
        <v>0</v>
      </c>
      <c r="AR332" s="7" t="n">
        <f aca="false">MAX(AK332,AL332)</f>
        <v>0</v>
      </c>
    </row>
    <row r="333" customFormat="false" ht="15" hidden="false" customHeight="false" outlineLevel="0" collapsed="false">
      <c r="AA333" s="7" t="str">
        <f aca="false">IF('KNOWIFY PHASES'!A333="","",'KNOWIFY PHASES'!A333)</f>
        <v/>
      </c>
      <c r="AB333" s="7" t="str">
        <f aca="false">IF(AA333="","",IF(LEFT(AA333,4)="P - ","P",IF(LEFT(AA333,4)="H - ","H",IF(LEFT(AA333,5)="AC - ","AC",IF(OR(LEFT(AA333,4)="V - ",LEFT(AA333,7)="HVAC - "),"V","Other")))))</f>
        <v/>
      </c>
      <c r="AC333" s="7" t="str">
        <f aca="false">IF(AA333="","",IFERROR(LOOKUP(2,1/(($AZ$5:$AZ$60&lt;&gt;"")*ISNUMBER(SEARCH($AZ$5:$AZ$60,AA333))),$BA$5:$BA$60),IF(AB333="Other","Excluded","Unmapped")))</f>
        <v/>
      </c>
      <c r="AD333" s="7" t="str">
        <f aca="false">IF(AA333="","",IF(AND(AB333&lt;&gt;"Other",OR(AND('KNOWIFY PHASES'!B333="Closed",N('KNOWIFY PHASES'!D333)&gt;=0.5),N('KNOWIFY PHASES'!D333)&gt;=1)),1,0))</f>
        <v/>
      </c>
      <c r="AE333" s="7" t="n">
        <f aca="false">N('KNOWIFY PHASES'!L333)</f>
        <v>0</v>
      </c>
      <c r="AF333" s="7" t="n">
        <f aca="false">N('KNOWIFY PHASES'!K333)</f>
        <v>0</v>
      </c>
      <c r="AG333" s="7" t="n">
        <f aca="false">N('KNOWIFY PHASES'!I333)</f>
        <v>0</v>
      </c>
      <c r="AH333" s="7" t="n">
        <f aca="false">N('KNOWIFY PHASES'!H333)</f>
        <v>0</v>
      </c>
      <c r="AI333" s="7" t="n">
        <f aca="false">N('KNOWIFY PHASES'!O333)</f>
        <v>0</v>
      </c>
      <c r="AJ333" s="7" t="n">
        <f aca="false">N('KNOWIFY PHASES'!N333)</f>
        <v>0</v>
      </c>
      <c r="AK333" s="7" t="n">
        <f aca="false">N('KNOWIFY PHASES'!R333)</f>
        <v>0</v>
      </c>
      <c r="AL333" s="7" t="n">
        <f aca="false">N('KNOWIFY PHASES'!Q333)</f>
        <v>0</v>
      </c>
      <c r="AM333" s="7" t="n">
        <f aca="false">N('KNOWIFY PHASES'!F333)</f>
        <v>0</v>
      </c>
      <c r="AN333" s="7" t="n">
        <f aca="false">N('KNOWIFY PHASES'!E333)</f>
        <v>0</v>
      </c>
      <c r="AO333" s="7" t="n">
        <f aca="false">MAX(AE333,AF333)</f>
        <v>0</v>
      </c>
      <c r="AP333" s="7" t="n">
        <f aca="false">MAX(AG333,AH333)</f>
        <v>0</v>
      </c>
      <c r="AQ333" s="7" t="n">
        <f aca="false">MAX(AI333,AJ333)</f>
        <v>0</v>
      </c>
      <c r="AR333" s="7" t="n">
        <f aca="false">MAX(AK333,AL333)</f>
        <v>0</v>
      </c>
    </row>
    <row r="334" customFormat="false" ht="15" hidden="false" customHeight="false" outlineLevel="0" collapsed="false">
      <c r="AA334" s="7" t="str">
        <f aca="false">IF('KNOWIFY PHASES'!A334="","",'KNOWIFY PHASES'!A334)</f>
        <v/>
      </c>
      <c r="AB334" s="7" t="str">
        <f aca="false">IF(AA334="","",IF(LEFT(AA334,4)="P - ","P",IF(LEFT(AA334,4)="H - ","H",IF(LEFT(AA334,5)="AC - ","AC",IF(OR(LEFT(AA334,4)="V - ",LEFT(AA334,7)="HVAC - "),"V","Other")))))</f>
        <v/>
      </c>
      <c r="AC334" s="7" t="str">
        <f aca="false">IF(AA334="","",IFERROR(LOOKUP(2,1/(($AZ$5:$AZ$60&lt;&gt;"")*ISNUMBER(SEARCH($AZ$5:$AZ$60,AA334))),$BA$5:$BA$60),IF(AB334="Other","Excluded","Unmapped")))</f>
        <v/>
      </c>
      <c r="AD334" s="7" t="str">
        <f aca="false">IF(AA334="","",IF(AND(AB334&lt;&gt;"Other",OR(AND('KNOWIFY PHASES'!B334="Closed",N('KNOWIFY PHASES'!D334)&gt;=0.5),N('KNOWIFY PHASES'!D334)&gt;=1)),1,0))</f>
        <v/>
      </c>
      <c r="AE334" s="7" t="n">
        <f aca="false">N('KNOWIFY PHASES'!L334)</f>
        <v>0</v>
      </c>
      <c r="AF334" s="7" t="n">
        <f aca="false">N('KNOWIFY PHASES'!K334)</f>
        <v>0</v>
      </c>
      <c r="AG334" s="7" t="n">
        <f aca="false">N('KNOWIFY PHASES'!I334)</f>
        <v>0</v>
      </c>
      <c r="AH334" s="7" t="n">
        <f aca="false">N('KNOWIFY PHASES'!H334)</f>
        <v>0</v>
      </c>
      <c r="AI334" s="7" t="n">
        <f aca="false">N('KNOWIFY PHASES'!O334)</f>
        <v>0</v>
      </c>
      <c r="AJ334" s="7" t="n">
        <f aca="false">N('KNOWIFY PHASES'!N334)</f>
        <v>0</v>
      </c>
      <c r="AK334" s="7" t="n">
        <f aca="false">N('KNOWIFY PHASES'!R334)</f>
        <v>0</v>
      </c>
      <c r="AL334" s="7" t="n">
        <f aca="false">N('KNOWIFY PHASES'!Q334)</f>
        <v>0</v>
      </c>
      <c r="AM334" s="7" t="n">
        <f aca="false">N('KNOWIFY PHASES'!F334)</f>
        <v>0</v>
      </c>
      <c r="AN334" s="7" t="n">
        <f aca="false">N('KNOWIFY PHASES'!E334)</f>
        <v>0</v>
      </c>
      <c r="AO334" s="7" t="n">
        <f aca="false">MAX(AE334,AF334)</f>
        <v>0</v>
      </c>
      <c r="AP334" s="7" t="n">
        <f aca="false">MAX(AG334,AH334)</f>
        <v>0</v>
      </c>
      <c r="AQ334" s="7" t="n">
        <f aca="false">MAX(AI334,AJ334)</f>
        <v>0</v>
      </c>
      <c r="AR334" s="7" t="n">
        <f aca="false">MAX(AK334,AL334)</f>
        <v>0</v>
      </c>
    </row>
    <row r="335" customFormat="false" ht="15" hidden="false" customHeight="false" outlineLevel="0" collapsed="false">
      <c r="AA335" s="7" t="str">
        <f aca="false">IF('KNOWIFY PHASES'!A335="","",'KNOWIFY PHASES'!A335)</f>
        <v/>
      </c>
      <c r="AB335" s="7" t="str">
        <f aca="false">IF(AA335="","",IF(LEFT(AA335,4)="P - ","P",IF(LEFT(AA335,4)="H - ","H",IF(LEFT(AA335,5)="AC - ","AC",IF(OR(LEFT(AA335,4)="V - ",LEFT(AA335,7)="HVAC - "),"V","Other")))))</f>
        <v/>
      </c>
      <c r="AC335" s="7" t="str">
        <f aca="false">IF(AA335="","",IFERROR(LOOKUP(2,1/(($AZ$5:$AZ$60&lt;&gt;"")*ISNUMBER(SEARCH($AZ$5:$AZ$60,AA335))),$BA$5:$BA$60),IF(AB335="Other","Excluded","Unmapped")))</f>
        <v/>
      </c>
      <c r="AD335" s="7" t="str">
        <f aca="false">IF(AA335="","",IF(AND(AB335&lt;&gt;"Other",OR(AND('KNOWIFY PHASES'!B335="Closed",N('KNOWIFY PHASES'!D335)&gt;=0.5),N('KNOWIFY PHASES'!D335)&gt;=1)),1,0))</f>
        <v/>
      </c>
      <c r="AE335" s="7" t="n">
        <f aca="false">N('KNOWIFY PHASES'!L335)</f>
        <v>0</v>
      </c>
      <c r="AF335" s="7" t="n">
        <f aca="false">N('KNOWIFY PHASES'!K335)</f>
        <v>0</v>
      </c>
      <c r="AG335" s="7" t="n">
        <f aca="false">N('KNOWIFY PHASES'!I335)</f>
        <v>0</v>
      </c>
      <c r="AH335" s="7" t="n">
        <f aca="false">N('KNOWIFY PHASES'!H335)</f>
        <v>0</v>
      </c>
      <c r="AI335" s="7" t="n">
        <f aca="false">N('KNOWIFY PHASES'!O335)</f>
        <v>0</v>
      </c>
      <c r="AJ335" s="7" t="n">
        <f aca="false">N('KNOWIFY PHASES'!N335)</f>
        <v>0</v>
      </c>
      <c r="AK335" s="7" t="n">
        <f aca="false">N('KNOWIFY PHASES'!R335)</f>
        <v>0</v>
      </c>
      <c r="AL335" s="7" t="n">
        <f aca="false">N('KNOWIFY PHASES'!Q335)</f>
        <v>0</v>
      </c>
      <c r="AM335" s="7" t="n">
        <f aca="false">N('KNOWIFY PHASES'!F335)</f>
        <v>0</v>
      </c>
      <c r="AN335" s="7" t="n">
        <f aca="false">N('KNOWIFY PHASES'!E335)</f>
        <v>0</v>
      </c>
      <c r="AO335" s="7" t="n">
        <f aca="false">MAX(AE335,AF335)</f>
        <v>0</v>
      </c>
      <c r="AP335" s="7" t="n">
        <f aca="false">MAX(AG335,AH335)</f>
        <v>0</v>
      </c>
      <c r="AQ335" s="7" t="n">
        <f aca="false">MAX(AI335,AJ335)</f>
        <v>0</v>
      </c>
      <c r="AR335" s="7" t="n">
        <f aca="false">MAX(AK335,AL335)</f>
        <v>0</v>
      </c>
    </row>
    <row r="336" customFormat="false" ht="15" hidden="false" customHeight="false" outlineLevel="0" collapsed="false">
      <c r="AA336" s="7" t="str">
        <f aca="false">IF('KNOWIFY PHASES'!A336="","",'KNOWIFY PHASES'!A336)</f>
        <v/>
      </c>
      <c r="AB336" s="7" t="str">
        <f aca="false">IF(AA336="","",IF(LEFT(AA336,4)="P - ","P",IF(LEFT(AA336,4)="H - ","H",IF(LEFT(AA336,5)="AC - ","AC",IF(OR(LEFT(AA336,4)="V - ",LEFT(AA336,7)="HVAC - "),"V","Other")))))</f>
        <v/>
      </c>
      <c r="AC336" s="7" t="str">
        <f aca="false">IF(AA336="","",IFERROR(LOOKUP(2,1/(($AZ$5:$AZ$60&lt;&gt;"")*ISNUMBER(SEARCH($AZ$5:$AZ$60,AA336))),$BA$5:$BA$60),IF(AB336="Other","Excluded","Unmapped")))</f>
        <v/>
      </c>
      <c r="AD336" s="7" t="str">
        <f aca="false">IF(AA336="","",IF(AND(AB336&lt;&gt;"Other",OR(AND('KNOWIFY PHASES'!B336="Closed",N('KNOWIFY PHASES'!D336)&gt;=0.5),N('KNOWIFY PHASES'!D336)&gt;=1)),1,0))</f>
        <v/>
      </c>
      <c r="AE336" s="7" t="n">
        <f aca="false">N('KNOWIFY PHASES'!L336)</f>
        <v>0</v>
      </c>
      <c r="AF336" s="7" t="n">
        <f aca="false">N('KNOWIFY PHASES'!K336)</f>
        <v>0</v>
      </c>
      <c r="AG336" s="7" t="n">
        <f aca="false">N('KNOWIFY PHASES'!I336)</f>
        <v>0</v>
      </c>
      <c r="AH336" s="7" t="n">
        <f aca="false">N('KNOWIFY PHASES'!H336)</f>
        <v>0</v>
      </c>
      <c r="AI336" s="7" t="n">
        <f aca="false">N('KNOWIFY PHASES'!O336)</f>
        <v>0</v>
      </c>
      <c r="AJ336" s="7" t="n">
        <f aca="false">N('KNOWIFY PHASES'!N336)</f>
        <v>0</v>
      </c>
      <c r="AK336" s="7" t="n">
        <f aca="false">N('KNOWIFY PHASES'!R336)</f>
        <v>0</v>
      </c>
      <c r="AL336" s="7" t="n">
        <f aca="false">N('KNOWIFY PHASES'!Q336)</f>
        <v>0</v>
      </c>
      <c r="AM336" s="7" t="n">
        <f aca="false">N('KNOWIFY PHASES'!F336)</f>
        <v>0</v>
      </c>
      <c r="AN336" s="7" t="n">
        <f aca="false">N('KNOWIFY PHASES'!E336)</f>
        <v>0</v>
      </c>
      <c r="AO336" s="7" t="n">
        <f aca="false">MAX(AE336,AF336)</f>
        <v>0</v>
      </c>
      <c r="AP336" s="7" t="n">
        <f aca="false">MAX(AG336,AH336)</f>
        <v>0</v>
      </c>
      <c r="AQ336" s="7" t="n">
        <f aca="false">MAX(AI336,AJ336)</f>
        <v>0</v>
      </c>
      <c r="AR336" s="7" t="n">
        <f aca="false">MAX(AK336,AL336)</f>
        <v>0</v>
      </c>
    </row>
    <row r="337" customFormat="false" ht="15" hidden="false" customHeight="false" outlineLevel="0" collapsed="false">
      <c r="AA337" s="7" t="str">
        <f aca="false">IF('KNOWIFY PHASES'!A337="","",'KNOWIFY PHASES'!A337)</f>
        <v/>
      </c>
      <c r="AB337" s="7" t="str">
        <f aca="false">IF(AA337="","",IF(LEFT(AA337,4)="P - ","P",IF(LEFT(AA337,4)="H - ","H",IF(LEFT(AA337,5)="AC - ","AC",IF(OR(LEFT(AA337,4)="V - ",LEFT(AA337,7)="HVAC - "),"V","Other")))))</f>
        <v/>
      </c>
      <c r="AC337" s="7" t="str">
        <f aca="false">IF(AA337="","",IFERROR(LOOKUP(2,1/(($AZ$5:$AZ$60&lt;&gt;"")*ISNUMBER(SEARCH($AZ$5:$AZ$60,AA337))),$BA$5:$BA$60),IF(AB337="Other","Excluded","Unmapped")))</f>
        <v/>
      </c>
      <c r="AD337" s="7" t="str">
        <f aca="false">IF(AA337="","",IF(AND(AB337&lt;&gt;"Other",OR(AND('KNOWIFY PHASES'!B337="Closed",N('KNOWIFY PHASES'!D337)&gt;=0.5),N('KNOWIFY PHASES'!D337)&gt;=1)),1,0))</f>
        <v/>
      </c>
      <c r="AE337" s="7" t="n">
        <f aca="false">N('KNOWIFY PHASES'!L337)</f>
        <v>0</v>
      </c>
      <c r="AF337" s="7" t="n">
        <f aca="false">N('KNOWIFY PHASES'!K337)</f>
        <v>0</v>
      </c>
      <c r="AG337" s="7" t="n">
        <f aca="false">N('KNOWIFY PHASES'!I337)</f>
        <v>0</v>
      </c>
      <c r="AH337" s="7" t="n">
        <f aca="false">N('KNOWIFY PHASES'!H337)</f>
        <v>0</v>
      </c>
      <c r="AI337" s="7" t="n">
        <f aca="false">N('KNOWIFY PHASES'!O337)</f>
        <v>0</v>
      </c>
      <c r="AJ337" s="7" t="n">
        <f aca="false">N('KNOWIFY PHASES'!N337)</f>
        <v>0</v>
      </c>
      <c r="AK337" s="7" t="n">
        <f aca="false">N('KNOWIFY PHASES'!R337)</f>
        <v>0</v>
      </c>
      <c r="AL337" s="7" t="n">
        <f aca="false">N('KNOWIFY PHASES'!Q337)</f>
        <v>0</v>
      </c>
      <c r="AM337" s="7" t="n">
        <f aca="false">N('KNOWIFY PHASES'!F337)</f>
        <v>0</v>
      </c>
      <c r="AN337" s="7" t="n">
        <f aca="false">N('KNOWIFY PHASES'!E337)</f>
        <v>0</v>
      </c>
      <c r="AO337" s="7" t="n">
        <f aca="false">MAX(AE337,AF337)</f>
        <v>0</v>
      </c>
      <c r="AP337" s="7" t="n">
        <f aca="false">MAX(AG337,AH337)</f>
        <v>0</v>
      </c>
      <c r="AQ337" s="7" t="n">
        <f aca="false">MAX(AI337,AJ337)</f>
        <v>0</v>
      </c>
      <c r="AR337" s="7" t="n">
        <f aca="false">MAX(AK337,AL337)</f>
        <v>0</v>
      </c>
    </row>
    <row r="338" customFormat="false" ht="15" hidden="false" customHeight="false" outlineLevel="0" collapsed="false">
      <c r="AA338" s="7" t="str">
        <f aca="false">IF('KNOWIFY PHASES'!A338="","",'KNOWIFY PHASES'!A338)</f>
        <v/>
      </c>
      <c r="AB338" s="7" t="str">
        <f aca="false">IF(AA338="","",IF(LEFT(AA338,4)="P - ","P",IF(LEFT(AA338,4)="H - ","H",IF(LEFT(AA338,5)="AC - ","AC",IF(OR(LEFT(AA338,4)="V - ",LEFT(AA338,7)="HVAC - "),"V","Other")))))</f>
        <v/>
      </c>
      <c r="AC338" s="7" t="str">
        <f aca="false">IF(AA338="","",IFERROR(LOOKUP(2,1/(($AZ$5:$AZ$60&lt;&gt;"")*ISNUMBER(SEARCH($AZ$5:$AZ$60,AA338))),$BA$5:$BA$60),IF(AB338="Other","Excluded","Unmapped")))</f>
        <v/>
      </c>
      <c r="AD338" s="7" t="str">
        <f aca="false">IF(AA338="","",IF(AND(AB338&lt;&gt;"Other",OR(AND('KNOWIFY PHASES'!B338="Closed",N('KNOWIFY PHASES'!D338)&gt;=0.5),N('KNOWIFY PHASES'!D338)&gt;=1)),1,0))</f>
        <v/>
      </c>
      <c r="AE338" s="7" t="n">
        <f aca="false">N('KNOWIFY PHASES'!L338)</f>
        <v>0</v>
      </c>
      <c r="AF338" s="7" t="n">
        <f aca="false">N('KNOWIFY PHASES'!K338)</f>
        <v>0</v>
      </c>
      <c r="AG338" s="7" t="n">
        <f aca="false">N('KNOWIFY PHASES'!I338)</f>
        <v>0</v>
      </c>
      <c r="AH338" s="7" t="n">
        <f aca="false">N('KNOWIFY PHASES'!H338)</f>
        <v>0</v>
      </c>
      <c r="AI338" s="7" t="n">
        <f aca="false">N('KNOWIFY PHASES'!O338)</f>
        <v>0</v>
      </c>
      <c r="AJ338" s="7" t="n">
        <f aca="false">N('KNOWIFY PHASES'!N338)</f>
        <v>0</v>
      </c>
      <c r="AK338" s="7" t="n">
        <f aca="false">N('KNOWIFY PHASES'!R338)</f>
        <v>0</v>
      </c>
      <c r="AL338" s="7" t="n">
        <f aca="false">N('KNOWIFY PHASES'!Q338)</f>
        <v>0</v>
      </c>
      <c r="AM338" s="7" t="n">
        <f aca="false">N('KNOWIFY PHASES'!F338)</f>
        <v>0</v>
      </c>
      <c r="AN338" s="7" t="n">
        <f aca="false">N('KNOWIFY PHASES'!E338)</f>
        <v>0</v>
      </c>
      <c r="AO338" s="7" t="n">
        <f aca="false">MAX(AE338,AF338)</f>
        <v>0</v>
      </c>
      <c r="AP338" s="7" t="n">
        <f aca="false">MAX(AG338,AH338)</f>
        <v>0</v>
      </c>
      <c r="AQ338" s="7" t="n">
        <f aca="false">MAX(AI338,AJ338)</f>
        <v>0</v>
      </c>
      <c r="AR338" s="7" t="n">
        <f aca="false">MAX(AK338,AL338)</f>
        <v>0</v>
      </c>
    </row>
    <row r="339" customFormat="false" ht="15" hidden="false" customHeight="false" outlineLevel="0" collapsed="false">
      <c r="AA339" s="7" t="str">
        <f aca="false">IF('KNOWIFY PHASES'!A339="","",'KNOWIFY PHASES'!A339)</f>
        <v/>
      </c>
      <c r="AB339" s="7" t="str">
        <f aca="false">IF(AA339="","",IF(LEFT(AA339,4)="P - ","P",IF(LEFT(AA339,4)="H - ","H",IF(LEFT(AA339,5)="AC - ","AC",IF(OR(LEFT(AA339,4)="V - ",LEFT(AA339,7)="HVAC - "),"V","Other")))))</f>
        <v/>
      </c>
      <c r="AC339" s="7" t="str">
        <f aca="false">IF(AA339="","",IFERROR(LOOKUP(2,1/(($AZ$5:$AZ$60&lt;&gt;"")*ISNUMBER(SEARCH($AZ$5:$AZ$60,AA339))),$BA$5:$BA$60),IF(AB339="Other","Excluded","Unmapped")))</f>
        <v/>
      </c>
      <c r="AD339" s="7" t="str">
        <f aca="false">IF(AA339="","",IF(AND(AB339&lt;&gt;"Other",OR(AND('KNOWIFY PHASES'!B339="Closed",N('KNOWIFY PHASES'!D339)&gt;=0.5),N('KNOWIFY PHASES'!D339)&gt;=1)),1,0))</f>
        <v/>
      </c>
      <c r="AE339" s="7" t="n">
        <f aca="false">N('KNOWIFY PHASES'!L339)</f>
        <v>0</v>
      </c>
      <c r="AF339" s="7" t="n">
        <f aca="false">N('KNOWIFY PHASES'!K339)</f>
        <v>0</v>
      </c>
      <c r="AG339" s="7" t="n">
        <f aca="false">N('KNOWIFY PHASES'!I339)</f>
        <v>0</v>
      </c>
      <c r="AH339" s="7" t="n">
        <f aca="false">N('KNOWIFY PHASES'!H339)</f>
        <v>0</v>
      </c>
      <c r="AI339" s="7" t="n">
        <f aca="false">N('KNOWIFY PHASES'!O339)</f>
        <v>0</v>
      </c>
      <c r="AJ339" s="7" t="n">
        <f aca="false">N('KNOWIFY PHASES'!N339)</f>
        <v>0</v>
      </c>
      <c r="AK339" s="7" t="n">
        <f aca="false">N('KNOWIFY PHASES'!R339)</f>
        <v>0</v>
      </c>
      <c r="AL339" s="7" t="n">
        <f aca="false">N('KNOWIFY PHASES'!Q339)</f>
        <v>0</v>
      </c>
      <c r="AM339" s="7" t="n">
        <f aca="false">N('KNOWIFY PHASES'!F339)</f>
        <v>0</v>
      </c>
      <c r="AN339" s="7" t="n">
        <f aca="false">N('KNOWIFY PHASES'!E339)</f>
        <v>0</v>
      </c>
      <c r="AO339" s="7" t="n">
        <f aca="false">MAX(AE339,AF339)</f>
        <v>0</v>
      </c>
      <c r="AP339" s="7" t="n">
        <f aca="false">MAX(AG339,AH339)</f>
        <v>0</v>
      </c>
      <c r="AQ339" s="7" t="n">
        <f aca="false">MAX(AI339,AJ339)</f>
        <v>0</v>
      </c>
      <c r="AR339" s="7" t="n">
        <f aca="false">MAX(AK339,AL339)</f>
        <v>0</v>
      </c>
    </row>
    <row r="340" customFormat="false" ht="15" hidden="false" customHeight="false" outlineLevel="0" collapsed="false">
      <c r="AA340" s="7" t="str">
        <f aca="false">IF('KNOWIFY PHASES'!A340="","",'KNOWIFY PHASES'!A340)</f>
        <v/>
      </c>
      <c r="AB340" s="7" t="str">
        <f aca="false">IF(AA340="","",IF(LEFT(AA340,4)="P - ","P",IF(LEFT(AA340,4)="H - ","H",IF(LEFT(AA340,5)="AC - ","AC",IF(OR(LEFT(AA340,4)="V - ",LEFT(AA340,7)="HVAC - "),"V","Other")))))</f>
        <v/>
      </c>
      <c r="AC340" s="7" t="str">
        <f aca="false">IF(AA340="","",IFERROR(LOOKUP(2,1/(($AZ$5:$AZ$60&lt;&gt;"")*ISNUMBER(SEARCH($AZ$5:$AZ$60,AA340))),$BA$5:$BA$60),IF(AB340="Other","Excluded","Unmapped")))</f>
        <v/>
      </c>
      <c r="AD340" s="7" t="str">
        <f aca="false">IF(AA340="","",IF(AND(AB340&lt;&gt;"Other",OR(AND('KNOWIFY PHASES'!B340="Closed",N('KNOWIFY PHASES'!D340)&gt;=0.5),N('KNOWIFY PHASES'!D340)&gt;=1)),1,0))</f>
        <v/>
      </c>
      <c r="AE340" s="7" t="n">
        <f aca="false">N('KNOWIFY PHASES'!L340)</f>
        <v>0</v>
      </c>
      <c r="AF340" s="7" t="n">
        <f aca="false">N('KNOWIFY PHASES'!K340)</f>
        <v>0</v>
      </c>
      <c r="AG340" s="7" t="n">
        <f aca="false">N('KNOWIFY PHASES'!I340)</f>
        <v>0</v>
      </c>
      <c r="AH340" s="7" t="n">
        <f aca="false">N('KNOWIFY PHASES'!H340)</f>
        <v>0</v>
      </c>
      <c r="AI340" s="7" t="n">
        <f aca="false">N('KNOWIFY PHASES'!O340)</f>
        <v>0</v>
      </c>
      <c r="AJ340" s="7" t="n">
        <f aca="false">N('KNOWIFY PHASES'!N340)</f>
        <v>0</v>
      </c>
      <c r="AK340" s="7" t="n">
        <f aca="false">N('KNOWIFY PHASES'!R340)</f>
        <v>0</v>
      </c>
      <c r="AL340" s="7" t="n">
        <f aca="false">N('KNOWIFY PHASES'!Q340)</f>
        <v>0</v>
      </c>
      <c r="AM340" s="7" t="n">
        <f aca="false">N('KNOWIFY PHASES'!F340)</f>
        <v>0</v>
      </c>
      <c r="AN340" s="7" t="n">
        <f aca="false">N('KNOWIFY PHASES'!E340)</f>
        <v>0</v>
      </c>
      <c r="AO340" s="7" t="n">
        <f aca="false">MAX(AE340,AF340)</f>
        <v>0</v>
      </c>
      <c r="AP340" s="7" t="n">
        <f aca="false">MAX(AG340,AH340)</f>
        <v>0</v>
      </c>
      <c r="AQ340" s="7" t="n">
        <f aca="false">MAX(AI340,AJ340)</f>
        <v>0</v>
      </c>
      <c r="AR340" s="7" t="n">
        <f aca="false">MAX(AK340,AL340)</f>
        <v>0</v>
      </c>
    </row>
    <row r="341" customFormat="false" ht="15" hidden="false" customHeight="false" outlineLevel="0" collapsed="false">
      <c r="AA341" s="7" t="str">
        <f aca="false">IF('KNOWIFY PHASES'!A341="","",'KNOWIFY PHASES'!A341)</f>
        <v/>
      </c>
      <c r="AB341" s="7" t="str">
        <f aca="false">IF(AA341="","",IF(LEFT(AA341,4)="P - ","P",IF(LEFT(AA341,4)="H - ","H",IF(LEFT(AA341,5)="AC - ","AC",IF(OR(LEFT(AA341,4)="V - ",LEFT(AA341,7)="HVAC - "),"V","Other")))))</f>
        <v/>
      </c>
      <c r="AC341" s="7" t="str">
        <f aca="false">IF(AA341="","",IFERROR(LOOKUP(2,1/(($AZ$5:$AZ$60&lt;&gt;"")*ISNUMBER(SEARCH($AZ$5:$AZ$60,AA341))),$BA$5:$BA$60),IF(AB341="Other","Excluded","Unmapped")))</f>
        <v/>
      </c>
      <c r="AD341" s="7" t="str">
        <f aca="false">IF(AA341="","",IF(AND(AB341&lt;&gt;"Other",OR(AND('KNOWIFY PHASES'!B341="Closed",N('KNOWIFY PHASES'!D341)&gt;=0.5),N('KNOWIFY PHASES'!D341)&gt;=1)),1,0))</f>
        <v/>
      </c>
      <c r="AE341" s="7" t="n">
        <f aca="false">N('KNOWIFY PHASES'!L341)</f>
        <v>0</v>
      </c>
      <c r="AF341" s="7" t="n">
        <f aca="false">N('KNOWIFY PHASES'!K341)</f>
        <v>0</v>
      </c>
      <c r="AG341" s="7" t="n">
        <f aca="false">N('KNOWIFY PHASES'!I341)</f>
        <v>0</v>
      </c>
      <c r="AH341" s="7" t="n">
        <f aca="false">N('KNOWIFY PHASES'!H341)</f>
        <v>0</v>
      </c>
      <c r="AI341" s="7" t="n">
        <f aca="false">N('KNOWIFY PHASES'!O341)</f>
        <v>0</v>
      </c>
      <c r="AJ341" s="7" t="n">
        <f aca="false">N('KNOWIFY PHASES'!N341)</f>
        <v>0</v>
      </c>
      <c r="AK341" s="7" t="n">
        <f aca="false">N('KNOWIFY PHASES'!R341)</f>
        <v>0</v>
      </c>
      <c r="AL341" s="7" t="n">
        <f aca="false">N('KNOWIFY PHASES'!Q341)</f>
        <v>0</v>
      </c>
      <c r="AM341" s="7" t="n">
        <f aca="false">N('KNOWIFY PHASES'!F341)</f>
        <v>0</v>
      </c>
      <c r="AN341" s="7" t="n">
        <f aca="false">N('KNOWIFY PHASES'!E341)</f>
        <v>0</v>
      </c>
      <c r="AO341" s="7" t="n">
        <f aca="false">MAX(AE341,AF341)</f>
        <v>0</v>
      </c>
      <c r="AP341" s="7" t="n">
        <f aca="false">MAX(AG341,AH341)</f>
        <v>0</v>
      </c>
      <c r="AQ341" s="7" t="n">
        <f aca="false">MAX(AI341,AJ341)</f>
        <v>0</v>
      </c>
      <c r="AR341" s="7" t="n">
        <f aca="false">MAX(AK341,AL341)</f>
        <v>0</v>
      </c>
    </row>
    <row r="342" customFormat="false" ht="15" hidden="false" customHeight="false" outlineLevel="0" collapsed="false">
      <c r="AA342" s="7" t="str">
        <f aca="false">IF('KNOWIFY PHASES'!A342="","",'KNOWIFY PHASES'!A342)</f>
        <v/>
      </c>
      <c r="AB342" s="7" t="str">
        <f aca="false">IF(AA342="","",IF(LEFT(AA342,4)="P - ","P",IF(LEFT(AA342,4)="H - ","H",IF(LEFT(AA342,5)="AC - ","AC",IF(OR(LEFT(AA342,4)="V - ",LEFT(AA342,7)="HVAC - "),"V","Other")))))</f>
        <v/>
      </c>
      <c r="AC342" s="7" t="str">
        <f aca="false">IF(AA342="","",IFERROR(LOOKUP(2,1/(($AZ$5:$AZ$60&lt;&gt;"")*ISNUMBER(SEARCH($AZ$5:$AZ$60,AA342))),$BA$5:$BA$60),IF(AB342="Other","Excluded","Unmapped")))</f>
        <v/>
      </c>
      <c r="AD342" s="7" t="str">
        <f aca="false">IF(AA342="","",IF(AND(AB342&lt;&gt;"Other",OR(AND('KNOWIFY PHASES'!B342="Closed",N('KNOWIFY PHASES'!D342)&gt;=0.5),N('KNOWIFY PHASES'!D342)&gt;=1)),1,0))</f>
        <v/>
      </c>
      <c r="AE342" s="7" t="n">
        <f aca="false">N('KNOWIFY PHASES'!L342)</f>
        <v>0</v>
      </c>
      <c r="AF342" s="7" t="n">
        <f aca="false">N('KNOWIFY PHASES'!K342)</f>
        <v>0</v>
      </c>
      <c r="AG342" s="7" t="n">
        <f aca="false">N('KNOWIFY PHASES'!I342)</f>
        <v>0</v>
      </c>
      <c r="AH342" s="7" t="n">
        <f aca="false">N('KNOWIFY PHASES'!H342)</f>
        <v>0</v>
      </c>
      <c r="AI342" s="7" t="n">
        <f aca="false">N('KNOWIFY PHASES'!O342)</f>
        <v>0</v>
      </c>
      <c r="AJ342" s="7" t="n">
        <f aca="false">N('KNOWIFY PHASES'!N342)</f>
        <v>0</v>
      </c>
      <c r="AK342" s="7" t="n">
        <f aca="false">N('KNOWIFY PHASES'!R342)</f>
        <v>0</v>
      </c>
      <c r="AL342" s="7" t="n">
        <f aca="false">N('KNOWIFY PHASES'!Q342)</f>
        <v>0</v>
      </c>
      <c r="AM342" s="7" t="n">
        <f aca="false">N('KNOWIFY PHASES'!F342)</f>
        <v>0</v>
      </c>
      <c r="AN342" s="7" t="n">
        <f aca="false">N('KNOWIFY PHASES'!E342)</f>
        <v>0</v>
      </c>
      <c r="AO342" s="7" t="n">
        <f aca="false">MAX(AE342,AF342)</f>
        <v>0</v>
      </c>
      <c r="AP342" s="7" t="n">
        <f aca="false">MAX(AG342,AH342)</f>
        <v>0</v>
      </c>
      <c r="AQ342" s="7" t="n">
        <f aca="false">MAX(AI342,AJ342)</f>
        <v>0</v>
      </c>
      <c r="AR342" s="7" t="n">
        <f aca="false">MAX(AK342,AL342)</f>
        <v>0</v>
      </c>
    </row>
    <row r="343" customFormat="false" ht="15" hidden="false" customHeight="false" outlineLevel="0" collapsed="false">
      <c r="AA343" s="7" t="str">
        <f aca="false">IF('KNOWIFY PHASES'!A343="","",'KNOWIFY PHASES'!A343)</f>
        <v/>
      </c>
      <c r="AB343" s="7" t="str">
        <f aca="false">IF(AA343="","",IF(LEFT(AA343,4)="P - ","P",IF(LEFT(AA343,4)="H - ","H",IF(LEFT(AA343,5)="AC - ","AC",IF(OR(LEFT(AA343,4)="V - ",LEFT(AA343,7)="HVAC - "),"V","Other")))))</f>
        <v/>
      </c>
      <c r="AC343" s="7" t="str">
        <f aca="false">IF(AA343="","",IFERROR(LOOKUP(2,1/(($AZ$5:$AZ$60&lt;&gt;"")*ISNUMBER(SEARCH($AZ$5:$AZ$60,AA343))),$BA$5:$BA$60),IF(AB343="Other","Excluded","Unmapped")))</f>
        <v/>
      </c>
      <c r="AD343" s="7" t="str">
        <f aca="false">IF(AA343="","",IF(AND(AB343&lt;&gt;"Other",OR(AND('KNOWIFY PHASES'!B343="Closed",N('KNOWIFY PHASES'!D343)&gt;=0.5),N('KNOWIFY PHASES'!D343)&gt;=1)),1,0))</f>
        <v/>
      </c>
      <c r="AE343" s="7" t="n">
        <f aca="false">N('KNOWIFY PHASES'!L343)</f>
        <v>0</v>
      </c>
      <c r="AF343" s="7" t="n">
        <f aca="false">N('KNOWIFY PHASES'!K343)</f>
        <v>0</v>
      </c>
      <c r="AG343" s="7" t="n">
        <f aca="false">N('KNOWIFY PHASES'!I343)</f>
        <v>0</v>
      </c>
      <c r="AH343" s="7" t="n">
        <f aca="false">N('KNOWIFY PHASES'!H343)</f>
        <v>0</v>
      </c>
      <c r="AI343" s="7" t="n">
        <f aca="false">N('KNOWIFY PHASES'!O343)</f>
        <v>0</v>
      </c>
      <c r="AJ343" s="7" t="n">
        <f aca="false">N('KNOWIFY PHASES'!N343)</f>
        <v>0</v>
      </c>
      <c r="AK343" s="7" t="n">
        <f aca="false">N('KNOWIFY PHASES'!R343)</f>
        <v>0</v>
      </c>
      <c r="AL343" s="7" t="n">
        <f aca="false">N('KNOWIFY PHASES'!Q343)</f>
        <v>0</v>
      </c>
      <c r="AM343" s="7" t="n">
        <f aca="false">N('KNOWIFY PHASES'!F343)</f>
        <v>0</v>
      </c>
      <c r="AN343" s="7" t="n">
        <f aca="false">N('KNOWIFY PHASES'!E343)</f>
        <v>0</v>
      </c>
      <c r="AO343" s="7" t="n">
        <f aca="false">MAX(AE343,AF343)</f>
        <v>0</v>
      </c>
      <c r="AP343" s="7" t="n">
        <f aca="false">MAX(AG343,AH343)</f>
        <v>0</v>
      </c>
      <c r="AQ343" s="7" t="n">
        <f aca="false">MAX(AI343,AJ343)</f>
        <v>0</v>
      </c>
      <c r="AR343" s="7" t="n">
        <f aca="false">MAX(AK343,AL343)</f>
        <v>0</v>
      </c>
    </row>
    <row r="344" customFormat="false" ht="15" hidden="false" customHeight="false" outlineLevel="0" collapsed="false">
      <c r="AA344" s="7" t="str">
        <f aca="false">IF('KNOWIFY PHASES'!A344="","",'KNOWIFY PHASES'!A344)</f>
        <v/>
      </c>
      <c r="AB344" s="7" t="str">
        <f aca="false">IF(AA344="","",IF(LEFT(AA344,4)="P - ","P",IF(LEFT(AA344,4)="H - ","H",IF(LEFT(AA344,5)="AC - ","AC",IF(OR(LEFT(AA344,4)="V - ",LEFT(AA344,7)="HVAC - "),"V","Other")))))</f>
        <v/>
      </c>
      <c r="AC344" s="7" t="str">
        <f aca="false">IF(AA344="","",IFERROR(LOOKUP(2,1/(($AZ$5:$AZ$60&lt;&gt;"")*ISNUMBER(SEARCH($AZ$5:$AZ$60,AA344))),$BA$5:$BA$60),IF(AB344="Other","Excluded","Unmapped")))</f>
        <v/>
      </c>
      <c r="AD344" s="7" t="str">
        <f aca="false">IF(AA344="","",IF(AND(AB344&lt;&gt;"Other",OR(AND('KNOWIFY PHASES'!B344="Closed",N('KNOWIFY PHASES'!D344)&gt;=0.5),N('KNOWIFY PHASES'!D344)&gt;=1)),1,0))</f>
        <v/>
      </c>
      <c r="AE344" s="7" t="n">
        <f aca="false">N('KNOWIFY PHASES'!L344)</f>
        <v>0</v>
      </c>
      <c r="AF344" s="7" t="n">
        <f aca="false">N('KNOWIFY PHASES'!K344)</f>
        <v>0</v>
      </c>
      <c r="AG344" s="7" t="n">
        <f aca="false">N('KNOWIFY PHASES'!I344)</f>
        <v>0</v>
      </c>
      <c r="AH344" s="7" t="n">
        <f aca="false">N('KNOWIFY PHASES'!H344)</f>
        <v>0</v>
      </c>
      <c r="AI344" s="7" t="n">
        <f aca="false">N('KNOWIFY PHASES'!O344)</f>
        <v>0</v>
      </c>
      <c r="AJ344" s="7" t="n">
        <f aca="false">N('KNOWIFY PHASES'!N344)</f>
        <v>0</v>
      </c>
      <c r="AK344" s="7" t="n">
        <f aca="false">N('KNOWIFY PHASES'!R344)</f>
        <v>0</v>
      </c>
      <c r="AL344" s="7" t="n">
        <f aca="false">N('KNOWIFY PHASES'!Q344)</f>
        <v>0</v>
      </c>
      <c r="AM344" s="7" t="n">
        <f aca="false">N('KNOWIFY PHASES'!F344)</f>
        <v>0</v>
      </c>
      <c r="AN344" s="7" t="n">
        <f aca="false">N('KNOWIFY PHASES'!E344)</f>
        <v>0</v>
      </c>
      <c r="AO344" s="7" t="n">
        <f aca="false">MAX(AE344,AF344)</f>
        <v>0</v>
      </c>
      <c r="AP344" s="7" t="n">
        <f aca="false">MAX(AG344,AH344)</f>
        <v>0</v>
      </c>
      <c r="AQ344" s="7" t="n">
        <f aca="false">MAX(AI344,AJ344)</f>
        <v>0</v>
      </c>
      <c r="AR344" s="7" t="n">
        <f aca="false">MAX(AK344,AL344)</f>
        <v>0</v>
      </c>
    </row>
    <row r="345" customFormat="false" ht="15" hidden="false" customHeight="false" outlineLevel="0" collapsed="false">
      <c r="AA345" s="7" t="str">
        <f aca="false">IF('KNOWIFY PHASES'!A345="","",'KNOWIFY PHASES'!A345)</f>
        <v/>
      </c>
      <c r="AB345" s="7" t="str">
        <f aca="false">IF(AA345="","",IF(LEFT(AA345,4)="P - ","P",IF(LEFT(AA345,4)="H - ","H",IF(LEFT(AA345,5)="AC - ","AC",IF(OR(LEFT(AA345,4)="V - ",LEFT(AA345,7)="HVAC - "),"V","Other")))))</f>
        <v/>
      </c>
      <c r="AC345" s="7" t="str">
        <f aca="false">IF(AA345="","",IFERROR(LOOKUP(2,1/(($AZ$5:$AZ$60&lt;&gt;"")*ISNUMBER(SEARCH($AZ$5:$AZ$60,AA345))),$BA$5:$BA$60),IF(AB345="Other","Excluded","Unmapped")))</f>
        <v/>
      </c>
      <c r="AD345" s="7" t="str">
        <f aca="false">IF(AA345="","",IF(AND(AB345&lt;&gt;"Other",OR(AND('KNOWIFY PHASES'!B345="Closed",N('KNOWIFY PHASES'!D345)&gt;=0.5),N('KNOWIFY PHASES'!D345)&gt;=1)),1,0))</f>
        <v/>
      </c>
      <c r="AE345" s="7" t="n">
        <f aca="false">N('KNOWIFY PHASES'!L345)</f>
        <v>0</v>
      </c>
      <c r="AF345" s="7" t="n">
        <f aca="false">N('KNOWIFY PHASES'!K345)</f>
        <v>0</v>
      </c>
      <c r="AG345" s="7" t="n">
        <f aca="false">N('KNOWIFY PHASES'!I345)</f>
        <v>0</v>
      </c>
      <c r="AH345" s="7" t="n">
        <f aca="false">N('KNOWIFY PHASES'!H345)</f>
        <v>0</v>
      </c>
      <c r="AI345" s="7" t="n">
        <f aca="false">N('KNOWIFY PHASES'!O345)</f>
        <v>0</v>
      </c>
      <c r="AJ345" s="7" t="n">
        <f aca="false">N('KNOWIFY PHASES'!N345)</f>
        <v>0</v>
      </c>
      <c r="AK345" s="7" t="n">
        <f aca="false">N('KNOWIFY PHASES'!R345)</f>
        <v>0</v>
      </c>
      <c r="AL345" s="7" t="n">
        <f aca="false">N('KNOWIFY PHASES'!Q345)</f>
        <v>0</v>
      </c>
      <c r="AM345" s="7" t="n">
        <f aca="false">N('KNOWIFY PHASES'!F345)</f>
        <v>0</v>
      </c>
      <c r="AN345" s="7" t="n">
        <f aca="false">N('KNOWIFY PHASES'!E345)</f>
        <v>0</v>
      </c>
      <c r="AO345" s="7" t="n">
        <f aca="false">MAX(AE345,AF345)</f>
        <v>0</v>
      </c>
      <c r="AP345" s="7" t="n">
        <f aca="false">MAX(AG345,AH345)</f>
        <v>0</v>
      </c>
      <c r="AQ345" s="7" t="n">
        <f aca="false">MAX(AI345,AJ345)</f>
        <v>0</v>
      </c>
      <c r="AR345" s="7" t="n">
        <f aca="false">MAX(AK345,AL345)</f>
        <v>0</v>
      </c>
    </row>
    <row r="346" customFormat="false" ht="15" hidden="false" customHeight="false" outlineLevel="0" collapsed="false">
      <c r="AA346" s="7" t="str">
        <f aca="false">IF('KNOWIFY PHASES'!A346="","",'KNOWIFY PHASES'!A346)</f>
        <v/>
      </c>
      <c r="AB346" s="7" t="str">
        <f aca="false">IF(AA346="","",IF(LEFT(AA346,4)="P - ","P",IF(LEFT(AA346,4)="H - ","H",IF(LEFT(AA346,5)="AC - ","AC",IF(OR(LEFT(AA346,4)="V - ",LEFT(AA346,7)="HVAC - "),"V","Other")))))</f>
        <v/>
      </c>
      <c r="AC346" s="7" t="str">
        <f aca="false">IF(AA346="","",IFERROR(LOOKUP(2,1/(($AZ$5:$AZ$60&lt;&gt;"")*ISNUMBER(SEARCH($AZ$5:$AZ$60,AA346))),$BA$5:$BA$60),IF(AB346="Other","Excluded","Unmapped")))</f>
        <v/>
      </c>
      <c r="AD346" s="7" t="str">
        <f aca="false">IF(AA346="","",IF(AND(AB346&lt;&gt;"Other",OR(AND('KNOWIFY PHASES'!B346="Closed",N('KNOWIFY PHASES'!D346)&gt;=0.5),N('KNOWIFY PHASES'!D346)&gt;=1)),1,0))</f>
        <v/>
      </c>
      <c r="AE346" s="7" t="n">
        <f aca="false">N('KNOWIFY PHASES'!L346)</f>
        <v>0</v>
      </c>
      <c r="AF346" s="7" t="n">
        <f aca="false">N('KNOWIFY PHASES'!K346)</f>
        <v>0</v>
      </c>
      <c r="AG346" s="7" t="n">
        <f aca="false">N('KNOWIFY PHASES'!I346)</f>
        <v>0</v>
      </c>
      <c r="AH346" s="7" t="n">
        <f aca="false">N('KNOWIFY PHASES'!H346)</f>
        <v>0</v>
      </c>
      <c r="AI346" s="7" t="n">
        <f aca="false">N('KNOWIFY PHASES'!O346)</f>
        <v>0</v>
      </c>
      <c r="AJ346" s="7" t="n">
        <f aca="false">N('KNOWIFY PHASES'!N346)</f>
        <v>0</v>
      </c>
      <c r="AK346" s="7" t="n">
        <f aca="false">N('KNOWIFY PHASES'!R346)</f>
        <v>0</v>
      </c>
      <c r="AL346" s="7" t="n">
        <f aca="false">N('KNOWIFY PHASES'!Q346)</f>
        <v>0</v>
      </c>
      <c r="AM346" s="7" t="n">
        <f aca="false">N('KNOWIFY PHASES'!F346)</f>
        <v>0</v>
      </c>
      <c r="AN346" s="7" t="n">
        <f aca="false">N('KNOWIFY PHASES'!E346)</f>
        <v>0</v>
      </c>
      <c r="AO346" s="7" t="n">
        <f aca="false">MAX(AE346,AF346)</f>
        <v>0</v>
      </c>
      <c r="AP346" s="7" t="n">
        <f aca="false">MAX(AG346,AH346)</f>
        <v>0</v>
      </c>
      <c r="AQ346" s="7" t="n">
        <f aca="false">MAX(AI346,AJ346)</f>
        <v>0</v>
      </c>
      <c r="AR346" s="7" t="n">
        <f aca="false">MAX(AK346,AL346)</f>
        <v>0</v>
      </c>
    </row>
    <row r="347" customFormat="false" ht="15" hidden="false" customHeight="false" outlineLevel="0" collapsed="false">
      <c r="AA347" s="7" t="str">
        <f aca="false">IF('KNOWIFY PHASES'!A347="","",'KNOWIFY PHASES'!A347)</f>
        <v/>
      </c>
      <c r="AB347" s="7" t="str">
        <f aca="false">IF(AA347="","",IF(LEFT(AA347,4)="P - ","P",IF(LEFT(AA347,4)="H - ","H",IF(LEFT(AA347,5)="AC - ","AC",IF(OR(LEFT(AA347,4)="V - ",LEFT(AA347,7)="HVAC - "),"V","Other")))))</f>
        <v/>
      </c>
      <c r="AC347" s="7" t="str">
        <f aca="false">IF(AA347="","",IFERROR(LOOKUP(2,1/(($AZ$5:$AZ$60&lt;&gt;"")*ISNUMBER(SEARCH($AZ$5:$AZ$60,AA347))),$BA$5:$BA$60),IF(AB347="Other","Excluded","Unmapped")))</f>
        <v/>
      </c>
      <c r="AD347" s="7" t="str">
        <f aca="false">IF(AA347="","",IF(AND(AB347&lt;&gt;"Other",OR(AND('KNOWIFY PHASES'!B347="Closed",N('KNOWIFY PHASES'!D347)&gt;=0.5),N('KNOWIFY PHASES'!D347)&gt;=1)),1,0))</f>
        <v/>
      </c>
      <c r="AE347" s="7" t="n">
        <f aca="false">N('KNOWIFY PHASES'!L347)</f>
        <v>0</v>
      </c>
      <c r="AF347" s="7" t="n">
        <f aca="false">N('KNOWIFY PHASES'!K347)</f>
        <v>0</v>
      </c>
      <c r="AG347" s="7" t="n">
        <f aca="false">N('KNOWIFY PHASES'!I347)</f>
        <v>0</v>
      </c>
      <c r="AH347" s="7" t="n">
        <f aca="false">N('KNOWIFY PHASES'!H347)</f>
        <v>0</v>
      </c>
      <c r="AI347" s="7" t="n">
        <f aca="false">N('KNOWIFY PHASES'!O347)</f>
        <v>0</v>
      </c>
      <c r="AJ347" s="7" t="n">
        <f aca="false">N('KNOWIFY PHASES'!N347)</f>
        <v>0</v>
      </c>
      <c r="AK347" s="7" t="n">
        <f aca="false">N('KNOWIFY PHASES'!R347)</f>
        <v>0</v>
      </c>
      <c r="AL347" s="7" t="n">
        <f aca="false">N('KNOWIFY PHASES'!Q347)</f>
        <v>0</v>
      </c>
      <c r="AM347" s="7" t="n">
        <f aca="false">N('KNOWIFY PHASES'!F347)</f>
        <v>0</v>
      </c>
      <c r="AN347" s="7" t="n">
        <f aca="false">N('KNOWIFY PHASES'!E347)</f>
        <v>0</v>
      </c>
      <c r="AO347" s="7" t="n">
        <f aca="false">MAX(AE347,AF347)</f>
        <v>0</v>
      </c>
      <c r="AP347" s="7" t="n">
        <f aca="false">MAX(AG347,AH347)</f>
        <v>0</v>
      </c>
      <c r="AQ347" s="7" t="n">
        <f aca="false">MAX(AI347,AJ347)</f>
        <v>0</v>
      </c>
      <c r="AR347" s="7" t="n">
        <f aca="false">MAX(AK347,AL347)</f>
        <v>0</v>
      </c>
    </row>
    <row r="348" customFormat="false" ht="15" hidden="false" customHeight="false" outlineLevel="0" collapsed="false">
      <c r="AA348" s="7" t="str">
        <f aca="false">IF('KNOWIFY PHASES'!A348="","",'KNOWIFY PHASES'!A348)</f>
        <v/>
      </c>
      <c r="AB348" s="7" t="str">
        <f aca="false">IF(AA348="","",IF(LEFT(AA348,4)="P - ","P",IF(LEFT(AA348,4)="H - ","H",IF(LEFT(AA348,5)="AC - ","AC",IF(OR(LEFT(AA348,4)="V - ",LEFT(AA348,7)="HVAC - "),"V","Other")))))</f>
        <v/>
      </c>
      <c r="AC348" s="7" t="str">
        <f aca="false">IF(AA348="","",IFERROR(LOOKUP(2,1/(($AZ$5:$AZ$60&lt;&gt;"")*ISNUMBER(SEARCH($AZ$5:$AZ$60,AA348))),$BA$5:$BA$60),IF(AB348="Other","Excluded","Unmapped")))</f>
        <v/>
      </c>
      <c r="AD348" s="7" t="str">
        <f aca="false">IF(AA348="","",IF(AND(AB348&lt;&gt;"Other",OR(AND('KNOWIFY PHASES'!B348="Closed",N('KNOWIFY PHASES'!D348)&gt;=0.5),N('KNOWIFY PHASES'!D348)&gt;=1)),1,0))</f>
        <v/>
      </c>
      <c r="AE348" s="7" t="n">
        <f aca="false">N('KNOWIFY PHASES'!L348)</f>
        <v>0</v>
      </c>
      <c r="AF348" s="7" t="n">
        <f aca="false">N('KNOWIFY PHASES'!K348)</f>
        <v>0</v>
      </c>
      <c r="AG348" s="7" t="n">
        <f aca="false">N('KNOWIFY PHASES'!I348)</f>
        <v>0</v>
      </c>
      <c r="AH348" s="7" t="n">
        <f aca="false">N('KNOWIFY PHASES'!H348)</f>
        <v>0</v>
      </c>
      <c r="AI348" s="7" t="n">
        <f aca="false">N('KNOWIFY PHASES'!O348)</f>
        <v>0</v>
      </c>
      <c r="AJ348" s="7" t="n">
        <f aca="false">N('KNOWIFY PHASES'!N348)</f>
        <v>0</v>
      </c>
      <c r="AK348" s="7" t="n">
        <f aca="false">N('KNOWIFY PHASES'!R348)</f>
        <v>0</v>
      </c>
      <c r="AL348" s="7" t="n">
        <f aca="false">N('KNOWIFY PHASES'!Q348)</f>
        <v>0</v>
      </c>
      <c r="AM348" s="7" t="n">
        <f aca="false">N('KNOWIFY PHASES'!F348)</f>
        <v>0</v>
      </c>
      <c r="AN348" s="7" t="n">
        <f aca="false">N('KNOWIFY PHASES'!E348)</f>
        <v>0</v>
      </c>
      <c r="AO348" s="7" t="n">
        <f aca="false">MAX(AE348,AF348)</f>
        <v>0</v>
      </c>
      <c r="AP348" s="7" t="n">
        <f aca="false">MAX(AG348,AH348)</f>
        <v>0</v>
      </c>
      <c r="AQ348" s="7" t="n">
        <f aca="false">MAX(AI348,AJ348)</f>
        <v>0</v>
      </c>
      <c r="AR348" s="7" t="n">
        <f aca="false">MAX(AK348,AL348)</f>
        <v>0</v>
      </c>
    </row>
    <row r="349" customFormat="false" ht="15" hidden="false" customHeight="false" outlineLevel="0" collapsed="false">
      <c r="AA349" s="7" t="str">
        <f aca="false">IF('KNOWIFY PHASES'!A349="","",'KNOWIFY PHASES'!A349)</f>
        <v/>
      </c>
      <c r="AB349" s="7" t="str">
        <f aca="false">IF(AA349="","",IF(LEFT(AA349,4)="P - ","P",IF(LEFT(AA349,4)="H - ","H",IF(LEFT(AA349,5)="AC - ","AC",IF(OR(LEFT(AA349,4)="V - ",LEFT(AA349,7)="HVAC - "),"V","Other")))))</f>
        <v/>
      </c>
      <c r="AC349" s="7" t="str">
        <f aca="false">IF(AA349="","",IFERROR(LOOKUP(2,1/(($AZ$5:$AZ$60&lt;&gt;"")*ISNUMBER(SEARCH($AZ$5:$AZ$60,AA349))),$BA$5:$BA$60),IF(AB349="Other","Excluded","Unmapped")))</f>
        <v/>
      </c>
      <c r="AD349" s="7" t="str">
        <f aca="false">IF(AA349="","",IF(AND(AB349&lt;&gt;"Other",OR(AND('KNOWIFY PHASES'!B349="Closed",N('KNOWIFY PHASES'!D349)&gt;=0.5),N('KNOWIFY PHASES'!D349)&gt;=1)),1,0))</f>
        <v/>
      </c>
      <c r="AE349" s="7" t="n">
        <f aca="false">N('KNOWIFY PHASES'!L349)</f>
        <v>0</v>
      </c>
      <c r="AF349" s="7" t="n">
        <f aca="false">N('KNOWIFY PHASES'!K349)</f>
        <v>0</v>
      </c>
      <c r="AG349" s="7" t="n">
        <f aca="false">N('KNOWIFY PHASES'!I349)</f>
        <v>0</v>
      </c>
      <c r="AH349" s="7" t="n">
        <f aca="false">N('KNOWIFY PHASES'!H349)</f>
        <v>0</v>
      </c>
      <c r="AI349" s="7" t="n">
        <f aca="false">N('KNOWIFY PHASES'!O349)</f>
        <v>0</v>
      </c>
      <c r="AJ349" s="7" t="n">
        <f aca="false">N('KNOWIFY PHASES'!N349)</f>
        <v>0</v>
      </c>
      <c r="AK349" s="7" t="n">
        <f aca="false">N('KNOWIFY PHASES'!R349)</f>
        <v>0</v>
      </c>
      <c r="AL349" s="7" t="n">
        <f aca="false">N('KNOWIFY PHASES'!Q349)</f>
        <v>0</v>
      </c>
      <c r="AM349" s="7" t="n">
        <f aca="false">N('KNOWIFY PHASES'!F349)</f>
        <v>0</v>
      </c>
      <c r="AN349" s="7" t="n">
        <f aca="false">N('KNOWIFY PHASES'!E349)</f>
        <v>0</v>
      </c>
      <c r="AO349" s="7" t="n">
        <f aca="false">MAX(AE349,AF349)</f>
        <v>0</v>
      </c>
      <c r="AP349" s="7" t="n">
        <f aca="false">MAX(AG349,AH349)</f>
        <v>0</v>
      </c>
      <c r="AQ349" s="7" t="n">
        <f aca="false">MAX(AI349,AJ349)</f>
        <v>0</v>
      </c>
      <c r="AR349" s="7" t="n">
        <f aca="false">MAX(AK349,AL349)</f>
        <v>0</v>
      </c>
    </row>
    <row r="350" customFormat="false" ht="15" hidden="false" customHeight="false" outlineLevel="0" collapsed="false">
      <c r="AA350" s="7" t="str">
        <f aca="false">IF('KNOWIFY PHASES'!A350="","",'KNOWIFY PHASES'!A350)</f>
        <v/>
      </c>
      <c r="AB350" s="7" t="str">
        <f aca="false">IF(AA350="","",IF(LEFT(AA350,4)="P - ","P",IF(LEFT(AA350,4)="H - ","H",IF(LEFT(AA350,5)="AC - ","AC",IF(OR(LEFT(AA350,4)="V - ",LEFT(AA350,7)="HVAC - "),"V","Other")))))</f>
        <v/>
      </c>
      <c r="AC350" s="7" t="str">
        <f aca="false">IF(AA350="","",IFERROR(LOOKUP(2,1/(($AZ$5:$AZ$60&lt;&gt;"")*ISNUMBER(SEARCH($AZ$5:$AZ$60,AA350))),$BA$5:$BA$60),IF(AB350="Other","Excluded","Unmapped")))</f>
        <v/>
      </c>
      <c r="AD350" s="7" t="str">
        <f aca="false">IF(AA350="","",IF(AND(AB350&lt;&gt;"Other",OR(AND('KNOWIFY PHASES'!B350="Closed",N('KNOWIFY PHASES'!D350)&gt;=0.5),N('KNOWIFY PHASES'!D350)&gt;=1)),1,0))</f>
        <v/>
      </c>
      <c r="AE350" s="7" t="n">
        <f aca="false">N('KNOWIFY PHASES'!L350)</f>
        <v>0</v>
      </c>
      <c r="AF350" s="7" t="n">
        <f aca="false">N('KNOWIFY PHASES'!K350)</f>
        <v>0</v>
      </c>
      <c r="AG350" s="7" t="n">
        <f aca="false">N('KNOWIFY PHASES'!I350)</f>
        <v>0</v>
      </c>
      <c r="AH350" s="7" t="n">
        <f aca="false">N('KNOWIFY PHASES'!H350)</f>
        <v>0</v>
      </c>
      <c r="AI350" s="7" t="n">
        <f aca="false">N('KNOWIFY PHASES'!O350)</f>
        <v>0</v>
      </c>
      <c r="AJ350" s="7" t="n">
        <f aca="false">N('KNOWIFY PHASES'!N350)</f>
        <v>0</v>
      </c>
      <c r="AK350" s="7" t="n">
        <f aca="false">N('KNOWIFY PHASES'!R350)</f>
        <v>0</v>
      </c>
      <c r="AL350" s="7" t="n">
        <f aca="false">N('KNOWIFY PHASES'!Q350)</f>
        <v>0</v>
      </c>
      <c r="AM350" s="7" t="n">
        <f aca="false">N('KNOWIFY PHASES'!F350)</f>
        <v>0</v>
      </c>
      <c r="AN350" s="7" t="n">
        <f aca="false">N('KNOWIFY PHASES'!E350)</f>
        <v>0</v>
      </c>
      <c r="AO350" s="7" t="n">
        <f aca="false">MAX(AE350,AF350)</f>
        <v>0</v>
      </c>
      <c r="AP350" s="7" t="n">
        <f aca="false">MAX(AG350,AH350)</f>
        <v>0</v>
      </c>
      <c r="AQ350" s="7" t="n">
        <f aca="false">MAX(AI350,AJ350)</f>
        <v>0</v>
      </c>
      <c r="AR350" s="7" t="n">
        <f aca="false">MAX(AK350,AL350)</f>
        <v>0</v>
      </c>
    </row>
    <row r="351" customFormat="false" ht="15" hidden="false" customHeight="false" outlineLevel="0" collapsed="false">
      <c r="AA351" s="7" t="str">
        <f aca="false">IF('KNOWIFY PHASES'!A351="","",'KNOWIFY PHASES'!A351)</f>
        <v/>
      </c>
      <c r="AB351" s="7" t="str">
        <f aca="false">IF(AA351="","",IF(LEFT(AA351,4)="P - ","P",IF(LEFT(AA351,4)="H - ","H",IF(LEFT(AA351,5)="AC - ","AC",IF(OR(LEFT(AA351,4)="V - ",LEFT(AA351,7)="HVAC - "),"V","Other")))))</f>
        <v/>
      </c>
      <c r="AC351" s="7" t="str">
        <f aca="false">IF(AA351="","",IFERROR(LOOKUP(2,1/(($AZ$5:$AZ$60&lt;&gt;"")*ISNUMBER(SEARCH($AZ$5:$AZ$60,AA351))),$BA$5:$BA$60),IF(AB351="Other","Excluded","Unmapped")))</f>
        <v/>
      </c>
      <c r="AD351" s="7" t="str">
        <f aca="false">IF(AA351="","",IF(AND(AB351&lt;&gt;"Other",OR(AND('KNOWIFY PHASES'!B351="Closed",N('KNOWIFY PHASES'!D351)&gt;=0.5),N('KNOWIFY PHASES'!D351)&gt;=1)),1,0))</f>
        <v/>
      </c>
      <c r="AE351" s="7" t="n">
        <f aca="false">N('KNOWIFY PHASES'!L351)</f>
        <v>0</v>
      </c>
      <c r="AF351" s="7" t="n">
        <f aca="false">N('KNOWIFY PHASES'!K351)</f>
        <v>0</v>
      </c>
      <c r="AG351" s="7" t="n">
        <f aca="false">N('KNOWIFY PHASES'!I351)</f>
        <v>0</v>
      </c>
      <c r="AH351" s="7" t="n">
        <f aca="false">N('KNOWIFY PHASES'!H351)</f>
        <v>0</v>
      </c>
      <c r="AI351" s="7" t="n">
        <f aca="false">N('KNOWIFY PHASES'!O351)</f>
        <v>0</v>
      </c>
      <c r="AJ351" s="7" t="n">
        <f aca="false">N('KNOWIFY PHASES'!N351)</f>
        <v>0</v>
      </c>
      <c r="AK351" s="7" t="n">
        <f aca="false">N('KNOWIFY PHASES'!R351)</f>
        <v>0</v>
      </c>
      <c r="AL351" s="7" t="n">
        <f aca="false">N('KNOWIFY PHASES'!Q351)</f>
        <v>0</v>
      </c>
      <c r="AM351" s="7" t="n">
        <f aca="false">N('KNOWIFY PHASES'!F351)</f>
        <v>0</v>
      </c>
      <c r="AN351" s="7" t="n">
        <f aca="false">N('KNOWIFY PHASES'!E351)</f>
        <v>0</v>
      </c>
      <c r="AO351" s="7" t="n">
        <f aca="false">MAX(AE351,AF351)</f>
        <v>0</v>
      </c>
      <c r="AP351" s="7" t="n">
        <f aca="false">MAX(AG351,AH351)</f>
        <v>0</v>
      </c>
      <c r="AQ351" s="7" t="n">
        <f aca="false">MAX(AI351,AJ351)</f>
        <v>0</v>
      </c>
      <c r="AR351" s="7" t="n">
        <f aca="false">MAX(AK351,AL351)</f>
        <v>0</v>
      </c>
    </row>
    <row r="352" customFormat="false" ht="15" hidden="false" customHeight="false" outlineLevel="0" collapsed="false">
      <c r="AA352" s="7" t="str">
        <f aca="false">IF('KNOWIFY PHASES'!A352="","",'KNOWIFY PHASES'!A352)</f>
        <v/>
      </c>
      <c r="AB352" s="7" t="str">
        <f aca="false">IF(AA352="","",IF(LEFT(AA352,4)="P - ","P",IF(LEFT(AA352,4)="H - ","H",IF(LEFT(AA352,5)="AC - ","AC",IF(OR(LEFT(AA352,4)="V - ",LEFT(AA352,7)="HVAC - "),"V","Other")))))</f>
        <v/>
      </c>
      <c r="AC352" s="7" t="str">
        <f aca="false">IF(AA352="","",IFERROR(LOOKUP(2,1/(($AZ$5:$AZ$60&lt;&gt;"")*ISNUMBER(SEARCH($AZ$5:$AZ$60,AA352))),$BA$5:$BA$60),IF(AB352="Other","Excluded","Unmapped")))</f>
        <v/>
      </c>
      <c r="AD352" s="7" t="str">
        <f aca="false">IF(AA352="","",IF(AND(AB352&lt;&gt;"Other",OR(AND('KNOWIFY PHASES'!B352="Closed",N('KNOWIFY PHASES'!D352)&gt;=0.5),N('KNOWIFY PHASES'!D352)&gt;=1)),1,0))</f>
        <v/>
      </c>
      <c r="AE352" s="7" t="n">
        <f aca="false">N('KNOWIFY PHASES'!L352)</f>
        <v>0</v>
      </c>
      <c r="AF352" s="7" t="n">
        <f aca="false">N('KNOWIFY PHASES'!K352)</f>
        <v>0</v>
      </c>
      <c r="AG352" s="7" t="n">
        <f aca="false">N('KNOWIFY PHASES'!I352)</f>
        <v>0</v>
      </c>
      <c r="AH352" s="7" t="n">
        <f aca="false">N('KNOWIFY PHASES'!H352)</f>
        <v>0</v>
      </c>
      <c r="AI352" s="7" t="n">
        <f aca="false">N('KNOWIFY PHASES'!O352)</f>
        <v>0</v>
      </c>
      <c r="AJ352" s="7" t="n">
        <f aca="false">N('KNOWIFY PHASES'!N352)</f>
        <v>0</v>
      </c>
      <c r="AK352" s="7" t="n">
        <f aca="false">N('KNOWIFY PHASES'!R352)</f>
        <v>0</v>
      </c>
      <c r="AL352" s="7" t="n">
        <f aca="false">N('KNOWIFY PHASES'!Q352)</f>
        <v>0</v>
      </c>
      <c r="AM352" s="7" t="n">
        <f aca="false">N('KNOWIFY PHASES'!F352)</f>
        <v>0</v>
      </c>
      <c r="AN352" s="7" t="n">
        <f aca="false">N('KNOWIFY PHASES'!E352)</f>
        <v>0</v>
      </c>
      <c r="AO352" s="7" t="n">
        <f aca="false">MAX(AE352,AF352)</f>
        <v>0</v>
      </c>
      <c r="AP352" s="7" t="n">
        <f aca="false">MAX(AG352,AH352)</f>
        <v>0</v>
      </c>
      <c r="AQ352" s="7" t="n">
        <f aca="false">MAX(AI352,AJ352)</f>
        <v>0</v>
      </c>
      <c r="AR352" s="7" t="n">
        <f aca="false">MAX(AK352,AL352)</f>
        <v>0</v>
      </c>
    </row>
    <row r="353" customFormat="false" ht="15" hidden="false" customHeight="false" outlineLevel="0" collapsed="false">
      <c r="AA353" s="7" t="str">
        <f aca="false">IF('KNOWIFY PHASES'!A353="","",'KNOWIFY PHASES'!A353)</f>
        <v/>
      </c>
      <c r="AB353" s="7" t="str">
        <f aca="false">IF(AA353="","",IF(LEFT(AA353,4)="P - ","P",IF(LEFT(AA353,4)="H - ","H",IF(LEFT(AA353,5)="AC - ","AC",IF(OR(LEFT(AA353,4)="V - ",LEFT(AA353,7)="HVAC - "),"V","Other")))))</f>
        <v/>
      </c>
      <c r="AC353" s="7" t="str">
        <f aca="false">IF(AA353="","",IFERROR(LOOKUP(2,1/(($AZ$5:$AZ$60&lt;&gt;"")*ISNUMBER(SEARCH($AZ$5:$AZ$60,AA353))),$BA$5:$BA$60),IF(AB353="Other","Excluded","Unmapped")))</f>
        <v/>
      </c>
      <c r="AD353" s="7" t="str">
        <f aca="false">IF(AA353="","",IF(AND(AB353&lt;&gt;"Other",OR(AND('KNOWIFY PHASES'!B353="Closed",N('KNOWIFY PHASES'!D353)&gt;=0.5),N('KNOWIFY PHASES'!D353)&gt;=1)),1,0))</f>
        <v/>
      </c>
      <c r="AE353" s="7" t="n">
        <f aca="false">N('KNOWIFY PHASES'!L353)</f>
        <v>0</v>
      </c>
      <c r="AF353" s="7" t="n">
        <f aca="false">N('KNOWIFY PHASES'!K353)</f>
        <v>0</v>
      </c>
      <c r="AG353" s="7" t="n">
        <f aca="false">N('KNOWIFY PHASES'!I353)</f>
        <v>0</v>
      </c>
      <c r="AH353" s="7" t="n">
        <f aca="false">N('KNOWIFY PHASES'!H353)</f>
        <v>0</v>
      </c>
      <c r="AI353" s="7" t="n">
        <f aca="false">N('KNOWIFY PHASES'!O353)</f>
        <v>0</v>
      </c>
      <c r="AJ353" s="7" t="n">
        <f aca="false">N('KNOWIFY PHASES'!N353)</f>
        <v>0</v>
      </c>
      <c r="AK353" s="7" t="n">
        <f aca="false">N('KNOWIFY PHASES'!R353)</f>
        <v>0</v>
      </c>
      <c r="AL353" s="7" t="n">
        <f aca="false">N('KNOWIFY PHASES'!Q353)</f>
        <v>0</v>
      </c>
      <c r="AM353" s="7" t="n">
        <f aca="false">N('KNOWIFY PHASES'!F353)</f>
        <v>0</v>
      </c>
      <c r="AN353" s="7" t="n">
        <f aca="false">N('KNOWIFY PHASES'!E353)</f>
        <v>0</v>
      </c>
      <c r="AO353" s="7" t="n">
        <f aca="false">MAX(AE353,AF353)</f>
        <v>0</v>
      </c>
      <c r="AP353" s="7" t="n">
        <f aca="false">MAX(AG353,AH353)</f>
        <v>0</v>
      </c>
      <c r="AQ353" s="7" t="n">
        <f aca="false">MAX(AI353,AJ353)</f>
        <v>0</v>
      </c>
      <c r="AR353" s="7" t="n">
        <f aca="false">MAX(AK353,AL353)</f>
        <v>0</v>
      </c>
    </row>
    <row r="354" customFormat="false" ht="15" hidden="false" customHeight="false" outlineLevel="0" collapsed="false">
      <c r="AA354" s="7" t="str">
        <f aca="false">IF('KNOWIFY PHASES'!A354="","",'KNOWIFY PHASES'!A354)</f>
        <v/>
      </c>
      <c r="AB354" s="7" t="str">
        <f aca="false">IF(AA354="","",IF(LEFT(AA354,4)="P - ","P",IF(LEFT(AA354,4)="H - ","H",IF(LEFT(AA354,5)="AC - ","AC",IF(OR(LEFT(AA354,4)="V - ",LEFT(AA354,7)="HVAC - "),"V","Other")))))</f>
        <v/>
      </c>
      <c r="AC354" s="7" t="str">
        <f aca="false">IF(AA354="","",IFERROR(LOOKUP(2,1/(($AZ$5:$AZ$60&lt;&gt;"")*ISNUMBER(SEARCH($AZ$5:$AZ$60,AA354))),$BA$5:$BA$60),IF(AB354="Other","Excluded","Unmapped")))</f>
        <v/>
      </c>
      <c r="AD354" s="7" t="str">
        <f aca="false">IF(AA354="","",IF(AND(AB354&lt;&gt;"Other",OR(AND('KNOWIFY PHASES'!B354="Closed",N('KNOWIFY PHASES'!D354)&gt;=0.5),N('KNOWIFY PHASES'!D354)&gt;=1)),1,0))</f>
        <v/>
      </c>
      <c r="AE354" s="7" t="n">
        <f aca="false">N('KNOWIFY PHASES'!L354)</f>
        <v>0</v>
      </c>
      <c r="AF354" s="7" t="n">
        <f aca="false">N('KNOWIFY PHASES'!K354)</f>
        <v>0</v>
      </c>
      <c r="AG354" s="7" t="n">
        <f aca="false">N('KNOWIFY PHASES'!I354)</f>
        <v>0</v>
      </c>
      <c r="AH354" s="7" t="n">
        <f aca="false">N('KNOWIFY PHASES'!H354)</f>
        <v>0</v>
      </c>
      <c r="AI354" s="7" t="n">
        <f aca="false">N('KNOWIFY PHASES'!O354)</f>
        <v>0</v>
      </c>
      <c r="AJ354" s="7" t="n">
        <f aca="false">N('KNOWIFY PHASES'!N354)</f>
        <v>0</v>
      </c>
      <c r="AK354" s="7" t="n">
        <f aca="false">N('KNOWIFY PHASES'!R354)</f>
        <v>0</v>
      </c>
      <c r="AL354" s="7" t="n">
        <f aca="false">N('KNOWIFY PHASES'!Q354)</f>
        <v>0</v>
      </c>
      <c r="AM354" s="7" t="n">
        <f aca="false">N('KNOWIFY PHASES'!F354)</f>
        <v>0</v>
      </c>
      <c r="AN354" s="7" t="n">
        <f aca="false">N('KNOWIFY PHASES'!E354)</f>
        <v>0</v>
      </c>
      <c r="AO354" s="7" t="n">
        <f aca="false">MAX(AE354,AF354)</f>
        <v>0</v>
      </c>
      <c r="AP354" s="7" t="n">
        <f aca="false">MAX(AG354,AH354)</f>
        <v>0</v>
      </c>
      <c r="AQ354" s="7" t="n">
        <f aca="false">MAX(AI354,AJ354)</f>
        <v>0</v>
      </c>
      <c r="AR354" s="7" t="n">
        <f aca="false">MAX(AK354,AL354)</f>
        <v>0</v>
      </c>
    </row>
    <row r="355" customFormat="false" ht="15" hidden="false" customHeight="false" outlineLevel="0" collapsed="false">
      <c r="AA355" s="7" t="str">
        <f aca="false">IF('KNOWIFY PHASES'!A355="","",'KNOWIFY PHASES'!A355)</f>
        <v/>
      </c>
      <c r="AB355" s="7" t="str">
        <f aca="false">IF(AA355="","",IF(LEFT(AA355,4)="P - ","P",IF(LEFT(AA355,4)="H - ","H",IF(LEFT(AA355,5)="AC - ","AC",IF(OR(LEFT(AA355,4)="V - ",LEFT(AA355,7)="HVAC - "),"V","Other")))))</f>
        <v/>
      </c>
      <c r="AC355" s="7" t="str">
        <f aca="false">IF(AA355="","",IFERROR(LOOKUP(2,1/(($AZ$5:$AZ$60&lt;&gt;"")*ISNUMBER(SEARCH($AZ$5:$AZ$60,AA355))),$BA$5:$BA$60),IF(AB355="Other","Excluded","Unmapped")))</f>
        <v/>
      </c>
      <c r="AD355" s="7" t="str">
        <f aca="false">IF(AA355="","",IF(AND(AB355&lt;&gt;"Other",OR(AND('KNOWIFY PHASES'!B355="Closed",N('KNOWIFY PHASES'!D355)&gt;=0.5),N('KNOWIFY PHASES'!D355)&gt;=1)),1,0))</f>
        <v/>
      </c>
      <c r="AE355" s="7" t="n">
        <f aca="false">N('KNOWIFY PHASES'!L355)</f>
        <v>0</v>
      </c>
      <c r="AF355" s="7" t="n">
        <f aca="false">N('KNOWIFY PHASES'!K355)</f>
        <v>0</v>
      </c>
      <c r="AG355" s="7" t="n">
        <f aca="false">N('KNOWIFY PHASES'!I355)</f>
        <v>0</v>
      </c>
      <c r="AH355" s="7" t="n">
        <f aca="false">N('KNOWIFY PHASES'!H355)</f>
        <v>0</v>
      </c>
      <c r="AI355" s="7" t="n">
        <f aca="false">N('KNOWIFY PHASES'!O355)</f>
        <v>0</v>
      </c>
      <c r="AJ355" s="7" t="n">
        <f aca="false">N('KNOWIFY PHASES'!N355)</f>
        <v>0</v>
      </c>
      <c r="AK355" s="7" t="n">
        <f aca="false">N('KNOWIFY PHASES'!R355)</f>
        <v>0</v>
      </c>
      <c r="AL355" s="7" t="n">
        <f aca="false">N('KNOWIFY PHASES'!Q355)</f>
        <v>0</v>
      </c>
      <c r="AM355" s="7" t="n">
        <f aca="false">N('KNOWIFY PHASES'!F355)</f>
        <v>0</v>
      </c>
      <c r="AN355" s="7" t="n">
        <f aca="false">N('KNOWIFY PHASES'!E355)</f>
        <v>0</v>
      </c>
      <c r="AO355" s="7" t="n">
        <f aca="false">MAX(AE355,AF355)</f>
        <v>0</v>
      </c>
      <c r="AP355" s="7" t="n">
        <f aca="false">MAX(AG355,AH355)</f>
        <v>0</v>
      </c>
      <c r="AQ355" s="7" t="n">
        <f aca="false">MAX(AI355,AJ355)</f>
        <v>0</v>
      </c>
      <c r="AR355" s="7" t="n">
        <f aca="false">MAX(AK355,AL355)</f>
        <v>0</v>
      </c>
    </row>
    <row r="356" customFormat="false" ht="15" hidden="false" customHeight="false" outlineLevel="0" collapsed="false">
      <c r="AA356" s="7" t="str">
        <f aca="false">IF('KNOWIFY PHASES'!A356="","",'KNOWIFY PHASES'!A356)</f>
        <v/>
      </c>
      <c r="AB356" s="7" t="str">
        <f aca="false">IF(AA356="","",IF(LEFT(AA356,4)="P - ","P",IF(LEFT(AA356,4)="H - ","H",IF(LEFT(AA356,5)="AC - ","AC",IF(OR(LEFT(AA356,4)="V - ",LEFT(AA356,7)="HVAC - "),"V","Other")))))</f>
        <v/>
      </c>
      <c r="AC356" s="7" t="str">
        <f aca="false">IF(AA356="","",IFERROR(LOOKUP(2,1/(($AZ$5:$AZ$60&lt;&gt;"")*ISNUMBER(SEARCH($AZ$5:$AZ$60,AA356))),$BA$5:$BA$60),IF(AB356="Other","Excluded","Unmapped")))</f>
        <v/>
      </c>
      <c r="AD356" s="7" t="str">
        <f aca="false">IF(AA356="","",IF(AND(AB356&lt;&gt;"Other",OR(AND('KNOWIFY PHASES'!B356="Closed",N('KNOWIFY PHASES'!D356)&gt;=0.5),N('KNOWIFY PHASES'!D356)&gt;=1)),1,0))</f>
        <v/>
      </c>
      <c r="AE356" s="7" t="n">
        <f aca="false">N('KNOWIFY PHASES'!L356)</f>
        <v>0</v>
      </c>
      <c r="AF356" s="7" t="n">
        <f aca="false">N('KNOWIFY PHASES'!K356)</f>
        <v>0</v>
      </c>
      <c r="AG356" s="7" t="n">
        <f aca="false">N('KNOWIFY PHASES'!I356)</f>
        <v>0</v>
      </c>
      <c r="AH356" s="7" t="n">
        <f aca="false">N('KNOWIFY PHASES'!H356)</f>
        <v>0</v>
      </c>
      <c r="AI356" s="7" t="n">
        <f aca="false">N('KNOWIFY PHASES'!O356)</f>
        <v>0</v>
      </c>
      <c r="AJ356" s="7" t="n">
        <f aca="false">N('KNOWIFY PHASES'!N356)</f>
        <v>0</v>
      </c>
      <c r="AK356" s="7" t="n">
        <f aca="false">N('KNOWIFY PHASES'!R356)</f>
        <v>0</v>
      </c>
      <c r="AL356" s="7" t="n">
        <f aca="false">N('KNOWIFY PHASES'!Q356)</f>
        <v>0</v>
      </c>
      <c r="AM356" s="7" t="n">
        <f aca="false">N('KNOWIFY PHASES'!F356)</f>
        <v>0</v>
      </c>
      <c r="AN356" s="7" t="n">
        <f aca="false">N('KNOWIFY PHASES'!E356)</f>
        <v>0</v>
      </c>
      <c r="AO356" s="7" t="n">
        <f aca="false">MAX(AE356,AF356)</f>
        <v>0</v>
      </c>
      <c r="AP356" s="7" t="n">
        <f aca="false">MAX(AG356,AH356)</f>
        <v>0</v>
      </c>
      <c r="AQ356" s="7" t="n">
        <f aca="false">MAX(AI356,AJ356)</f>
        <v>0</v>
      </c>
      <c r="AR356" s="7" t="n">
        <f aca="false">MAX(AK356,AL356)</f>
        <v>0</v>
      </c>
    </row>
    <row r="357" customFormat="false" ht="15" hidden="false" customHeight="false" outlineLevel="0" collapsed="false">
      <c r="AA357" s="7" t="str">
        <f aca="false">IF('KNOWIFY PHASES'!A357="","",'KNOWIFY PHASES'!A357)</f>
        <v/>
      </c>
      <c r="AB357" s="7" t="str">
        <f aca="false">IF(AA357="","",IF(LEFT(AA357,4)="P - ","P",IF(LEFT(AA357,4)="H - ","H",IF(LEFT(AA357,5)="AC - ","AC",IF(OR(LEFT(AA357,4)="V - ",LEFT(AA357,7)="HVAC - "),"V","Other")))))</f>
        <v/>
      </c>
      <c r="AC357" s="7" t="str">
        <f aca="false">IF(AA357="","",IFERROR(LOOKUP(2,1/(($AZ$5:$AZ$60&lt;&gt;"")*ISNUMBER(SEARCH($AZ$5:$AZ$60,AA357))),$BA$5:$BA$60),IF(AB357="Other","Excluded","Unmapped")))</f>
        <v/>
      </c>
      <c r="AD357" s="7" t="str">
        <f aca="false">IF(AA357="","",IF(AND(AB357&lt;&gt;"Other",OR(AND('KNOWIFY PHASES'!B357="Closed",N('KNOWIFY PHASES'!D357)&gt;=0.5),N('KNOWIFY PHASES'!D357)&gt;=1)),1,0))</f>
        <v/>
      </c>
      <c r="AE357" s="7" t="n">
        <f aca="false">N('KNOWIFY PHASES'!L357)</f>
        <v>0</v>
      </c>
      <c r="AF357" s="7" t="n">
        <f aca="false">N('KNOWIFY PHASES'!K357)</f>
        <v>0</v>
      </c>
      <c r="AG357" s="7" t="n">
        <f aca="false">N('KNOWIFY PHASES'!I357)</f>
        <v>0</v>
      </c>
      <c r="AH357" s="7" t="n">
        <f aca="false">N('KNOWIFY PHASES'!H357)</f>
        <v>0</v>
      </c>
      <c r="AI357" s="7" t="n">
        <f aca="false">N('KNOWIFY PHASES'!O357)</f>
        <v>0</v>
      </c>
      <c r="AJ357" s="7" t="n">
        <f aca="false">N('KNOWIFY PHASES'!N357)</f>
        <v>0</v>
      </c>
      <c r="AK357" s="7" t="n">
        <f aca="false">N('KNOWIFY PHASES'!R357)</f>
        <v>0</v>
      </c>
      <c r="AL357" s="7" t="n">
        <f aca="false">N('KNOWIFY PHASES'!Q357)</f>
        <v>0</v>
      </c>
      <c r="AM357" s="7" t="n">
        <f aca="false">N('KNOWIFY PHASES'!F357)</f>
        <v>0</v>
      </c>
      <c r="AN357" s="7" t="n">
        <f aca="false">N('KNOWIFY PHASES'!E357)</f>
        <v>0</v>
      </c>
      <c r="AO357" s="7" t="n">
        <f aca="false">MAX(AE357,AF357)</f>
        <v>0</v>
      </c>
      <c r="AP357" s="7" t="n">
        <f aca="false">MAX(AG357,AH357)</f>
        <v>0</v>
      </c>
      <c r="AQ357" s="7" t="n">
        <f aca="false">MAX(AI357,AJ357)</f>
        <v>0</v>
      </c>
      <c r="AR357" s="7" t="n">
        <f aca="false">MAX(AK357,AL357)</f>
        <v>0</v>
      </c>
    </row>
    <row r="358" customFormat="false" ht="15" hidden="false" customHeight="false" outlineLevel="0" collapsed="false">
      <c r="AA358" s="7" t="str">
        <f aca="false">IF('KNOWIFY PHASES'!A358="","",'KNOWIFY PHASES'!A358)</f>
        <v/>
      </c>
      <c r="AB358" s="7" t="str">
        <f aca="false">IF(AA358="","",IF(LEFT(AA358,4)="P - ","P",IF(LEFT(AA358,4)="H - ","H",IF(LEFT(AA358,5)="AC - ","AC",IF(OR(LEFT(AA358,4)="V - ",LEFT(AA358,7)="HVAC - "),"V","Other")))))</f>
        <v/>
      </c>
      <c r="AC358" s="7" t="str">
        <f aca="false">IF(AA358="","",IFERROR(LOOKUP(2,1/(($AZ$5:$AZ$60&lt;&gt;"")*ISNUMBER(SEARCH($AZ$5:$AZ$60,AA358))),$BA$5:$BA$60),IF(AB358="Other","Excluded","Unmapped")))</f>
        <v/>
      </c>
      <c r="AD358" s="7" t="str">
        <f aca="false">IF(AA358="","",IF(AND(AB358&lt;&gt;"Other",OR(AND('KNOWIFY PHASES'!B358="Closed",N('KNOWIFY PHASES'!D358)&gt;=0.5),N('KNOWIFY PHASES'!D358)&gt;=1)),1,0))</f>
        <v/>
      </c>
      <c r="AE358" s="7" t="n">
        <f aca="false">N('KNOWIFY PHASES'!L358)</f>
        <v>0</v>
      </c>
      <c r="AF358" s="7" t="n">
        <f aca="false">N('KNOWIFY PHASES'!K358)</f>
        <v>0</v>
      </c>
      <c r="AG358" s="7" t="n">
        <f aca="false">N('KNOWIFY PHASES'!I358)</f>
        <v>0</v>
      </c>
      <c r="AH358" s="7" t="n">
        <f aca="false">N('KNOWIFY PHASES'!H358)</f>
        <v>0</v>
      </c>
      <c r="AI358" s="7" t="n">
        <f aca="false">N('KNOWIFY PHASES'!O358)</f>
        <v>0</v>
      </c>
      <c r="AJ358" s="7" t="n">
        <f aca="false">N('KNOWIFY PHASES'!N358)</f>
        <v>0</v>
      </c>
      <c r="AK358" s="7" t="n">
        <f aca="false">N('KNOWIFY PHASES'!R358)</f>
        <v>0</v>
      </c>
      <c r="AL358" s="7" t="n">
        <f aca="false">N('KNOWIFY PHASES'!Q358)</f>
        <v>0</v>
      </c>
      <c r="AM358" s="7" t="n">
        <f aca="false">N('KNOWIFY PHASES'!F358)</f>
        <v>0</v>
      </c>
      <c r="AN358" s="7" t="n">
        <f aca="false">N('KNOWIFY PHASES'!E358)</f>
        <v>0</v>
      </c>
      <c r="AO358" s="7" t="n">
        <f aca="false">MAX(AE358,AF358)</f>
        <v>0</v>
      </c>
      <c r="AP358" s="7" t="n">
        <f aca="false">MAX(AG358,AH358)</f>
        <v>0</v>
      </c>
      <c r="AQ358" s="7" t="n">
        <f aca="false">MAX(AI358,AJ358)</f>
        <v>0</v>
      </c>
      <c r="AR358" s="7" t="n">
        <f aca="false">MAX(AK358,AL358)</f>
        <v>0</v>
      </c>
    </row>
    <row r="359" customFormat="false" ht="15" hidden="false" customHeight="false" outlineLevel="0" collapsed="false">
      <c r="AA359" s="7" t="str">
        <f aca="false">IF('KNOWIFY PHASES'!A359="","",'KNOWIFY PHASES'!A359)</f>
        <v/>
      </c>
      <c r="AB359" s="7" t="str">
        <f aca="false">IF(AA359="","",IF(LEFT(AA359,4)="P - ","P",IF(LEFT(AA359,4)="H - ","H",IF(LEFT(AA359,5)="AC - ","AC",IF(OR(LEFT(AA359,4)="V - ",LEFT(AA359,7)="HVAC - "),"V","Other")))))</f>
        <v/>
      </c>
      <c r="AC359" s="7" t="str">
        <f aca="false">IF(AA359="","",IFERROR(LOOKUP(2,1/(($AZ$5:$AZ$60&lt;&gt;"")*ISNUMBER(SEARCH($AZ$5:$AZ$60,AA359))),$BA$5:$BA$60),IF(AB359="Other","Excluded","Unmapped")))</f>
        <v/>
      </c>
      <c r="AD359" s="7" t="str">
        <f aca="false">IF(AA359="","",IF(AND(AB359&lt;&gt;"Other",OR(AND('KNOWIFY PHASES'!B359="Closed",N('KNOWIFY PHASES'!D359)&gt;=0.5),N('KNOWIFY PHASES'!D359)&gt;=1)),1,0))</f>
        <v/>
      </c>
      <c r="AE359" s="7" t="n">
        <f aca="false">N('KNOWIFY PHASES'!L359)</f>
        <v>0</v>
      </c>
      <c r="AF359" s="7" t="n">
        <f aca="false">N('KNOWIFY PHASES'!K359)</f>
        <v>0</v>
      </c>
      <c r="AG359" s="7" t="n">
        <f aca="false">N('KNOWIFY PHASES'!I359)</f>
        <v>0</v>
      </c>
      <c r="AH359" s="7" t="n">
        <f aca="false">N('KNOWIFY PHASES'!H359)</f>
        <v>0</v>
      </c>
      <c r="AI359" s="7" t="n">
        <f aca="false">N('KNOWIFY PHASES'!O359)</f>
        <v>0</v>
      </c>
      <c r="AJ359" s="7" t="n">
        <f aca="false">N('KNOWIFY PHASES'!N359)</f>
        <v>0</v>
      </c>
      <c r="AK359" s="7" t="n">
        <f aca="false">N('KNOWIFY PHASES'!R359)</f>
        <v>0</v>
      </c>
      <c r="AL359" s="7" t="n">
        <f aca="false">N('KNOWIFY PHASES'!Q359)</f>
        <v>0</v>
      </c>
      <c r="AM359" s="7" t="n">
        <f aca="false">N('KNOWIFY PHASES'!F359)</f>
        <v>0</v>
      </c>
      <c r="AN359" s="7" t="n">
        <f aca="false">N('KNOWIFY PHASES'!E359)</f>
        <v>0</v>
      </c>
      <c r="AO359" s="7" t="n">
        <f aca="false">MAX(AE359,AF359)</f>
        <v>0</v>
      </c>
      <c r="AP359" s="7" t="n">
        <f aca="false">MAX(AG359,AH359)</f>
        <v>0</v>
      </c>
      <c r="AQ359" s="7" t="n">
        <f aca="false">MAX(AI359,AJ359)</f>
        <v>0</v>
      </c>
      <c r="AR359" s="7" t="n">
        <f aca="false">MAX(AK359,AL359)</f>
        <v>0</v>
      </c>
    </row>
    <row r="360" customFormat="false" ht="15" hidden="false" customHeight="false" outlineLevel="0" collapsed="false">
      <c r="AA360" s="7" t="str">
        <f aca="false">IF('KNOWIFY PHASES'!A360="","",'KNOWIFY PHASES'!A360)</f>
        <v/>
      </c>
      <c r="AB360" s="7" t="str">
        <f aca="false">IF(AA360="","",IF(LEFT(AA360,4)="P - ","P",IF(LEFT(AA360,4)="H - ","H",IF(LEFT(AA360,5)="AC - ","AC",IF(OR(LEFT(AA360,4)="V - ",LEFT(AA360,7)="HVAC - "),"V","Other")))))</f>
        <v/>
      </c>
      <c r="AC360" s="7" t="str">
        <f aca="false">IF(AA360="","",IFERROR(LOOKUP(2,1/(($AZ$5:$AZ$60&lt;&gt;"")*ISNUMBER(SEARCH($AZ$5:$AZ$60,AA360))),$BA$5:$BA$60),IF(AB360="Other","Excluded","Unmapped")))</f>
        <v/>
      </c>
      <c r="AD360" s="7" t="str">
        <f aca="false">IF(AA360="","",IF(AND(AB360&lt;&gt;"Other",OR(AND('KNOWIFY PHASES'!B360="Closed",N('KNOWIFY PHASES'!D360)&gt;=0.5),N('KNOWIFY PHASES'!D360)&gt;=1)),1,0))</f>
        <v/>
      </c>
      <c r="AE360" s="7" t="n">
        <f aca="false">N('KNOWIFY PHASES'!L360)</f>
        <v>0</v>
      </c>
      <c r="AF360" s="7" t="n">
        <f aca="false">N('KNOWIFY PHASES'!K360)</f>
        <v>0</v>
      </c>
      <c r="AG360" s="7" t="n">
        <f aca="false">N('KNOWIFY PHASES'!I360)</f>
        <v>0</v>
      </c>
      <c r="AH360" s="7" t="n">
        <f aca="false">N('KNOWIFY PHASES'!H360)</f>
        <v>0</v>
      </c>
      <c r="AI360" s="7" t="n">
        <f aca="false">N('KNOWIFY PHASES'!O360)</f>
        <v>0</v>
      </c>
      <c r="AJ360" s="7" t="n">
        <f aca="false">N('KNOWIFY PHASES'!N360)</f>
        <v>0</v>
      </c>
      <c r="AK360" s="7" t="n">
        <f aca="false">N('KNOWIFY PHASES'!R360)</f>
        <v>0</v>
      </c>
      <c r="AL360" s="7" t="n">
        <f aca="false">N('KNOWIFY PHASES'!Q360)</f>
        <v>0</v>
      </c>
      <c r="AM360" s="7" t="n">
        <f aca="false">N('KNOWIFY PHASES'!F360)</f>
        <v>0</v>
      </c>
      <c r="AN360" s="7" t="n">
        <f aca="false">N('KNOWIFY PHASES'!E360)</f>
        <v>0</v>
      </c>
      <c r="AO360" s="7" t="n">
        <f aca="false">MAX(AE360,AF360)</f>
        <v>0</v>
      </c>
      <c r="AP360" s="7" t="n">
        <f aca="false">MAX(AG360,AH360)</f>
        <v>0</v>
      </c>
      <c r="AQ360" s="7" t="n">
        <f aca="false">MAX(AI360,AJ360)</f>
        <v>0</v>
      </c>
      <c r="AR360" s="7" t="n">
        <f aca="false">MAX(AK360,AL360)</f>
        <v>0</v>
      </c>
    </row>
    <row r="361" customFormat="false" ht="15" hidden="false" customHeight="false" outlineLevel="0" collapsed="false">
      <c r="AA361" s="7" t="str">
        <f aca="false">IF('KNOWIFY PHASES'!A361="","",'KNOWIFY PHASES'!A361)</f>
        <v/>
      </c>
      <c r="AB361" s="7" t="str">
        <f aca="false">IF(AA361="","",IF(LEFT(AA361,4)="P - ","P",IF(LEFT(AA361,4)="H - ","H",IF(LEFT(AA361,5)="AC - ","AC",IF(OR(LEFT(AA361,4)="V - ",LEFT(AA361,7)="HVAC - "),"V","Other")))))</f>
        <v/>
      </c>
      <c r="AC361" s="7" t="str">
        <f aca="false">IF(AA361="","",IFERROR(LOOKUP(2,1/(($AZ$5:$AZ$60&lt;&gt;"")*ISNUMBER(SEARCH($AZ$5:$AZ$60,AA361))),$BA$5:$BA$60),IF(AB361="Other","Excluded","Unmapped")))</f>
        <v/>
      </c>
      <c r="AD361" s="7" t="str">
        <f aca="false">IF(AA361="","",IF(AND(AB361&lt;&gt;"Other",OR(AND('KNOWIFY PHASES'!B361="Closed",N('KNOWIFY PHASES'!D361)&gt;=0.5),N('KNOWIFY PHASES'!D361)&gt;=1)),1,0))</f>
        <v/>
      </c>
      <c r="AE361" s="7" t="n">
        <f aca="false">N('KNOWIFY PHASES'!L361)</f>
        <v>0</v>
      </c>
      <c r="AF361" s="7" t="n">
        <f aca="false">N('KNOWIFY PHASES'!K361)</f>
        <v>0</v>
      </c>
      <c r="AG361" s="7" t="n">
        <f aca="false">N('KNOWIFY PHASES'!I361)</f>
        <v>0</v>
      </c>
      <c r="AH361" s="7" t="n">
        <f aca="false">N('KNOWIFY PHASES'!H361)</f>
        <v>0</v>
      </c>
      <c r="AI361" s="7" t="n">
        <f aca="false">N('KNOWIFY PHASES'!O361)</f>
        <v>0</v>
      </c>
      <c r="AJ361" s="7" t="n">
        <f aca="false">N('KNOWIFY PHASES'!N361)</f>
        <v>0</v>
      </c>
      <c r="AK361" s="7" t="n">
        <f aca="false">N('KNOWIFY PHASES'!R361)</f>
        <v>0</v>
      </c>
      <c r="AL361" s="7" t="n">
        <f aca="false">N('KNOWIFY PHASES'!Q361)</f>
        <v>0</v>
      </c>
      <c r="AM361" s="7" t="n">
        <f aca="false">N('KNOWIFY PHASES'!F361)</f>
        <v>0</v>
      </c>
      <c r="AN361" s="7" t="n">
        <f aca="false">N('KNOWIFY PHASES'!E361)</f>
        <v>0</v>
      </c>
      <c r="AO361" s="7" t="n">
        <f aca="false">MAX(AE361,AF361)</f>
        <v>0</v>
      </c>
      <c r="AP361" s="7" t="n">
        <f aca="false">MAX(AG361,AH361)</f>
        <v>0</v>
      </c>
      <c r="AQ361" s="7" t="n">
        <f aca="false">MAX(AI361,AJ361)</f>
        <v>0</v>
      </c>
      <c r="AR361" s="7" t="n">
        <f aca="false">MAX(AK361,AL361)</f>
        <v>0</v>
      </c>
    </row>
    <row r="362" customFormat="false" ht="15" hidden="false" customHeight="false" outlineLevel="0" collapsed="false">
      <c r="AA362" s="7" t="str">
        <f aca="false">IF('KNOWIFY PHASES'!A362="","",'KNOWIFY PHASES'!A362)</f>
        <v/>
      </c>
      <c r="AB362" s="7" t="str">
        <f aca="false">IF(AA362="","",IF(LEFT(AA362,4)="P - ","P",IF(LEFT(AA362,4)="H - ","H",IF(LEFT(AA362,5)="AC - ","AC",IF(OR(LEFT(AA362,4)="V - ",LEFT(AA362,7)="HVAC - "),"V","Other")))))</f>
        <v/>
      </c>
      <c r="AC362" s="7" t="str">
        <f aca="false">IF(AA362="","",IFERROR(LOOKUP(2,1/(($AZ$5:$AZ$60&lt;&gt;"")*ISNUMBER(SEARCH($AZ$5:$AZ$60,AA362))),$BA$5:$BA$60),IF(AB362="Other","Excluded","Unmapped")))</f>
        <v/>
      </c>
      <c r="AD362" s="7" t="str">
        <f aca="false">IF(AA362="","",IF(AND(AB362&lt;&gt;"Other",OR(AND('KNOWIFY PHASES'!B362="Closed",N('KNOWIFY PHASES'!D362)&gt;=0.5),N('KNOWIFY PHASES'!D362)&gt;=1)),1,0))</f>
        <v/>
      </c>
      <c r="AE362" s="7" t="n">
        <f aca="false">N('KNOWIFY PHASES'!L362)</f>
        <v>0</v>
      </c>
      <c r="AF362" s="7" t="n">
        <f aca="false">N('KNOWIFY PHASES'!K362)</f>
        <v>0</v>
      </c>
      <c r="AG362" s="7" t="n">
        <f aca="false">N('KNOWIFY PHASES'!I362)</f>
        <v>0</v>
      </c>
      <c r="AH362" s="7" t="n">
        <f aca="false">N('KNOWIFY PHASES'!H362)</f>
        <v>0</v>
      </c>
      <c r="AI362" s="7" t="n">
        <f aca="false">N('KNOWIFY PHASES'!O362)</f>
        <v>0</v>
      </c>
      <c r="AJ362" s="7" t="n">
        <f aca="false">N('KNOWIFY PHASES'!N362)</f>
        <v>0</v>
      </c>
      <c r="AK362" s="7" t="n">
        <f aca="false">N('KNOWIFY PHASES'!R362)</f>
        <v>0</v>
      </c>
      <c r="AL362" s="7" t="n">
        <f aca="false">N('KNOWIFY PHASES'!Q362)</f>
        <v>0</v>
      </c>
      <c r="AM362" s="7" t="n">
        <f aca="false">N('KNOWIFY PHASES'!F362)</f>
        <v>0</v>
      </c>
      <c r="AN362" s="7" t="n">
        <f aca="false">N('KNOWIFY PHASES'!E362)</f>
        <v>0</v>
      </c>
      <c r="AO362" s="7" t="n">
        <f aca="false">MAX(AE362,AF362)</f>
        <v>0</v>
      </c>
      <c r="AP362" s="7" t="n">
        <f aca="false">MAX(AG362,AH362)</f>
        <v>0</v>
      </c>
      <c r="AQ362" s="7" t="n">
        <f aca="false">MAX(AI362,AJ362)</f>
        <v>0</v>
      </c>
      <c r="AR362" s="7" t="n">
        <f aca="false">MAX(AK362,AL362)</f>
        <v>0</v>
      </c>
    </row>
    <row r="363" customFormat="false" ht="15" hidden="false" customHeight="false" outlineLevel="0" collapsed="false">
      <c r="AA363" s="7" t="str">
        <f aca="false">IF('KNOWIFY PHASES'!A363="","",'KNOWIFY PHASES'!A363)</f>
        <v/>
      </c>
      <c r="AB363" s="7" t="str">
        <f aca="false">IF(AA363="","",IF(LEFT(AA363,4)="P - ","P",IF(LEFT(AA363,4)="H - ","H",IF(LEFT(AA363,5)="AC - ","AC",IF(OR(LEFT(AA363,4)="V - ",LEFT(AA363,7)="HVAC - "),"V","Other")))))</f>
        <v/>
      </c>
      <c r="AC363" s="7" t="str">
        <f aca="false">IF(AA363="","",IFERROR(LOOKUP(2,1/(($AZ$5:$AZ$60&lt;&gt;"")*ISNUMBER(SEARCH($AZ$5:$AZ$60,AA363))),$BA$5:$BA$60),IF(AB363="Other","Excluded","Unmapped")))</f>
        <v/>
      </c>
      <c r="AD363" s="7" t="str">
        <f aca="false">IF(AA363="","",IF(AND(AB363&lt;&gt;"Other",OR(AND('KNOWIFY PHASES'!B363="Closed",N('KNOWIFY PHASES'!D363)&gt;=0.5),N('KNOWIFY PHASES'!D363)&gt;=1)),1,0))</f>
        <v/>
      </c>
      <c r="AE363" s="7" t="n">
        <f aca="false">N('KNOWIFY PHASES'!L363)</f>
        <v>0</v>
      </c>
      <c r="AF363" s="7" t="n">
        <f aca="false">N('KNOWIFY PHASES'!K363)</f>
        <v>0</v>
      </c>
      <c r="AG363" s="7" t="n">
        <f aca="false">N('KNOWIFY PHASES'!I363)</f>
        <v>0</v>
      </c>
      <c r="AH363" s="7" t="n">
        <f aca="false">N('KNOWIFY PHASES'!H363)</f>
        <v>0</v>
      </c>
      <c r="AI363" s="7" t="n">
        <f aca="false">N('KNOWIFY PHASES'!O363)</f>
        <v>0</v>
      </c>
      <c r="AJ363" s="7" t="n">
        <f aca="false">N('KNOWIFY PHASES'!N363)</f>
        <v>0</v>
      </c>
      <c r="AK363" s="7" t="n">
        <f aca="false">N('KNOWIFY PHASES'!R363)</f>
        <v>0</v>
      </c>
      <c r="AL363" s="7" t="n">
        <f aca="false">N('KNOWIFY PHASES'!Q363)</f>
        <v>0</v>
      </c>
      <c r="AM363" s="7" t="n">
        <f aca="false">N('KNOWIFY PHASES'!F363)</f>
        <v>0</v>
      </c>
      <c r="AN363" s="7" t="n">
        <f aca="false">N('KNOWIFY PHASES'!E363)</f>
        <v>0</v>
      </c>
      <c r="AO363" s="7" t="n">
        <f aca="false">MAX(AE363,AF363)</f>
        <v>0</v>
      </c>
      <c r="AP363" s="7" t="n">
        <f aca="false">MAX(AG363,AH363)</f>
        <v>0</v>
      </c>
      <c r="AQ363" s="7" t="n">
        <f aca="false">MAX(AI363,AJ363)</f>
        <v>0</v>
      </c>
      <c r="AR363" s="7" t="n">
        <f aca="false">MAX(AK363,AL363)</f>
        <v>0</v>
      </c>
    </row>
    <row r="364" customFormat="false" ht="15" hidden="false" customHeight="false" outlineLevel="0" collapsed="false">
      <c r="AA364" s="7" t="str">
        <f aca="false">IF('KNOWIFY PHASES'!A364="","",'KNOWIFY PHASES'!A364)</f>
        <v/>
      </c>
      <c r="AB364" s="7" t="str">
        <f aca="false">IF(AA364="","",IF(LEFT(AA364,4)="P - ","P",IF(LEFT(AA364,4)="H - ","H",IF(LEFT(AA364,5)="AC - ","AC",IF(OR(LEFT(AA364,4)="V - ",LEFT(AA364,7)="HVAC - "),"V","Other")))))</f>
        <v/>
      </c>
      <c r="AC364" s="7" t="str">
        <f aca="false">IF(AA364="","",IFERROR(LOOKUP(2,1/(($AZ$5:$AZ$60&lt;&gt;"")*ISNUMBER(SEARCH($AZ$5:$AZ$60,AA364))),$BA$5:$BA$60),IF(AB364="Other","Excluded","Unmapped")))</f>
        <v/>
      </c>
      <c r="AD364" s="7" t="str">
        <f aca="false">IF(AA364="","",IF(AND(AB364&lt;&gt;"Other",OR(AND('KNOWIFY PHASES'!B364="Closed",N('KNOWIFY PHASES'!D364)&gt;=0.5),N('KNOWIFY PHASES'!D364)&gt;=1)),1,0))</f>
        <v/>
      </c>
      <c r="AE364" s="7" t="n">
        <f aca="false">N('KNOWIFY PHASES'!L364)</f>
        <v>0</v>
      </c>
      <c r="AF364" s="7" t="n">
        <f aca="false">N('KNOWIFY PHASES'!K364)</f>
        <v>0</v>
      </c>
      <c r="AG364" s="7" t="n">
        <f aca="false">N('KNOWIFY PHASES'!I364)</f>
        <v>0</v>
      </c>
      <c r="AH364" s="7" t="n">
        <f aca="false">N('KNOWIFY PHASES'!H364)</f>
        <v>0</v>
      </c>
      <c r="AI364" s="7" t="n">
        <f aca="false">N('KNOWIFY PHASES'!O364)</f>
        <v>0</v>
      </c>
      <c r="AJ364" s="7" t="n">
        <f aca="false">N('KNOWIFY PHASES'!N364)</f>
        <v>0</v>
      </c>
      <c r="AK364" s="7" t="n">
        <f aca="false">N('KNOWIFY PHASES'!R364)</f>
        <v>0</v>
      </c>
      <c r="AL364" s="7" t="n">
        <f aca="false">N('KNOWIFY PHASES'!Q364)</f>
        <v>0</v>
      </c>
      <c r="AM364" s="7" t="n">
        <f aca="false">N('KNOWIFY PHASES'!F364)</f>
        <v>0</v>
      </c>
      <c r="AN364" s="7" t="n">
        <f aca="false">N('KNOWIFY PHASES'!E364)</f>
        <v>0</v>
      </c>
      <c r="AO364" s="7" t="n">
        <f aca="false">MAX(AE364,AF364)</f>
        <v>0</v>
      </c>
      <c r="AP364" s="7" t="n">
        <f aca="false">MAX(AG364,AH364)</f>
        <v>0</v>
      </c>
      <c r="AQ364" s="7" t="n">
        <f aca="false">MAX(AI364,AJ364)</f>
        <v>0</v>
      </c>
      <c r="AR364" s="7" t="n">
        <f aca="false">MAX(AK364,AL364)</f>
        <v>0</v>
      </c>
    </row>
    <row r="365" customFormat="false" ht="15" hidden="false" customHeight="false" outlineLevel="0" collapsed="false">
      <c r="AA365" s="7" t="str">
        <f aca="false">IF('KNOWIFY PHASES'!A365="","",'KNOWIFY PHASES'!A365)</f>
        <v/>
      </c>
      <c r="AB365" s="7" t="str">
        <f aca="false">IF(AA365="","",IF(LEFT(AA365,4)="P - ","P",IF(LEFT(AA365,4)="H - ","H",IF(LEFT(AA365,5)="AC - ","AC",IF(OR(LEFT(AA365,4)="V - ",LEFT(AA365,7)="HVAC - "),"V","Other")))))</f>
        <v/>
      </c>
      <c r="AC365" s="7" t="str">
        <f aca="false">IF(AA365="","",IFERROR(LOOKUP(2,1/(($AZ$5:$AZ$60&lt;&gt;"")*ISNUMBER(SEARCH($AZ$5:$AZ$60,AA365))),$BA$5:$BA$60),IF(AB365="Other","Excluded","Unmapped")))</f>
        <v/>
      </c>
      <c r="AD365" s="7" t="str">
        <f aca="false">IF(AA365="","",IF(AND(AB365&lt;&gt;"Other",OR(AND('KNOWIFY PHASES'!B365="Closed",N('KNOWIFY PHASES'!D365)&gt;=0.5),N('KNOWIFY PHASES'!D365)&gt;=1)),1,0))</f>
        <v/>
      </c>
      <c r="AE365" s="7" t="n">
        <f aca="false">N('KNOWIFY PHASES'!L365)</f>
        <v>0</v>
      </c>
      <c r="AF365" s="7" t="n">
        <f aca="false">N('KNOWIFY PHASES'!K365)</f>
        <v>0</v>
      </c>
      <c r="AG365" s="7" t="n">
        <f aca="false">N('KNOWIFY PHASES'!I365)</f>
        <v>0</v>
      </c>
      <c r="AH365" s="7" t="n">
        <f aca="false">N('KNOWIFY PHASES'!H365)</f>
        <v>0</v>
      </c>
      <c r="AI365" s="7" t="n">
        <f aca="false">N('KNOWIFY PHASES'!O365)</f>
        <v>0</v>
      </c>
      <c r="AJ365" s="7" t="n">
        <f aca="false">N('KNOWIFY PHASES'!N365)</f>
        <v>0</v>
      </c>
      <c r="AK365" s="7" t="n">
        <f aca="false">N('KNOWIFY PHASES'!R365)</f>
        <v>0</v>
      </c>
      <c r="AL365" s="7" t="n">
        <f aca="false">N('KNOWIFY PHASES'!Q365)</f>
        <v>0</v>
      </c>
      <c r="AM365" s="7" t="n">
        <f aca="false">N('KNOWIFY PHASES'!F365)</f>
        <v>0</v>
      </c>
      <c r="AN365" s="7" t="n">
        <f aca="false">N('KNOWIFY PHASES'!E365)</f>
        <v>0</v>
      </c>
      <c r="AO365" s="7" t="n">
        <f aca="false">MAX(AE365,AF365)</f>
        <v>0</v>
      </c>
      <c r="AP365" s="7" t="n">
        <f aca="false">MAX(AG365,AH365)</f>
        <v>0</v>
      </c>
      <c r="AQ365" s="7" t="n">
        <f aca="false">MAX(AI365,AJ365)</f>
        <v>0</v>
      </c>
      <c r="AR365" s="7" t="n">
        <f aca="false">MAX(AK365,AL365)</f>
        <v>0</v>
      </c>
    </row>
    <row r="366" customFormat="false" ht="15" hidden="false" customHeight="false" outlineLevel="0" collapsed="false">
      <c r="AA366" s="7" t="str">
        <f aca="false">IF('KNOWIFY PHASES'!A366="","",'KNOWIFY PHASES'!A366)</f>
        <v/>
      </c>
      <c r="AB366" s="7" t="str">
        <f aca="false">IF(AA366="","",IF(LEFT(AA366,4)="P - ","P",IF(LEFT(AA366,4)="H - ","H",IF(LEFT(AA366,5)="AC - ","AC",IF(OR(LEFT(AA366,4)="V - ",LEFT(AA366,7)="HVAC - "),"V","Other")))))</f>
        <v/>
      </c>
      <c r="AC366" s="7" t="str">
        <f aca="false">IF(AA366="","",IFERROR(LOOKUP(2,1/(($AZ$5:$AZ$60&lt;&gt;"")*ISNUMBER(SEARCH($AZ$5:$AZ$60,AA366))),$BA$5:$BA$60),IF(AB366="Other","Excluded","Unmapped")))</f>
        <v/>
      </c>
      <c r="AD366" s="7" t="str">
        <f aca="false">IF(AA366="","",IF(AND(AB366&lt;&gt;"Other",OR(AND('KNOWIFY PHASES'!B366="Closed",N('KNOWIFY PHASES'!D366)&gt;=0.5),N('KNOWIFY PHASES'!D366)&gt;=1)),1,0))</f>
        <v/>
      </c>
      <c r="AE366" s="7" t="n">
        <f aca="false">N('KNOWIFY PHASES'!L366)</f>
        <v>0</v>
      </c>
      <c r="AF366" s="7" t="n">
        <f aca="false">N('KNOWIFY PHASES'!K366)</f>
        <v>0</v>
      </c>
      <c r="AG366" s="7" t="n">
        <f aca="false">N('KNOWIFY PHASES'!I366)</f>
        <v>0</v>
      </c>
      <c r="AH366" s="7" t="n">
        <f aca="false">N('KNOWIFY PHASES'!H366)</f>
        <v>0</v>
      </c>
      <c r="AI366" s="7" t="n">
        <f aca="false">N('KNOWIFY PHASES'!O366)</f>
        <v>0</v>
      </c>
      <c r="AJ366" s="7" t="n">
        <f aca="false">N('KNOWIFY PHASES'!N366)</f>
        <v>0</v>
      </c>
      <c r="AK366" s="7" t="n">
        <f aca="false">N('KNOWIFY PHASES'!R366)</f>
        <v>0</v>
      </c>
      <c r="AL366" s="7" t="n">
        <f aca="false">N('KNOWIFY PHASES'!Q366)</f>
        <v>0</v>
      </c>
      <c r="AM366" s="7" t="n">
        <f aca="false">N('KNOWIFY PHASES'!F366)</f>
        <v>0</v>
      </c>
      <c r="AN366" s="7" t="n">
        <f aca="false">N('KNOWIFY PHASES'!E366)</f>
        <v>0</v>
      </c>
      <c r="AO366" s="7" t="n">
        <f aca="false">MAX(AE366,AF366)</f>
        <v>0</v>
      </c>
      <c r="AP366" s="7" t="n">
        <f aca="false">MAX(AG366,AH366)</f>
        <v>0</v>
      </c>
      <c r="AQ366" s="7" t="n">
        <f aca="false">MAX(AI366,AJ366)</f>
        <v>0</v>
      </c>
      <c r="AR366" s="7" t="n">
        <f aca="false">MAX(AK366,AL366)</f>
        <v>0</v>
      </c>
    </row>
    <row r="367" customFormat="false" ht="15" hidden="false" customHeight="false" outlineLevel="0" collapsed="false">
      <c r="AA367" s="7" t="str">
        <f aca="false">IF('KNOWIFY PHASES'!A367="","",'KNOWIFY PHASES'!A367)</f>
        <v/>
      </c>
      <c r="AB367" s="7" t="str">
        <f aca="false">IF(AA367="","",IF(LEFT(AA367,4)="P - ","P",IF(LEFT(AA367,4)="H - ","H",IF(LEFT(AA367,5)="AC - ","AC",IF(OR(LEFT(AA367,4)="V - ",LEFT(AA367,7)="HVAC - "),"V","Other")))))</f>
        <v/>
      </c>
      <c r="AC367" s="7" t="str">
        <f aca="false">IF(AA367="","",IFERROR(LOOKUP(2,1/(($AZ$5:$AZ$60&lt;&gt;"")*ISNUMBER(SEARCH($AZ$5:$AZ$60,AA367))),$BA$5:$BA$60),IF(AB367="Other","Excluded","Unmapped")))</f>
        <v/>
      </c>
      <c r="AD367" s="7" t="str">
        <f aca="false">IF(AA367="","",IF(AND(AB367&lt;&gt;"Other",OR(AND('KNOWIFY PHASES'!B367="Closed",N('KNOWIFY PHASES'!D367)&gt;=0.5),N('KNOWIFY PHASES'!D367)&gt;=1)),1,0))</f>
        <v/>
      </c>
      <c r="AE367" s="7" t="n">
        <f aca="false">N('KNOWIFY PHASES'!L367)</f>
        <v>0</v>
      </c>
      <c r="AF367" s="7" t="n">
        <f aca="false">N('KNOWIFY PHASES'!K367)</f>
        <v>0</v>
      </c>
      <c r="AG367" s="7" t="n">
        <f aca="false">N('KNOWIFY PHASES'!I367)</f>
        <v>0</v>
      </c>
      <c r="AH367" s="7" t="n">
        <f aca="false">N('KNOWIFY PHASES'!H367)</f>
        <v>0</v>
      </c>
      <c r="AI367" s="7" t="n">
        <f aca="false">N('KNOWIFY PHASES'!O367)</f>
        <v>0</v>
      </c>
      <c r="AJ367" s="7" t="n">
        <f aca="false">N('KNOWIFY PHASES'!N367)</f>
        <v>0</v>
      </c>
      <c r="AK367" s="7" t="n">
        <f aca="false">N('KNOWIFY PHASES'!R367)</f>
        <v>0</v>
      </c>
      <c r="AL367" s="7" t="n">
        <f aca="false">N('KNOWIFY PHASES'!Q367)</f>
        <v>0</v>
      </c>
      <c r="AM367" s="7" t="n">
        <f aca="false">N('KNOWIFY PHASES'!F367)</f>
        <v>0</v>
      </c>
      <c r="AN367" s="7" t="n">
        <f aca="false">N('KNOWIFY PHASES'!E367)</f>
        <v>0</v>
      </c>
      <c r="AO367" s="7" t="n">
        <f aca="false">MAX(AE367,AF367)</f>
        <v>0</v>
      </c>
      <c r="AP367" s="7" t="n">
        <f aca="false">MAX(AG367,AH367)</f>
        <v>0</v>
      </c>
      <c r="AQ367" s="7" t="n">
        <f aca="false">MAX(AI367,AJ367)</f>
        <v>0</v>
      </c>
      <c r="AR367" s="7" t="n">
        <f aca="false">MAX(AK367,AL367)</f>
        <v>0</v>
      </c>
    </row>
    <row r="368" customFormat="false" ht="15" hidden="false" customHeight="false" outlineLevel="0" collapsed="false">
      <c r="AA368" s="7" t="str">
        <f aca="false">IF('KNOWIFY PHASES'!A368="","",'KNOWIFY PHASES'!A368)</f>
        <v/>
      </c>
      <c r="AB368" s="7" t="str">
        <f aca="false">IF(AA368="","",IF(LEFT(AA368,4)="P - ","P",IF(LEFT(AA368,4)="H - ","H",IF(LEFT(AA368,5)="AC - ","AC",IF(OR(LEFT(AA368,4)="V - ",LEFT(AA368,7)="HVAC - "),"V","Other")))))</f>
        <v/>
      </c>
      <c r="AC368" s="7" t="str">
        <f aca="false">IF(AA368="","",IFERROR(LOOKUP(2,1/(($AZ$5:$AZ$60&lt;&gt;"")*ISNUMBER(SEARCH($AZ$5:$AZ$60,AA368))),$BA$5:$BA$60),IF(AB368="Other","Excluded","Unmapped")))</f>
        <v/>
      </c>
      <c r="AD368" s="7" t="str">
        <f aca="false">IF(AA368="","",IF(AND(AB368&lt;&gt;"Other",OR(AND('KNOWIFY PHASES'!B368="Closed",N('KNOWIFY PHASES'!D368)&gt;=0.5),N('KNOWIFY PHASES'!D368)&gt;=1)),1,0))</f>
        <v/>
      </c>
      <c r="AE368" s="7" t="n">
        <f aca="false">N('KNOWIFY PHASES'!L368)</f>
        <v>0</v>
      </c>
      <c r="AF368" s="7" t="n">
        <f aca="false">N('KNOWIFY PHASES'!K368)</f>
        <v>0</v>
      </c>
      <c r="AG368" s="7" t="n">
        <f aca="false">N('KNOWIFY PHASES'!I368)</f>
        <v>0</v>
      </c>
      <c r="AH368" s="7" t="n">
        <f aca="false">N('KNOWIFY PHASES'!H368)</f>
        <v>0</v>
      </c>
      <c r="AI368" s="7" t="n">
        <f aca="false">N('KNOWIFY PHASES'!O368)</f>
        <v>0</v>
      </c>
      <c r="AJ368" s="7" t="n">
        <f aca="false">N('KNOWIFY PHASES'!N368)</f>
        <v>0</v>
      </c>
      <c r="AK368" s="7" t="n">
        <f aca="false">N('KNOWIFY PHASES'!R368)</f>
        <v>0</v>
      </c>
      <c r="AL368" s="7" t="n">
        <f aca="false">N('KNOWIFY PHASES'!Q368)</f>
        <v>0</v>
      </c>
      <c r="AM368" s="7" t="n">
        <f aca="false">N('KNOWIFY PHASES'!F368)</f>
        <v>0</v>
      </c>
      <c r="AN368" s="7" t="n">
        <f aca="false">N('KNOWIFY PHASES'!E368)</f>
        <v>0</v>
      </c>
      <c r="AO368" s="7" t="n">
        <f aca="false">MAX(AE368,AF368)</f>
        <v>0</v>
      </c>
      <c r="AP368" s="7" t="n">
        <f aca="false">MAX(AG368,AH368)</f>
        <v>0</v>
      </c>
      <c r="AQ368" s="7" t="n">
        <f aca="false">MAX(AI368,AJ368)</f>
        <v>0</v>
      </c>
      <c r="AR368" s="7" t="n">
        <f aca="false">MAX(AK368,AL368)</f>
        <v>0</v>
      </c>
    </row>
    <row r="369" customFormat="false" ht="15" hidden="false" customHeight="false" outlineLevel="0" collapsed="false">
      <c r="AA369" s="7" t="str">
        <f aca="false">IF('KNOWIFY PHASES'!A369="","",'KNOWIFY PHASES'!A369)</f>
        <v/>
      </c>
      <c r="AB369" s="7" t="str">
        <f aca="false">IF(AA369="","",IF(LEFT(AA369,4)="P - ","P",IF(LEFT(AA369,4)="H - ","H",IF(LEFT(AA369,5)="AC - ","AC",IF(OR(LEFT(AA369,4)="V - ",LEFT(AA369,7)="HVAC - "),"V","Other")))))</f>
        <v/>
      </c>
      <c r="AC369" s="7" t="str">
        <f aca="false">IF(AA369="","",IFERROR(LOOKUP(2,1/(($AZ$5:$AZ$60&lt;&gt;"")*ISNUMBER(SEARCH($AZ$5:$AZ$60,AA369))),$BA$5:$BA$60),IF(AB369="Other","Excluded","Unmapped")))</f>
        <v/>
      </c>
      <c r="AD369" s="7" t="str">
        <f aca="false">IF(AA369="","",IF(AND(AB369&lt;&gt;"Other",OR(AND('KNOWIFY PHASES'!B369="Closed",N('KNOWIFY PHASES'!D369)&gt;=0.5),N('KNOWIFY PHASES'!D369)&gt;=1)),1,0))</f>
        <v/>
      </c>
      <c r="AE369" s="7" t="n">
        <f aca="false">N('KNOWIFY PHASES'!L369)</f>
        <v>0</v>
      </c>
      <c r="AF369" s="7" t="n">
        <f aca="false">N('KNOWIFY PHASES'!K369)</f>
        <v>0</v>
      </c>
      <c r="AG369" s="7" t="n">
        <f aca="false">N('KNOWIFY PHASES'!I369)</f>
        <v>0</v>
      </c>
      <c r="AH369" s="7" t="n">
        <f aca="false">N('KNOWIFY PHASES'!H369)</f>
        <v>0</v>
      </c>
      <c r="AI369" s="7" t="n">
        <f aca="false">N('KNOWIFY PHASES'!O369)</f>
        <v>0</v>
      </c>
      <c r="AJ369" s="7" t="n">
        <f aca="false">N('KNOWIFY PHASES'!N369)</f>
        <v>0</v>
      </c>
      <c r="AK369" s="7" t="n">
        <f aca="false">N('KNOWIFY PHASES'!R369)</f>
        <v>0</v>
      </c>
      <c r="AL369" s="7" t="n">
        <f aca="false">N('KNOWIFY PHASES'!Q369)</f>
        <v>0</v>
      </c>
      <c r="AM369" s="7" t="n">
        <f aca="false">N('KNOWIFY PHASES'!F369)</f>
        <v>0</v>
      </c>
      <c r="AN369" s="7" t="n">
        <f aca="false">N('KNOWIFY PHASES'!E369)</f>
        <v>0</v>
      </c>
      <c r="AO369" s="7" t="n">
        <f aca="false">MAX(AE369,AF369)</f>
        <v>0</v>
      </c>
      <c r="AP369" s="7" t="n">
        <f aca="false">MAX(AG369,AH369)</f>
        <v>0</v>
      </c>
      <c r="AQ369" s="7" t="n">
        <f aca="false">MAX(AI369,AJ369)</f>
        <v>0</v>
      </c>
      <c r="AR369" s="7" t="n">
        <f aca="false">MAX(AK369,AL369)</f>
        <v>0</v>
      </c>
    </row>
    <row r="370" customFormat="false" ht="15" hidden="false" customHeight="false" outlineLevel="0" collapsed="false">
      <c r="AA370" s="7" t="str">
        <f aca="false">IF('KNOWIFY PHASES'!A370="","",'KNOWIFY PHASES'!A370)</f>
        <v/>
      </c>
      <c r="AB370" s="7" t="str">
        <f aca="false">IF(AA370="","",IF(LEFT(AA370,4)="P - ","P",IF(LEFT(AA370,4)="H - ","H",IF(LEFT(AA370,5)="AC - ","AC",IF(OR(LEFT(AA370,4)="V - ",LEFT(AA370,7)="HVAC - "),"V","Other")))))</f>
        <v/>
      </c>
      <c r="AC370" s="7" t="str">
        <f aca="false">IF(AA370="","",IFERROR(LOOKUP(2,1/(($AZ$5:$AZ$60&lt;&gt;"")*ISNUMBER(SEARCH($AZ$5:$AZ$60,AA370))),$BA$5:$BA$60),IF(AB370="Other","Excluded","Unmapped")))</f>
        <v/>
      </c>
      <c r="AD370" s="7" t="str">
        <f aca="false">IF(AA370="","",IF(AND(AB370&lt;&gt;"Other",OR(AND('KNOWIFY PHASES'!B370="Closed",N('KNOWIFY PHASES'!D370)&gt;=0.5),N('KNOWIFY PHASES'!D370)&gt;=1)),1,0))</f>
        <v/>
      </c>
      <c r="AE370" s="7" t="n">
        <f aca="false">N('KNOWIFY PHASES'!L370)</f>
        <v>0</v>
      </c>
      <c r="AF370" s="7" t="n">
        <f aca="false">N('KNOWIFY PHASES'!K370)</f>
        <v>0</v>
      </c>
      <c r="AG370" s="7" t="n">
        <f aca="false">N('KNOWIFY PHASES'!I370)</f>
        <v>0</v>
      </c>
      <c r="AH370" s="7" t="n">
        <f aca="false">N('KNOWIFY PHASES'!H370)</f>
        <v>0</v>
      </c>
      <c r="AI370" s="7" t="n">
        <f aca="false">N('KNOWIFY PHASES'!O370)</f>
        <v>0</v>
      </c>
      <c r="AJ370" s="7" t="n">
        <f aca="false">N('KNOWIFY PHASES'!N370)</f>
        <v>0</v>
      </c>
      <c r="AK370" s="7" t="n">
        <f aca="false">N('KNOWIFY PHASES'!R370)</f>
        <v>0</v>
      </c>
      <c r="AL370" s="7" t="n">
        <f aca="false">N('KNOWIFY PHASES'!Q370)</f>
        <v>0</v>
      </c>
      <c r="AM370" s="7" t="n">
        <f aca="false">N('KNOWIFY PHASES'!F370)</f>
        <v>0</v>
      </c>
      <c r="AN370" s="7" t="n">
        <f aca="false">N('KNOWIFY PHASES'!E370)</f>
        <v>0</v>
      </c>
      <c r="AO370" s="7" t="n">
        <f aca="false">MAX(AE370,AF370)</f>
        <v>0</v>
      </c>
      <c r="AP370" s="7" t="n">
        <f aca="false">MAX(AG370,AH370)</f>
        <v>0</v>
      </c>
      <c r="AQ370" s="7" t="n">
        <f aca="false">MAX(AI370,AJ370)</f>
        <v>0</v>
      </c>
      <c r="AR370" s="7" t="n">
        <f aca="false">MAX(AK370,AL370)</f>
        <v>0</v>
      </c>
    </row>
    <row r="371" customFormat="false" ht="15" hidden="false" customHeight="false" outlineLevel="0" collapsed="false">
      <c r="AA371" s="7" t="str">
        <f aca="false">IF('KNOWIFY PHASES'!A371="","",'KNOWIFY PHASES'!A371)</f>
        <v/>
      </c>
      <c r="AB371" s="7" t="str">
        <f aca="false">IF(AA371="","",IF(LEFT(AA371,4)="P - ","P",IF(LEFT(AA371,4)="H - ","H",IF(LEFT(AA371,5)="AC - ","AC",IF(OR(LEFT(AA371,4)="V - ",LEFT(AA371,7)="HVAC - "),"V","Other")))))</f>
        <v/>
      </c>
      <c r="AC371" s="7" t="str">
        <f aca="false">IF(AA371="","",IFERROR(LOOKUP(2,1/(($AZ$5:$AZ$60&lt;&gt;"")*ISNUMBER(SEARCH($AZ$5:$AZ$60,AA371))),$BA$5:$BA$60),IF(AB371="Other","Excluded","Unmapped")))</f>
        <v/>
      </c>
      <c r="AD371" s="7" t="str">
        <f aca="false">IF(AA371="","",IF(AND(AB371&lt;&gt;"Other",OR(AND('KNOWIFY PHASES'!B371="Closed",N('KNOWIFY PHASES'!D371)&gt;=0.5),N('KNOWIFY PHASES'!D371)&gt;=1)),1,0))</f>
        <v/>
      </c>
      <c r="AE371" s="7" t="n">
        <f aca="false">N('KNOWIFY PHASES'!L371)</f>
        <v>0</v>
      </c>
      <c r="AF371" s="7" t="n">
        <f aca="false">N('KNOWIFY PHASES'!K371)</f>
        <v>0</v>
      </c>
      <c r="AG371" s="7" t="n">
        <f aca="false">N('KNOWIFY PHASES'!I371)</f>
        <v>0</v>
      </c>
      <c r="AH371" s="7" t="n">
        <f aca="false">N('KNOWIFY PHASES'!H371)</f>
        <v>0</v>
      </c>
      <c r="AI371" s="7" t="n">
        <f aca="false">N('KNOWIFY PHASES'!O371)</f>
        <v>0</v>
      </c>
      <c r="AJ371" s="7" t="n">
        <f aca="false">N('KNOWIFY PHASES'!N371)</f>
        <v>0</v>
      </c>
      <c r="AK371" s="7" t="n">
        <f aca="false">N('KNOWIFY PHASES'!R371)</f>
        <v>0</v>
      </c>
      <c r="AL371" s="7" t="n">
        <f aca="false">N('KNOWIFY PHASES'!Q371)</f>
        <v>0</v>
      </c>
      <c r="AM371" s="7" t="n">
        <f aca="false">N('KNOWIFY PHASES'!F371)</f>
        <v>0</v>
      </c>
      <c r="AN371" s="7" t="n">
        <f aca="false">N('KNOWIFY PHASES'!E371)</f>
        <v>0</v>
      </c>
      <c r="AO371" s="7" t="n">
        <f aca="false">MAX(AE371,AF371)</f>
        <v>0</v>
      </c>
      <c r="AP371" s="7" t="n">
        <f aca="false">MAX(AG371,AH371)</f>
        <v>0</v>
      </c>
      <c r="AQ371" s="7" t="n">
        <f aca="false">MAX(AI371,AJ371)</f>
        <v>0</v>
      </c>
      <c r="AR371" s="7" t="n">
        <f aca="false">MAX(AK371,AL371)</f>
        <v>0</v>
      </c>
    </row>
    <row r="372" customFormat="false" ht="15" hidden="false" customHeight="false" outlineLevel="0" collapsed="false">
      <c r="AA372" s="7" t="str">
        <f aca="false">IF('KNOWIFY PHASES'!A372="","",'KNOWIFY PHASES'!A372)</f>
        <v/>
      </c>
      <c r="AB372" s="7" t="str">
        <f aca="false">IF(AA372="","",IF(LEFT(AA372,4)="P - ","P",IF(LEFT(AA372,4)="H - ","H",IF(LEFT(AA372,5)="AC - ","AC",IF(OR(LEFT(AA372,4)="V - ",LEFT(AA372,7)="HVAC - "),"V","Other")))))</f>
        <v/>
      </c>
      <c r="AC372" s="7" t="str">
        <f aca="false">IF(AA372="","",IFERROR(LOOKUP(2,1/(($AZ$5:$AZ$60&lt;&gt;"")*ISNUMBER(SEARCH($AZ$5:$AZ$60,AA372))),$BA$5:$BA$60),IF(AB372="Other","Excluded","Unmapped")))</f>
        <v/>
      </c>
      <c r="AD372" s="7" t="str">
        <f aca="false">IF(AA372="","",IF(AND(AB372&lt;&gt;"Other",OR(AND('KNOWIFY PHASES'!B372="Closed",N('KNOWIFY PHASES'!D372)&gt;=0.5),N('KNOWIFY PHASES'!D372)&gt;=1)),1,0))</f>
        <v/>
      </c>
      <c r="AE372" s="7" t="n">
        <f aca="false">N('KNOWIFY PHASES'!L372)</f>
        <v>0</v>
      </c>
      <c r="AF372" s="7" t="n">
        <f aca="false">N('KNOWIFY PHASES'!K372)</f>
        <v>0</v>
      </c>
      <c r="AG372" s="7" t="n">
        <f aca="false">N('KNOWIFY PHASES'!I372)</f>
        <v>0</v>
      </c>
      <c r="AH372" s="7" t="n">
        <f aca="false">N('KNOWIFY PHASES'!H372)</f>
        <v>0</v>
      </c>
      <c r="AI372" s="7" t="n">
        <f aca="false">N('KNOWIFY PHASES'!O372)</f>
        <v>0</v>
      </c>
      <c r="AJ372" s="7" t="n">
        <f aca="false">N('KNOWIFY PHASES'!N372)</f>
        <v>0</v>
      </c>
      <c r="AK372" s="7" t="n">
        <f aca="false">N('KNOWIFY PHASES'!R372)</f>
        <v>0</v>
      </c>
      <c r="AL372" s="7" t="n">
        <f aca="false">N('KNOWIFY PHASES'!Q372)</f>
        <v>0</v>
      </c>
      <c r="AM372" s="7" t="n">
        <f aca="false">N('KNOWIFY PHASES'!F372)</f>
        <v>0</v>
      </c>
      <c r="AN372" s="7" t="n">
        <f aca="false">N('KNOWIFY PHASES'!E372)</f>
        <v>0</v>
      </c>
      <c r="AO372" s="7" t="n">
        <f aca="false">MAX(AE372,AF372)</f>
        <v>0</v>
      </c>
      <c r="AP372" s="7" t="n">
        <f aca="false">MAX(AG372,AH372)</f>
        <v>0</v>
      </c>
      <c r="AQ372" s="7" t="n">
        <f aca="false">MAX(AI372,AJ372)</f>
        <v>0</v>
      </c>
      <c r="AR372" s="7" t="n">
        <f aca="false">MAX(AK372,AL372)</f>
        <v>0</v>
      </c>
    </row>
    <row r="373" customFormat="false" ht="15" hidden="false" customHeight="false" outlineLevel="0" collapsed="false">
      <c r="AA373" s="7" t="str">
        <f aca="false">IF('KNOWIFY PHASES'!A373="","",'KNOWIFY PHASES'!A373)</f>
        <v/>
      </c>
      <c r="AB373" s="7" t="str">
        <f aca="false">IF(AA373="","",IF(LEFT(AA373,4)="P - ","P",IF(LEFT(AA373,4)="H - ","H",IF(LEFT(AA373,5)="AC - ","AC",IF(OR(LEFT(AA373,4)="V - ",LEFT(AA373,7)="HVAC - "),"V","Other")))))</f>
        <v/>
      </c>
      <c r="AC373" s="7" t="str">
        <f aca="false">IF(AA373="","",IFERROR(LOOKUP(2,1/(($AZ$5:$AZ$60&lt;&gt;"")*ISNUMBER(SEARCH($AZ$5:$AZ$60,AA373))),$BA$5:$BA$60),IF(AB373="Other","Excluded","Unmapped")))</f>
        <v/>
      </c>
      <c r="AD373" s="7" t="str">
        <f aca="false">IF(AA373="","",IF(AND(AB373&lt;&gt;"Other",OR(AND('KNOWIFY PHASES'!B373="Closed",N('KNOWIFY PHASES'!D373)&gt;=0.5),N('KNOWIFY PHASES'!D373)&gt;=1)),1,0))</f>
        <v/>
      </c>
      <c r="AE373" s="7" t="n">
        <f aca="false">N('KNOWIFY PHASES'!L373)</f>
        <v>0</v>
      </c>
      <c r="AF373" s="7" t="n">
        <f aca="false">N('KNOWIFY PHASES'!K373)</f>
        <v>0</v>
      </c>
      <c r="AG373" s="7" t="n">
        <f aca="false">N('KNOWIFY PHASES'!I373)</f>
        <v>0</v>
      </c>
      <c r="AH373" s="7" t="n">
        <f aca="false">N('KNOWIFY PHASES'!H373)</f>
        <v>0</v>
      </c>
      <c r="AI373" s="7" t="n">
        <f aca="false">N('KNOWIFY PHASES'!O373)</f>
        <v>0</v>
      </c>
      <c r="AJ373" s="7" t="n">
        <f aca="false">N('KNOWIFY PHASES'!N373)</f>
        <v>0</v>
      </c>
      <c r="AK373" s="7" t="n">
        <f aca="false">N('KNOWIFY PHASES'!R373)</f>
        <v>0</v>
      </c>
      <c r="AL373" s="7" t="n">
        <f aca="false">N('KNOWIFY PHASES'!Q373)</f>
        <v>0</v>
      </c>
      <c r="AM373" s="7" t="n">
        <f aca="false">N('KNOWIFY PHASES'!F373)</f>
        <v>0</v>
      </c>
      <c r="AN373" s="7" t="n">
        <f aca="false">N('KNOWIFY PHASES'!E373)</f>
        <v>0</v>
      </c>
      <c r="AO373" s="7" t="n">
        <f aca="false">MAX(AE373,AF373)</f>
        <v>0</v>
      </c>
      <c r="AP373" s="7" t="n">
        <f aca="false">MAX(AG373,AH373)</f>
        <v>0</v>
      </c>
      <c r="AQ373" s="7" t="n">
        <f aca="false">MAX(AI373,AJ373)</f>
        <v>0</v>
      </c>
      <c r="AR373" s="7" t="n">
        <f aca="false">MAX(AK373,AL373)</f>
        <v>0</v>
      </c>
    </row>
    <row r="374" customFormat="false" ht="15" hidden="false" customHeight="false" outlineLevel="0" collapsed="false">
      <c r="AA374" s="7" t="str">
        <f aca="false">IF('KNOWIFY PHASES'!A374="","",'KNOWIFY PHASES'!A374)</f>
        <v/>
      </c>
      <c r="AB374" s="7" t="str">
        <f aca="false">IF(AA374="","",IF(LEFT(AA374,4)="P - ","P",IF(LEFT(AA374,4)="H - ","H",IF(LEFT(AA374,5)="AC - ","AC",IF(OR(LEFT(AA374,4)="V - ",LEFT(AA374,7)="HVAC - "),"V","Other")))))</f>
        <v/>
      </c>
      <c r="AC374" s="7" t="str">
        <f aca="false">IF(AA374="","",IFERROR(LOOKUP(2,1/(($AZ$5:$AZ$60&lt;&gt;"")*ISNUMBER(SEARCH($AZ$5:$AZ$60,AA374))),$BA$5:$BA$60),IF(AB374="Other","Excluded","Unmapped")))</f>
        <v/>
      </c>
      <c r="AD374" s="7" t="str">
        <f aca="false">IF(AA374="","",IF(AND(AB374&lt;&gt;"Other",OR(AND('KNOWIFY PHASES'!B374="Closed",N('KNOWIFY PHASES'!D374)&gt;=0.5),N('KNOWIFY PHASES'!D374)&gt;=1)),1,0))</f>
        <v/>
      </c>
      <c r="AE374" s="7" t="n">
        <f aca="false">N('KNOWIFY PHASES'!L374)</f>
        <v>0</v>
      </c>
      <c r="AF374" s="7" t="n">
        <f aca="false">N('KNOWIFY PHASES'!K374)</f>
        <v>0</v>
      </c>
      <c r="AG374" s="7" t="n">
        <f aca="false">N('KNOWIFY PHASES'!I374)</f>
        <v>0</v>
      </c>
      <c r="AH374" s="7" t="n">
        <f aca="false">N('KNOWIFY PHASES'!H374)</f>
        <v>0</v>
      </c>
      <c r="AI374" s="7" t="n">
        <f aca="false">N('KNOWIFY PHASES'!O374)</f>
        <v>0</v>
      </c>
      <c r="AJ374" s="7" t="n">
        <f aca="false">N('KNOWIFY PHASES'!N374)</f>
        <v>0</v>
      </c>
      <c r="AK374" s="7" t="n">
        <f aca="false">N('KNOWIFY PHASES'!R374)</f>
        <v>0</v>
      </c>
      <c r="AL374" s="7" t="n">
        <f aca="false">N('KNOWIFY PHASES'!Q374)</f>
        <v>0</v>
      </c>
      <c r="AM374" s="7" t="n">
        <f aca="false">N('KNOWIFY PHASES'!F374)</f>
        <v>0</v>
      </c>
      <c r="AN374" s="7" t="n">
        <f aca="false">N('KNOWIFY PHASES'!E374)</f>
        <v>0</v>
      </c>
      <c r="AO374" s="7" t="n">
        <f aca="false">MAX(AE374,AF374)</f>
        <v>0</v>
      </c>
      <c r="AP374" s="7" t="n">
        <f aca="false">MAX(AG374,AH374)</f>
        <v>0</v>
      </c>
      <c r="AQ374" s="7" t="n">
        <f aca="false">MAX(AI374,AJ374)</f>
        <v>0</v>
      </c>
      <c r="AR374" s="7" t="n">
        <f aca="false">MAX(AK374,AL374)</f>
        <v>0</v>
      </c>
    </row>
    <row r="375" customFormat="false" ht="15" hidden="false" customHeight="false" outlineLevel="0" collapsed="false">
      <c r="AA375" s="7" t="str">
        <f aca="false">IF('KNOWIFY PHASES'!A375="","",'KNOWIFY PHASES'!A375)</f>
        <v/>
      </c>
      <c r="AB375" s="7" t="str">
        <f aca="false">IF(AA375="","",IF(LEFT(AA375,4)="P - ","P",IF(LEFT(AA375,4)="H - ","H",IF(LEFT(AA375,5)="AC - ","AC",IF(OR(LEFT(AA375,4)="V - ",LEFT(AA375,7)="HVAC - "),"V","Other")))))</f>
        <v/>
      </c>
      <c r="AC375" s="7" t="str">
        <f aca="false">IF(AA375="","",IFERROR(LOOKUP(2,1/(($AZ$5:$AZ$60&lt;&gt;"")*ISNUMBER(SEARCH($AZ$5:$AZ$60,AA375))),$BA$5:$BA$60),IF(AB375="Other","Excluded","Unmapped")))</f>
        <v/>
      </c>
      <c r="AD375" s="7" t="str">
        <f aca="false">IF(AA375="","",IF(AND(AB375&lt;&gt;"Other",OR(AND('KNOWIFY PHASES'!B375="Closed",N('KNOWIFY PHASES'!D375)&gt;=0.5),N('KNOWIFY PHASES'!D375)&gt;=1)),1,0))</f>
        <v/>
      </c>
      <c r="AE375" s="7" t="n">
        <f aca="false">N('KNOWIFY PHASES'!L375)</f>
        <v>0</v>
      </c>
      <c r="AF375" s="7" t="n">
        <f aca="false">N('KNOWIFY PHASES'!K375)</f>
        <v>0</v>
      </c>
      <c r="AG375" s="7" t="n">
        <f aca="false">N('KNOWIFY PHASES'!I375)</f>
        <v>0</v>
      </c>
      <c r="AH375" s="7" t="n">
        <f aca="false">N('KNOWIFY PHASES'!H375)</f>
        <v>0</v>
      </c>
      <c r="AI375" s="7" t="n">
        <f aca="false">N('KNOWIFY PHASES'!O375)</f>
        <v>0</v>
      </c>
      <c r="AJ375" s="7" t="n">
        <f aca="false">N('KNOWIFY PHASES'!N375)</f>
        <v>0</v>
      </c>
      <c r="AK375" s="7" t="n">
        <f aca="false">N('KNOWIFY PHASES'!R375)</f>
        <v>0</v>
      </c>
      <c r="AL375" s="7" t="n">
        <f aca="false">N('KNOWIFY PHASES'!Q375)</f>
        <v>0</v>
      </c>
      <c r="AM375" s="7" t="n">
        <f aca="false">N('KNOWIFY PHASES'!F375)</f>
        <v>0</v>
      </c>
      <c r="AN375" s="7" t="n">
        <f aca="false">N('KNOWIFY PHASES'!E375)</f>
        <v>0</v>
      </c>
      <c r="AO375" s="7" t="n">
        <f aca="false">MAX(AE375,AF375)</f>
        <v>0</v>
      </c>
      <c r="AP375" s="7" t="n">
        <f aca="false">MAX(AG375,AH375)</f>
        <v>0</v>
      </c>
      <c r="AQ375" s="7" t="n">
        <f aca="false">MAX(AI375,AJ375)</f>
        <v>0</v>
      </c>
      <c r="AR375" s="7" t="n">
        <f aca="false">MAX(AK375,AL375)</f>
        <v>0</v>
      </c>
    </row>
    <row r="376" customFormat="false" ht="15" hidden="false" customHeight="false" outlineLevel="0" collapsed="false">
      <c r="AA376" s="7" t="str">
        <f aca="false">IF('KNOWIFY PHASES'!A376="","",'KNOWIFY PHASES'!A376)</f>
        <v/>
      </c>
      <c r="AB376" s="7" t="str">
        <f aca="false">IF(AA376="","",IF(LEFT(AA376,4)="P - ","P",IF(LEFT(AA376,4)="H - ","H",IF(LEFT(AA376,5)="AC - ","AC",IF(OR(LEFT(AA376,4)="V - ",LEFT(AA376,7)="HVAC - "),"V","Other")))))</f>
        <v/>
      </c>
      <c r="AC376" s="7" t="str">
        <f aca="false">IF(AA376="","",IFERROR(LOOKUP(2,1/(($AZ$5:$AZ$60&lt;&gt;"")*ISNUMBER(SEARCH($AZ$5:$AZ$60,AA376))),$BA$5:$BA$60),IF(AB376="Other","Excluded","Unmapped")))</f>
        <v/>
      </c>
      <c r="AD376" s="7" t="str">
        <f aca="false">IF(AA376="","",IF(AND(AB376&lt;&gt;"Other",OR(AND('KNOWIFY PHASES'!B376="Closed",N('KNOWIFY PHASES'!D376)&gt;=0.5),N('KNOWIFY PHASES'!D376)&gt;=1)),1,0))</f>
        <v/>
      </c>
      <c r="AE376" s="7" t="n">
        <f aca="false">N('KNOWIFY PHASES'!L376)</f>
        <v>0</v>
      </c>
      <c r="AF376" s="7" t="n">
        <f aca="false">N('KNOWIFY PHASES'!K376)</f>
        <v>0</v>
      </c>
      <c r="AG376" s="7" t="n">
        <f aca="false">N('KNOWIFY PHASES'!I376)</f>
        <v>0</v>
      </c>
      <c r="AH376" s="7" t="n">
        <f aca="false">N('KNOWIFY PHASES'!H376)</f>
        <v>0</v>
      </c>
      <c r="AI376" s="7" t="n">
        <f aca="false">N('KNOWIFY PHASES'!O376)</f>
        <v>0</v>
      </c>
      <c r="AJ376" s="7" t="n">
        <f aca="false">N('KNOWIFY PHASES'!N376)</f>
        <v>0</v>
      </c>
      <c r="AK376" s="7" t="n">
        <f aca="false">N('KNOWIFY PHASES'!R376)</f>
        <v>0</v>
      </c>
      <c r="AL376" s="7" t="n">
        <f aca="false">N('KNOWIFY PHASES'!Q376)</f>
        <v>0</v>
      </c>
      <c r="AM376" s="7" t="n">
        <f aca="false">N('KNOWIFY PHASES'!F376)</f>
        <v>0</v>
      </c>
      <c r="AN376" s="7" t="n">
        <f aca="false">N('KNOWIFY PHASES'!E376)</f>
        <v>0</v>
      </c>
      <c r="AO376" s="7" t="n">
        <f aca="false">MAX(AE376,AF376)</f>
        <v>0</v>
      </c>
      <c r="AP376" s="7" t="n">
        <f aca="false">MAX(AG376,AH376)</f>
        <v>0</v>
      </c>
      <c r="AQ376" s="7" t="n">
        <f aca="false">MAX(AI376,AJ376)</f>
        <v>0</v>
      </c>
      <c r="AR376" s="7" t="n">
        <f aca="false">MAX(AK376,AL376)</f>
        <v>0</v>
      </c>
    </row>
    <row r="377" customFormat="false" ht="15" hidden="false" customHeight="false" outlineLevel="0" collapsed="false">
      <c r="AA377" s="7" t="str">
        <f aca="false">IF('KNOWIFY PHASES'!A377="","",'KNOWIFY PHASES'!A377)</f>
        <v/>
      </c>
      <c r="AB377" s="7" t="str">
        <f aca="false">IF(AA377="","",IF(LEFT(AA377,4)="P - ","P",IF(LEFT(AA377,4)="H - ","H",IF(LEFT(AA377,5)="AC - ","AC",IF(OR(LEFT(AA377,4)="V - ",LEFT(AA377,7)="HVAC - "),"V","Other")))))</f>
        <v/>
      </c>
      <c r="AC377" s="7" t="str">
        <f aca="false">IF(AA377="","",IFERROR(LOOKUP(2,1/(($AZ$5:$AZ$60&lt;&gt;"")*ISNUMBER(SEARCH($AZ$5:$AZ$60,AA377))),$BA$5:$BA$60),IF(AB377="Other","Excluded","Unmapped")))</f>
        <v/>
      </c>
      <c r="AD377" s="7" t="str">
        <f aca="false">IF(AA377="","",IF(AND(AB377&lt;&gt;"Other",OR(AND('KNOWIFY PHASES'!B377="Closed",N('KNOWIFY PHASES'!D377)&gt;=0.5),N('KNOWIFY PHASES'!D377)&gt;=1)),1,0))</f>
        <v/>
      </c>
      <c r="AE377" s="7" t="n">
        <f aca="false">N('KNOWIFY PHASES'!L377)</f>
        <v>0</v>
      </c>
      <c r="AF377" s="7" t="n">
        <f aca="false">N('KNOWIFY PHASES'!K377)</f>
        <v>0</v>
      </c>
      <c r="AG377" s="7" t="n">
        <f aca="false">N('KNOWIFY PHASES'!I377)</f>
        <v>0</v>
      </c>
      <c r="AH377" s="7" t="n">
        <f aca="false">N('KNOWIFY PHASES'!H377)</f>
        <v>0</v>
      </c>
      <c r="AI377" s="7" t="n">
        <f aca="false">N('KNOWIFY PHASES'!O377)</f>
        <v>0</v>
      </c>
      <c r="AJ377" s="7" t="n">
        <f aca="false">N('KNOWIFY PHASES'!N377)</f>
        <v>0</v>
      </c>
      <c r="AK377" s="7" t="n">
        <f aca="false">N('KNOWIFY PHASES'!R377)</f>
        <v>0</v>
      </c>
      <c r="AL377" s="7" t="n">
        <f aca="false">N('KNOWIFY PHASES'!Q377)</f>
        <v>0</v>
      </c>
      <c r="AM377" s="7" t="n">
        <f aca="false">N('KNOWIFY PHASES'!F377)</f>
        <v>0</v>
      </c>
      <c r="AN377" s="7" t="n">
        <f aca="false">N('KNOWIFY PHASES'!E377)</f>
        <v>0</v>
      </c>
      <c r="AO377" s="7" t="n">
        <f aca="false">MAX(AE377,AF377)</f>
        <v>0</v>
      </c>
      <c r="AP377" s="7" t="n">
        <f aca="false">MAX(AG377,AH377)</f>
        <v>0</v>
      </c>
      <c r="AQ377" s="7" t="n">
        <f aca="false">MAX(AI377,AJ377)</f>
        <v>0</v>
      </c>
      <c r="AR377" s="7" t="n">
        <f aca="false">MAX(AK377,AL377)</f>
        <v>0</v>
      </c>
    </row>
    <row r="378" customFormat="false" ht="15" hidden="false" customHeight="false" outlineLevel="0" collapsed="false">
      <c r="AA378" s="7" t="str">
        <f aca="false">IF('KNOWIFY PHASES'!A378="","",'KNOWIFY PHASES'!A378)</f>
        <v/>
      </c>
      <c r="AB378" s="7" t="str">
        <f aca="false">IF(AA378="","",IF(LEFT(AA378,4)="P - ","P",IF(LEFT(AA378,4)="H - ","H",IF(LEFT(AA378,5)="AC - ","AC",IF(OR(LEFT(AA378,4)="V - ",LEFT(AA378,7)="HVAC - "),"V","Other")))))</f>
        <v/>
      </c>
      <c r="AC378" s="7" t="str">
        <f aca="false">IF(AA378="","",IFERROR(LOOKUP(2,1/(($AZ$5:$AZ$60&lt;&gt;"")*ISNUMBER(SEARCH($AZ$5:$AZ$60,AA378))),$BA$5:$BA$60),IF(AB378="Other","Excluded","Unmapped")))</f>
        <v/>
      </c>
      <c r="AD378" s="7" t="str">
        <f aca="false">IF(AA378="","",IF(AND(AB378&lt;&gt;"Other",OR(AND('KNOWIFY PHASES'!B378="Closed",N('KNOWIFY PHASES'!D378)&gt;=0.5),N('KNOWIFY PHASES'!D378)&gt;=1)),1,0))</f>
        <v/>
      </c>
      <c r="AE378" s="7" t="n">
        <f aca="false">N('KNOWIFY PHASES'!L378)</f>
        <v>0</v>
      </c>
      <c r="AF378" s="7" t="n">
        <f aca="false">N('KNOWIFY PHASES'!K378)</f>
        <v>0</v>
      </c>
      <c r="AG378" s="7" t="n">
        <f aca="false">N('KNOWIFY PHASES'!I378)</f>
        <v>0</v>
      </c>
      <c r="AH378" s="7" t="n">
        <f aca="false">N('KNOWIFY PHASES'!H378)</f>
        <v>0</v>
      </c>
      <c r="AI378" s="7" t="n">
        <f aca="false">N('KNOWIFY PHASES'!O378)</f>
        <v>0</v>
      </c>
      <c r="AJ378" s="7" t="n">
        <f aca="false">N('KNOWIFY PHASES'!N378)</f>
        <v>0</v>
      </c>
      <c r="AK378" s="7" t="n">
        <f aca="false">N('KNOWIFY PHASES'!R378)</f>
        <v>0</v>
      </c>
      <c r="AL378" s="7" t="n">
        <f aca="false">N('KNOWIFY PHASES'!Q378)</f>
        <v>0</v>
      </c>
      <c r="AM378" s="7" t="n">
        <f aca="false">N('KNOWIFY PHASES'!F378)</f>
        <v>0</v>
      </c>
      <c r="AN378" s="7" t="n">
        <f aca="false">N('KNOWIFY PHASES'!E378)</f>
        <v>0</v>
      </c>
      <c r="AO378" s="7" t="n">
        <f aca="false">MAX(AE378,AF378)</f>
        <v>0</v>
      </c>
      <c r="AP378" s="7" t="n">
        <f aca="false">MAX(AG378,AH378)</f>
        <v>0</v>
      </c>
      <c r="AQ378" s="7" t="n">
        <f aca="false">MAX(AI378,AJ378)</f>
        <v>0</v>
      </c>
      <c r="AR378" s="7" t="n">
        <f aca="false">MAX(AK378,AL378)</f>
        <v>0</v>
      </c>
    </row>
    <row r="379" customFormat="false" ht="15" hidden="false" customHeight="false" outlineLevel="0" collapsed="false">
      <c r="AA379" s="7" t="str">
        <f aca="false">IF('KNOWIFY PHASES'!A379="","",'KNOWIFY PHASES'!A379)</f>
        <v/>
      </c>
      <c r="AB379" s="7" t="str">
        <f aca="false">IF(AA379="","",IF(LEFT(AA379,4)="P - ","P",IF(LEFT(AA379,4)="H - ","H",IF(LEFT(AA379,5)="AC - ","AC",IF(OR(LEFT(AA379,4)="V - ",LEFT(AA379,7)="HVAC - "),"V","Other")))))</f>
        <v/>
      </c>
      <c r="AC379" s="7" t="str">
        <f aca="false">IF(AA379="","",IFERROR(LOOKUP(2,1/(($AZ$5:$AZ$60&lt;&gt;"")*ISNUMBER(SEARCH($AZ$5:$AZ$60,AA379))),$BA$5:$BA$60),IF(AB379="Other","Excluded","Unmapped")))</f>
        <v/>
      </c>
      <c r="AD379" s="7" t="str">
        <f aca="false">IF(AA379="","",IF(AND(AB379&lt;&gt;"Other",OR(AND('KNOWIFY PHASES'!B379="Closed",N('KNOWIFY PHASES'!D379)&gt;=0.5),N('KNOWIFY PHASES'!D379)&gt;=1)),1,0))</f>
        <v/>
      </c>
      <c r="AE379" s="7" t="n">
        <f aca="false">N('KNOWIFY PHASES'!L379)</f>
        <v>0</v>
      </c>
      <c r="AF379" s="7" t="n">
        <f aca="false">N('KNOWIFY PHASES'!K379)</f>
        <v>0</v>
      </c>
      <c r="AG379" s="7" t="n">
        <f aca="false">N('KNOWIFY PHASES'!I379)</f>
        <v>0</v>
      </c>
      <c r="AH379" s="7" t="n">
        <f aca="false">N('KNOWIFY PHASES'!H379)</f>
        <v>0</v>
      </c>
      <c r="AI379" s="7" t="n">
        <f aca="false">N('KNOWIFY PHASES'!O379)</f>
        <v>0</v>
      </c>
      <c r="AJ379" s="7" t="n">
        <f aca="false">N('KNOWIFY PHASES'!N379)</f>
        <v>0</v>
      </c>
      <c r="AK379" s="7" t="n">
        <f aca="false">N('KNOWIFY PHASES'!R379)</f>
        <v>0</v>
      </c>
      <c r="AL379" s="7" t="n">
        <f aca="false">N('KNOWIFY PHASES'!Q379)</f>
        <v>0</v>
      </c>
      <c r="AM379" s="7" t="n">
        <f aca="false">N('KNOWIFY PHASES'!F379)</f>
        <v>0</v>
      </c>
      <c r="AN379" s="7" t="n">
        <f aca="false">N('KNOWIFY PHASES'!E379)</f>
        <v>0</v>
      </c>
      <c r="AO379" s="7" t="n">
        <f aca="false">MAX(AE379,AF379)</f>
        <v>0</v>
      </c>
      <c r="AP379" s="7" t="n">
        <f aca="false">MAX(AG379,AH379)</f>
        <v>0</v>
      </c>
      <c r="AQ379" s="7" t="n">
        <f aca="false">MAX(AI379,AJ379)</f>
        <v>0</v>
      </c>
      <c r="AR379" s="7" t="n">
        <f aca="false">MAX(AK379,AL379)</f>
        <v>0</v>
      </c>
    </row>
    <row r="380" customFormat="false" ht="15" hidden="false" customHeight="false" outlineLevel="0" collapsed="false">
      <c r="AA380" s="7" t="str">
        <f aca="false">IF('KNOWIFY PHASES'!A380="","",'KNOWIFY PHASES'!A380)</f>
        <v/>
      </c>
      <c r="AB380" s="7" t="str">
        <f aca="false">IF(AA380="","",IF(LEFT(AA380,4)="P - ","P",IF(LEFT(AA380,4)="H - ","H",IF(LEFT(AA380,5)="AC - ","AC",IF(OR(LEFT(AA380,4)="V - ",LEFT(AA380,7)="HVAC - "),"V","Other")))))</f>
        <v/>
      </c>
      <c r="AC380" s="7" t="str">
        <f aca="false">IF(AA380="","",IFERROR(LOOKUP(2,1/(($AZ$5:$AZ$60&lt;&gt;"")*ISNUMBER(SEARCH($AZ$5:$AZ$60,AA380))),$BA$5:$BA$60),IF(AB380="Other","Excluded","Unmapped")))</f>
        <v/>
      </c>
      <c r="AD380" s="7" t="str">
        <f aca="false">IF(AA380="","",IF(AND(AB380&lt;&gt;"Other",OR(AND('KNOWIFY PHASES'!B380="Closed",N('KNOWIFY PHASES'!D380)&gt;=0.5),N('KNOWIFY PHASES'!D380)&gt;=1)),1,0))</f>
        <v/>
      </c>
      <c r="AE380" s="7" t="n">
        <f aca="false">N('KNOWIFY PHASES'!L380)</f>
        <v>0</v>
      </c>
      <c r="AF380" s="7" t="n">
        <f aca="false">N('KNOWIFY PHASES'!K380)</f>
        <v>0</v>
      </c>
      <c r="AG380" s="7" t="n">
        <f aca="false">N('KNOWIFY PHASES'!I380)</f>
        <v>0</v>
      </c>
      <c r="AH380" s="7" t="n">
        <f aca="false">N('KNOWIFY PHASES'!H380)</f>
        <v>0</v>
      </c>
      <c r="AI380" s="7" t="n">
        <f aca="false">N('KNOWIFY PHASES'!O380)</f>
        <v>0</v>
      </c>
      <c r="AJ380" s="7" t="n">
        <f aca="false">N('KNOWIFY PHASES'!N380)</f>
        <v>0</v>
      </c>
      <c r="AK380" s="7" t="n">
        <f aca="false">N('KNOWIFY PHASES'!R380)</f>
        <v>0</v>
      </c>
      <c r="AL380" s="7" t="n">
        <f aca="false">N('KNOWIFY PHASES'!Q380)</f>
        <v>0</v>
      </c>
      <c r="AM380" s="7" t="n">
        <f aca="false">N('KNOWIFY PHASES'!F380)</f>
        <v>0</v>
      </c>
      <c r="AN380" s="7" t="n">
        <f aca="false">N('KNOWIFY PHASES'!E380)</f>
        <v>0</v>
      </c>
      <c r="AO380" s="7" t="n">
        <f aca="false">MAX(AE380,AF380)</f>
        <v>0</v>
      </c>
      <c r="AP380" s="7" t="n">
        <f aca="false">MAX(AG380,AH380)</f>
        <v>0</v>
      </c>
      <c r="AQ380" s="7" t="n">
        <f aca="false">MAX(AI380,AJ380)</f>
        <v>0</v>
      </c>
      <c r="AR380" s="7" t="n">
        <f aca="false">MAX(AK380,AL380)</f>
        <v>0</v>
      </c>
    </row>
    <row r="381" customFormat="false" ht="15" hidden="false" customHeight="false" outlineLevel="0" collapsed="false">
      <c r="AA381" s="7" t="str">
        <f aca="false">IF('KNOWIFY PHASES'!A381="","",'KNOWIFY PHASES'!A381)</f>
        <v/>
      </c>
      <c r="AB381" s="7" t="str">
        <f aca="false">IF(AA381="","",IF(LEFT(AA381,4)="P - ","P",IF(LEFT(AA381,4)="H - ","H",IF(LEFT(AA381,5)="AC - ","AC",IF(OR(LEFT(AA381,4)="V - ",LEFT(AA381,7)="HVAC - "),"V","Other")))))</f>
        <v/>
      </c>
      <c r="AC381" s="7" t="str">
        <f aca="false">IF(AA381="","",IFERROR(LOOKUP(2,1/(($AZ$5:$AZ$60&lt;&gt;"")*ISNUMBER(SEARCH($AZ$5:$AZ$60,AA381))),$BA$5:$BA$60),IF(AB381="Other","Excluded","Unmapped")))</f>
        <v/>
      </c>
      <c r="AD381" s="7" t="str">
        <f aca="false">IF(AA381="","",IF(AND(AB381&lt;&gt;"Other",OR(AND('KNOWIFY PHASES'!B381="Closed",N('KNOWIFY PHASES'!D381)&gt;=0.5),N('KNOWIFY PHASES'!D381)&gt;=1)),1,0))</f>
        <v/>
      </c>
      <c r="AE381" s="7" t="n">
        <f aca="false">N('KNOWIFY PHASES'!L381)</f>
        <v>0</v>
      </c>
      <c r="AF381" s="7" t="n">
        <f aca="false">N('KNOWIFY PHASES'!K381)</f>
        <v>0</v>
      </c>
      <c r="AG381" s="7" t="n">
        <f aca="false">N('KNOWIFY PHASES'!I381)</f>
        <v>0</v>
      </c>
      <c r="AH381" s="7" t="n">
        <f aca="false">N('KNOWIFY PHASES'!H381)</f>
        <v>0</v>
      </c>
      <c r="AI381" s="7" t="n">
        <f aca="false">N('KNOWIFY PHASES'!O381)</f>
        <v>0</v>
      </c>
      <c r="AJ381" s="7" t="n">
        <f aca="false">N('KNOWIFY PHASES'!N381)</f>
        <v>0</v>
      </c>
      <c r="AK381" s="7" t="n">
        <f aca="false">N('KNOWIFY PHASES'!R381)</f>
        <v>0</v>
      </c>
      <c r="AL381" s="7" t="n">
        <f aca="false">N('KNOWIFY PHASES'!Q381)</f>
        <v>0</v>
      </c>
      <c r="AM381" s="7" t="n">
        <f aca="false">N('KNOWIFY PHASES'!F381)</f>
        <v>0</v>
      </c>
      <c r="AN381" s="7" t="n">
        <f aca="false">N('KNOWIFY PHASES'!E381)</f>
        <v>0</v>
      </c>
      <c r="AO381" s="7" t="n">
        <f aca="false">MAX(AE381,AF381)</f>
        <v>0</v>
      </c>
      <c r="AP381" s="7" t="n">
        <f aca="false">MAX(AG381,AH381)</f>
        <v>0</v>
      </c>
      <c r="AQ381" s="7" t="n">
        <f aca="false">MAX(AI381,AJ381)</f>
        <v>0</v>
      </c>
      <c r="AR381" s="7" t="n">
        <f aca="false">MAX(AK381,AL381)</f>
        <v>0</v>
      </c>
    </row>
    <row r="382" customFormat="false" ht="15" hidden="false" customHeight="false" outlineLevel="0" collapsed="false">
      <c r="AA382" s="7" t="str">
        <f aca="false">IF('KNOWIFY PHASES'!A382="","",'KNOWIFY PHASES'!A382)</f>
        <v/>
      </c>
      <c r="AB382" s="7" t="str">
        <f aca="false">IF(AA382="","",IF(LEFT(AA382,4)="P - ","P",IF(LEFT(AA382,4)="H - ","H",IF(LEFT(AA382,5)="AC - ","AC",IF(OR(LEFT(AA382,4)="V - ",LEFT(AA382,7)="HVAC - "),"V","Other")))))</f>
        <v/>
      </c>
      <c r="AC382" s="7" t="str">
        <f aca="false">IF(AA382="","",IFERROR(LOOKUP(2,1/(($AZ$5:$AZ$60&lt;&gt;"")*ISNUMBER(SEARCH($AZ$5:$AZ$60,AA382))),$BA$5:$BA$60),IF(AB382="Other","Excluded","Unmapped")))</f>
        <v/>
      </c>
      <c r="AD382" s="7" t="str">
        <f aca="false">IF(AA382="","",IF(AND(AB382&lt;&gt;"Other",OR(AND('KNOWIFY PHASES'!B382="Closed",N('KNOWIFY PHASES'!D382)&gt;=0.5),N('KNOWIFY PHASES'!D382)&gt;=1)),1,0))</f>
        <v/>
      </c>
      <c r="AE382" s="7" t="n">
        <f aca="false">N('KNOWIFY PHASES'!L382)</f>
        <v>0</v>
      </c>
      <c r="AF382" s="7" t="n">
        <f aca="false">N('KNOWIFY PHASES'!K382)</f>
        <v>0</v>
      </c>
      <c r="AG382" s="7" t="n">
        <f aca="false">N('KNOWIFY PHASES'!I382)</f>
        <v>0</v>
      </c>
      <c r="AH382" s="7" t="n">
        <f aca="false">N('KNOWIFY PHASES'!H382)</f>
        <v>0</v>
      </c>
      <c r="AI382" s="7" t="n">
        <f aca="false">N('KNOWIFY PHASES'!O382)</f>
        <v>0</v>
      </c>
      <c r="AJ382" s="7" t="n">
        <f aca="false">N('KNOWIFY PHASES'!N382)</f>
        <v>0</v>
      </c>
      <c r="AK382" s="7" t="n">
        <f aca="false">N('KNOWIFY PHASES'!R382)</f>
        <v>0</v>
      </c>
      <c r="AL382" s="7" t="n">
        <f aca="false">N('KNOWIFY PHASES'!Q382)</f>
        <v>0</v>
      </c>
      <c r="AM382" s="7" t="n">
        <f aca="false">N('KNOWIFY PHASES'!F382)</f>
        <v>0</v>
      </c>
      <c r="AN382" s="7" t="n">
        <f aca="false">N('KNOWIFY PHASES'!E382)</f>
        <v>0</v>
      </c>
      <c r="AO382" s="7" t="n">
        <f aca="false">MAX(AE382,AF382)</f>
        <v>0</v>
      </c>
      <c r="AP382" s="7" t="n">
        <f aca="false">MAX(AG382,AH382)</f>
        <v>0</v>
      </c>
      <c r="AQ382" s="7" t="n">
        <f aca="false">MAX(AI382,AJ382)</f>
        <v>0</v>
      </c>
      <c r="AR382" s="7" t="n">
        <f aca="false">MAX(AK382,AL382)</f>
        <v>0</v>
      </c>
    </row>
    <row r="383" customFormat="false" ht="15" hidden="false" customHeight="false" outlineLevel="0" collapsed="false">
      <c r="AA383" s="7" t="str">
        <f aca="false">IF('KNOWIFY PHASES'!A383="","",'KNOWIFY PHASES'!A383)</f>
        <v/>
      </c>
      <c r="AB383" s="7" t="str">
        <f aca="false">IF(AA383="","",IF(LEFT(AA383,4)="P - ","P",IF(LEFT(AA383,4)="H - ","H",IF(LEFT(AA383,5)="AC - ","AC",IF(OR(LEFT(AA383,4)="V - ",LEFT(AA383,7)="HVAC - "),"V","Other")))))</f>
        <v/>
      </c>
      <c r="AC383" s="7" t="str">
        <f aca="false">IF(AA383="","",IFERROR(LOOKUP(2,1/(($AZ$5:$AZ$60&lt;&gt;"")*ISNUMBER(SEARCH($AZ$5:$AZ$60,AA383))),$BA$5:$BA$60),IF(AB383="Other","Excluded","Unmapped")))</f>
        <v/>
      </c>
      <c r="AD383" s="7" t="str">
        <f aca="false">IF(AA383="","",IF(AND(AB383&lt;&gt;"Other",OR(AND('KNOWIFY PHASES'!B383="Closed",N('KNOWIFY PHASES'!D383)&gt;=0.5),N('KNOWIFY PHASES'!D383)&gt;=1)),1,0))</f>
        <v/>
      </c>
      <c r="AE383" s="7" t="n">
        <f aca="false">N('KNOWIFY PHASES'!L383)</f>
        <v>0</v>
      </c>
      <c r="AF383" s="7" t="n">
        <f aca="false">N('KNOWIFY PHASES'!K383)</f>
        <v>0</v>
      </c>
      <c r="AG383" s="7" t="n">
        <f aca="false">N('KNOWIFY PHASES'!I383)</f>
        <v>0</v>
      </c>
      <c r="AH383" s="7" t="n">
        <f aca="false">N('KNOWIFY PHASES'!H383)</f>
        <v>0</v>
      </c>
      <c r="AI383" s="7" t="n">
        <f aca="false">N('KNOWIFY PHASES'!O383)</f>
        <v>0</v>
      </c>
      <c r="AJ383" s="7" t="n">
        <f aca="false">N('KNOWIFY PHASES'!N383)</f>
        <v>0</v>
      </c>
      <c r="AK383" s="7" t="n">
        <f aca="false">N('KNOWIFY PHASES'!R383)</f>
        <v>0</v>
      </c>
      <c r="AL383" s="7" t="n">
        <f aca="false">N('KNOWIFY PHASES'!Q383)</f>
        <v>0</v>
      </c>
      <c r="AM383" s="7" t="n">
        <f aca="false">N('KNOWIFY PHASES'!F383)</f>
        <v>0</v>
      </c>
      <c r="AN383" s="7" t="n">
        <f aca="false">N('KNOWIFY PHASES'!E383)</f>
        <v>0</v>
      </c>
      <c r="AO383" s="7" t="n">
        <f aca="false">MAX(AE383,AF383)</f>
        <v>0</v>
      </c>
      <c r="AP383" s="7" t="n">
        <f aca="false">MAX(AG383,AH383)</f>
        <v>0</v>
      </c>
      <c r="AQ383" s="7" t="n">
        <f aca="false">MAX(AI383,AJ383)</f>
        <v>0</v>
      </c>
      <c r="AR383" s="7" t="n">
        <f aca="false">MAX(AK383,AL383)</f>
        <v>0</v>
      </c>
    </row>
    <row r="384" customFormat="false" ht="15" hidden="false" customHeight="false" outlineLevel="0" collapsed="false">
      <c r="AA384" s="7" t="str">
        <f aca="false">IF('KNOWIFY PHASES'!A384="","",'KNOWIFY PHASES'!A384)</f>
        <v/>
      </c>
      <c r="AB384" s="7" t="str">
        <f aca="false">IF(AA384="","",IF(LEFT(AA384,4)="P - ","P",IF(LEFT(AA384,4)="H - ","H",IF(LEFT(AA384,5)="AC - ","AC",IF(OR(LEFT(AA384,4)="V - ",LEFT(AA384,7)="HVAC - "),"V","Other")))))</f>
        <v/>
      </c>
      <c r="AC384" s="7" t="str">
        <f aca="false">IF(AA384="","",IFERROR(LOOKUP(2,1/(($AZ$5:$AZ$60&lt;&gt;"")*ISNUMBER(SEARCH($AZ$5:$AZ$60,AA384))),$BA$5:$BA$60),IF(AB384="Other","Excluded","Unmapped")))</f>
        <v/>
      </c>
      <c r="AD384" s="7" t="str">
        <f aca="false">IF(AA384="","",IF(AND(AB384&lt;&gt;"Other",OR(AND('KNOWIFY PHASES'!B384="Closed",N('KNOWIFY PHASES'!D384)&gt;=0.5),N('KNOWIFY PHASES'!D384)&gt;=1)),1,0))</f>
        <v/>
      </c>
      <c r="AE384" s="7" t="n">
        <f aca="false">N('KNOWIFY PHASES'!L384)</f>
        <v>0</v>
      </c>
      <c r="AF384" s="7" t="n">
        <f aca="false">N('KNOWIFY PHASES'!K384)</f>
        <v>0</v>
      </c>
      <c r="AG384" s="7" t="n">
        <f aca="false">N('KNOWIFY PHASES'!I384)</f>
        <v>0</v>
      </c>
      <c r="AH384" s="7" t="n">
        <f aca="false">N('KNOWIFY PHASES'!H384)</f>
        <v>0</v>
      </c>
      <c r="AI384" s="7" t="n">
        <f aca="false">N('KNOWIFY PHASES'!O384)</f>
        <v>0</v>
      </c>
      <c r="AJ384" s="7" t="n">
        <f aca="false">N('KNOWIFY PHASES'!N384)</f>
        <v>0</v>
      </c>
      <c r="AK384" s="7" t="n">
        <f aca="false">N('KNOWIFY PHASES'!R384)</f>
        <v>0</v>
      </c>
      <c r="AL384" s="7" t="n">
        <f aca="false">N('KNOWIFY PHASES'!Q384)</f>
        <v>0</v>
      </c>
      <c r="AM384" s="7" t="n">
        <f aca="false">N('KNOWIFY PHASES'!F384)</f>
        <v>0</v>
      </c>
      <c r="AN384" s="7" t="n">
        <f aca="false">N('KNOWIFY PHASES'!E384)</f>
        <v>0</v>
      </c>
      <c r="AO384" s="7" t="n">
        <f aca="false">MAX(AE384,AF384)</f>
        <v>0</v>
      </c>
      <c r="AP384" s="7" t="n">
        <f aca="false">MAX(AG384,AH384)</f>
        <v>0</v>
      </c>
      <c r="AQ384" s="7" t="n">
        <f aca="false">MAX(AI384,AJ384)</f>
        <v>0</v>
      </c>
      <c r="AR384" s="7" t="n">
        <f aca="false">MAX(AK384,AL384)</f>
        <v>0</v>
      </c>
    </row>
    <row r="385" customFormat="false" ht="15" hidden="false" customHeight="false" outlineLevel="0" collapsed="false">
      <c r="AA385" s="7" t="str">
        <f aca="false">IF('KNOWIFY PHASES'!A385="","",'KNOWIFY PHASES'!A385)</f>
        <v/>
      </c>
      <c r="AB385" s="7" t="str">
        <f aca="false">IF(AA385="","",IF(LEFT(AA385,4)="P - ","P",IF(LEFT(AA385,4)="H - ","H",IF(LEFT(AA385,5)="AC - ","AC",IF(OR(LEFT(AA385,4)="V - ",LEFT(AA385,7)="HVAC - "),"V","Other")))))</f>
        <v/>
      </c>
      <c r="AC385" s="7" t="str">
        <f aca="false">IF(AA385="","",IFERROR(LOOKUP(2,1/(($AZ$5:$AZ$60&lt;&gt;"")*ISNUMBER(SEARCH($AZ$5:$AZ$60,AA385))),$BA$5:$BA$60),IF(AB385="Other","Excluded","Unmapped")))</f>
        <v/>
      </c>
      <c r="AD385" s="7" t="str">
        <f aca="false">IF(AA385="","",IF(AND(AB385&lt;&gt;"Other",OR(AND('KNOWIFY PHASES'!B385="Closed",N('KNOWIFY PHASES'!D385)&gt;=0.5),N('KNOWIFY PHASES'!D385)&gt;=1)),1,0))</f>
        <v/>
      </c>
      <c r="AE385" s="7" t="n">
        <f aca="false">N('KNOWIFY PHASES'!L385)</f>
        <v>0</v>
      </c>
      <c r="AF385" s="7" t="n">
        <f aca="false">N('KNOWIFY PHASES'!K385)</f>
        <v>0</v>
      </c>
      <c r="AG385" s="7" t="n">
        <f aca="false">N('KNOWIFY PHASES'!I385)</f>
        <v>0</v>
      </c>
      <c r="AH385" s="7" t="n">
        <f aca="false">N('KNOWIFY PHASES'!H385)</f>
        <v>0</v>
      </c>
      <c r="AI385" s="7" t="n">
        <f aca="false">N('KNOWIFY PHASES'!O385)</f>
        <v>0</v>
      </c>
      <c r="AJ385" s="7" t="n">
        <f aca="false">N('KNOWIFY PHASES'!N385)</f>
        <v>0</v>
      </c>
      <c r="AK385" s="7" t="n">
        <f aca="false">N('KNOWIFY PHASES'!R385)</f>
        <v>0</v>
      </c>
      <c r="AL385" s="7" t="n">
        <f aca="false">N('KNOWIFY PHASES'!Q385)</f>
        <v>0</v>
      </c>
      <c r="AM385" s="7" t="n">
        <f aca="false">N('KNOWIFY PHASES'!F385)</f>
        <v>0</v>
      </c>
      <c r="AN385" s="7" t="n">
        <f aca="false">N('KNOWIFY PHASES'!E385)</f>
        <v>0</v>
      </c>
      <c r="AO385" s="7" t="n">
        <f aca="false">MAX(AE385,AF385)</f>
        <v>0</v>
      </c>
      <c r="AP385" s="7" t="n">
        <f aca="false">MAX(AG385,AH385)</f>
        <v>0</v>
      </c>
      <c r="AQ385" s="7" t="n">
        <f aca="false">MAX(AI385,AJ385)</f>
        <v>0</v>
      </c>
      <c r="AR385" s="7" t="n">
        <f aca="false">MAX(AK385,AL385)</f>
        <v>0</v>
      </c>
    </row>
    <row r="386" customFormat="false" ht="15" hidden="false" customHeight="false" outlineLevel="0" collapsed="false">
      <c r="AA386" s="7" t="str">
        <f aca="false">IF('KNOWIFY PHASES'!A386="","",'KNOWIFY PHASES'!A386)</f>
        <v/>
      </c>
      <c r="AB386" s="7" t="str">
        <f aca="false">IF(AA386="","",IF(LEFT(AA386,4)="P - ","P",IF(LEFT(AA386,4)="H - ","H",IF(LEFT(AA386,5)="AC - ","AC",IF(OR(LEFT(AA386,4)="V - ",LEFT(AA386,7)="HVAC - "),"V","Other")))))</f>
        <v/>
      </c>
      <c r="AC386" s="7" t="str">
        <f aca="false">IF(AA386="","",IFERROR(LOOKUP(2,1/(($AZ$5:$AZ$60&lt;&gt;"")*ISNUMBER(SEARCH($AZ$5:$AZ$60,AA386))),$BA$5:$BA$60),IF(AB386="Other","Excluded","Unmapped")))</f>
        <v/>
      </c>
      <c r="AD386" s="7" t="str">
        <f aca="false">IF(AA386="","",IF(AND(AB386&lt;&gt;"Other",OR(AND('KNOWIFY PHASES'!B386="Closed",N('KNOWIFY PHASES'!D386)&gt;=0.5),N('KNOWIFY PHASES'!D386)&gt;=1)),1,0))</f>
        <v/>
      </c>
      <c r="AE386" s="7" t="n">
        <f aca="false">N('KNOWIFY PHASES'!L386)</f>
        <v>0</v>
      </c>
      <c r="AF386" s="7" t="n">
        <f aca="false">N('KNOWIFY PHASES'!K386)</f>
        <v>0</v>
      </c>
      <c r="AG386" s="7" t="n">
        <f aca="false">N('KNOWIFY PHASES'!I386)</f>
        <v>0</v>
      </c>
      <c r="AH386" s="7" t="n">
        <f aca="false">N('KNOWIFY PHASES'!H386)</f>
        <v>0</v>
      </c>
      <c r="AI386" s="7" t="n">
        <f aca="false">N('KNOWIFY PHASES'!O386)</f>
        <v>0</v>
      </c>
      <c r="AJ386" s="7" t="n">
        <f aca="false">N('KNOWIFY PHASES'!N386)</f>
        <v>0</v>
      </c>
      <c r="AK386" s="7" t="n">
        <f aca="false">N('KNOWIFY PHASES'!R386)</f>
        <v>0</v>
      </c>
      <c r="AL386" s="7" t="n">
        <f aca="false">N('KNOWIFY PHASES'!Q386)</f>
        <v>0</v>
      </c>
      <c r="AM386" s="7" t="n">
        <f aca="false">N('KNOWIFY PHASES'!F386)</f>
        <v>0</v>
      </c>
      <c r="AN386" s="7" t="n">
        <f aca="false">N('KNOWIFY PHASES'!E386)</f>
        <v>0</v>
      </c>
      <c r="AO386" s="7" t="n">
        <f aca="false">MAX(AE386,AF386)</f>
        <v>0</v>
      </c>
      <c r="AP386" s="7" t="n">
        <f aca="false">MAX(AG386,AH386)</f>
        <v>0</v>
      </c>
      <c r="AQ386" s="7" t="n">
        <f aca="false">MAX(AI386,AJ386)</f>
        <v>0</v>
      </c>
      <c r="AR386" s="7" t="n">
        <f aca="false">MAX(AK386,AL386)</f>
        <v>0</v>
      </c>
    </row>
    <row r="387" customFormat="false" ht="15" hidden="false" customHeight="false" outlineLevel="0" collapsed="false">
      <c r="AA387" s="7" t="str">
        <f aca="false">IF('KNOWIFY PHASES'!A387="","",'KNOWIFY PHASES'!A387)</f>
        <v/>
      </c>
      <c r="AB387" s="7" t="str">
        <f aca="false">IF(AA387="","",IF(LEFT(AA387,4)="P - ","P",IF(LEFT(AA387,4)="H - ","H",IF(LEFT(AA387,5)="AC - ","AC",IF(OR(LEFT(AA387,4)="V - ",LEFT(AA387,7)="HVAC - "),"V","Other")))))</f>
        <v/>
      </c>
      <c r="AC387" s="7" t="str">
        <f aca="false">IF(AA387="","",IFERROR(LOOKUP(2,1/(($AZ$5:$AZ$60&lt;&gt;"")*ISNUMBER(SEARCH($AZ$5:$AZ$60,AA387))),$BA$5:$BA$60),IF(AB387="Other","Excluded","Unmapped")))</f>
        <v/>
      </c>
      <c r="AD387" s="7" t="str">
        <f aca="false">IF(AA387="","",IF(AND(AB387&lt;&gt;"Other",OR(AND('KNOWIFY PHASES'!B387="Closed",N('KNOWIFY PHASES'!D387)&gt;=0.5),N('KNOWIFY PHASES'!D387)&gt;=1)),1,0))</f>
        <v/>
      </c>
      <c r="AE387" s="7" t="n">
        <f aca="false">N('KNOWIFY PHASES'!L387)</f>
        <v>0</v>
      </c>
      <c r="AF387" s="7" t="n">
        <f aca="false">N('KNOWIFY PHASES'!K387)</f>
        <v>0</v>
      </c>
      <c r="AG387" s="7" t="n">
        <f aca="false">N('KNOWIFY PHASES'!I387)</f>
        <v>0</v>
      </c>
      <c r="AH387" s="7" t="n">
        <f aca="false">N('KNOWIFY PHASES'!H387)</f>
        <v>0</v>
      </c>
      <c r="AI387" s="7" t="n">
        <f aca="false">N('KNOWIFY PHASES'!O387)</f>
        <v>0</v>
      </c>
      <c r="AJ387" s="7" t="n">
        <f aca="false">N('KNOWIFY PHASES'!N387)</f>
        <v>0</v>
      </c>
      <c r="AK387" s="7" t="n">
        <f aca="false">N('KNOWIFY PHASES'!R387)</f>
        <v>0</v>
      </c>
      <c r="AL387" s="7" t="n">
        <f aca="false">N('KNOWIFY PHASES'!Q387)</f>
        <v>0</v>
      </c>
      <c r="AM387" s="7" t="n">
        <f aca="false">N('KNOWIFY PHASES'!F387)</f>
        <v>0</v>
      </c>
      <c r="AN387" s="7" t="n">
        <f aca="false">N('KNOWIFY PHASES'!E387)</f>
        <v>0</v>
      </c>
      <c r="AO387" s="7" t="n">
        <f aca="false">MAX(AE387,AF387)</f>
        <v>0</v>
      </c>
      <c r="AP387" s="7" t="n">
        <f aca="false">MAX(AG387,AH387)</f>
        <v>0</v>
      </c>
      <c r="AQ387" s="7" t="n">
        <f aca="false">MAX(AI387,AJ387)</f>
        <v>0</v>
      </c>
      <c r="AR387" s="7" t="n">
        <f aca="false">MAX(AK387,AL387)</f>
        <v>0</v>
      </c>
    </row>
    <row r="388" customFormat="false" ht="15" hidden="false" customHeight="false" outlineLevel="0" collapsed="false">
      <c r="AA388" s="7" t="str">
        <f aca="false">IF('KNOWIFY PHASES'!A388="","",'KNOWIFY PHASES'!A388)</f>
        <v/>
      </c>
      <c r="AB388" s="7" t="str">
        <f aca="false">IF(AA388="","",IF(LEFT(AA388,4)="P - ","P",IF(LEFT(AA388,4)="H - ","H",IF(LEFT(AA388,5)="AC - ","AC",IF(OR(LEFT(AA388,4)="V - ",LEFT(AA388,7)="HVAC - "),"V","Other")))))</f>
        <v/>
      </c>
      <c r="AC388" s="7" t="str">
        <f aca="false">IF(AA388="","",IFERROR(LOOKUP(2,1/(($AZ$5:$AZ$60&lt;&gt;"")*ISNUMBER(SEARCH($AZ$5:$AZ$60,AA388))),$BA$5:$BA$60),IF(AB388="Other","Excluded","Unmapped")))</f>
        <v/>
      </c>
      <c r="AD388" s="7" t="str">
        <f aca="false">IF(AA388="","",IF(AND(AB388&lt;&gt;"Other",OR(AND('KNOWIFY PHASES'!B388="Closed",N('KNOWIFY PHASES'!D388)&gt;=0.5),N('KNOWIFY PHASES'!D388)&gt;=1)),1,0))</f>
        <v/>
      </c>
      <c r="AE388" s="7" t="n">
        <f aca="false">N('KNOWIFY PHASES'!L388)</f>
        <v>0</v>
      </c>
      <c r="AF388" s="7" t="n">
        <f aca="false">N('KNOWIFY PHASES'!K388)</f>
        <v>0</v>
      </c>
      <c r="AG388" s="7" t="n">
        <f aca="false">N('KNOWIFY PHASES'!I388)</f>
        <v>0</v>
      </c>
      <c r="AH388" s="7" t="n">
        <f aca="false">N('KNOWIFY PHASES'!H388)</f>
        <v>0</v>
      </c>
      <c r="AI388" s="7" t="n">
        <f aca="false">N('KNOWIFY PHASES'!O388)</f>
        <v>0</v>
      </c>
      <c r="AJ388" s="7" t="n">
        <f aca="false">N('KNOWIFY PHASES'!N388)</f>
        <v>0</v>
      </c>
      <c r="AK388" s="7" t="n">
        <f aca="false">N('KNOWIFY PHASES'!R388)</f>
        <v>0</v>
      </c>
      <c r="AL388" s="7" t="n">
        <f aca="false">N('KNOWIFY PHASES'!Q388)</f>
        <v>0</v>
      </c>
      <c r="AM388" s="7" t="n">
        <f aca="false">N('KNOWIFY PHASES'!F388)</f>
        <v>0</v>
      </c>
      <c r="AN388" s="7" t="n">
        <f aca="false">N('KNOWIFY PHASES'!E388)</f>
        <v>0</v>
      </c>
      <c r="AO388" s="7" t="n">
        <f aca="false">MAX(AE388,AF388)</f>
        <v>0</v>
      </c>
      <c r="AP388" s="7" t="n">
        <f aca="false">MAX(AG388,AH388)</f>
        <v>0</v>
      </c>
      <c r="AQ388" s="7" t="n">
        <f aca="false">MAX(AI388,AJ388)</f>
        <v>0</v>
      </c>
      <c r="AR388" s="7" t="n">
        <f aca="false">MAX(AK388,AL388)</f>
        <v>0</v>
      </c>
    </row>
    <row r="389" customFormat="false" ht="15" hidden="false" customHeight="false" outlineLevel="0" collapsed="false">
      <c r="AA389" s="7" t="str">
        <f aca="false">IF('KNOWIFY PHASES'!A389="","",'KNOWIFY PHASES'!A389)</f>
        <v/>
      </c>
      <c r="AB389" s="7" t="str">
        <f aca="false">IF(AA389="","",IF(LEFT(AA389,4)="P - ","P",IF(LEFT(AA389,4)="H - ","H",IF(LEFT(AA389,5)="AC - ","AC",IF(OR(LEFT(AA389,4)="V - ",LEFT(AA389,7)="HVAC - "),"V","Other")))))</f>
        <v/>
      </c>
      <c r="AC389" s="7" t="str">
        <f aca="false">IF(AA389="","",IFERROR(LOOKUP(2,1/(($AZ$5:$AZ$60&lt;&gt;"")*ISNUMBER(SEARCH($AZ$5:$AZ$60,AA389))),$BA$5:$BA$60),IF(AB389="Other","Excluded","Unmapped")))</f>
        <v/>
      </c>
      <c r="AD389" s="7" t="str">
        <f aca="false">IF(AA389="","",IF(AND(AB389&lt;&gt;"Other",OR(AND('KNOWIFY PHASES'!B389="Closed",N('KNOWIFY PHASES'!D389)&gt;=0.5),N('KNOWIFY PHASES'!D389)&gt;=1)),1,0))</f>
        <v/>
      </c>
      <c r="AE389" s="7" t="n">
        <f aca="false">N('KNOWIFY PHASES'!L389)</f>
        <v>0</v>
      </c>
      <c r="AF389" s="7" t="n">
        <f aca="false">N('KNOWIFY PHASES'!K389)</f>
        <v>0</v>
      </c>
      <c r="AG389" s="7" t="n">
        <f aca="false">N('KNOWIFY PHASES'!I389)</f>
        <v>0</v>
      </c>
      <c r="AH389" s="7" t="n">
        <f aca="false">N('KNOWIFY PHASES'!H389)</f>
        <v>0</v>
      </c>
      <c r="AI389" s="7" t="n">
        <f aca="false">N('KNOWIFY PHASES'!O389)</f>
        <v>0</v>
      </c>
      <c r="AJ389" s="7" t="n">
        <f aca="false">N('KNOWIFY PHASES'!N389)</f>
        <v>0</v>
      </c>
      <c r="AK389" s="7" t="n">
        <f aca="false">N('KNOWIFY PHASES'!R389)</f>
        <v>0</v>
      </c>
      <c r="AL389" s="7" t="n">
        <f aca="false">N('KNOWIFY PHASES'!Q389)</f>
        <v>0</v>
      </c>
      <c r="AM389" s="7" t="n">
        <f aca="false">N('KNOWIFY PHASES'!F389)</f>
        <v>0</v>
      </c>
      <c r="AN389" s="7" t="n">
        <f aca="false">N('KNOWIFY PHASES'!E389)</f>
        <v>0</v>
      </c>
      <c r="AO389" s="7" t="n">
        <f aca="false">MAX(AE389,AF389)</f>
        <v>0</v>
      </c>
      <c r="AP389" s="7" t="n">
        <f aca="false">MAX(AG389,AH389)</f>
        <v>0</v>
      </c>
      <c r="AQ389" s="7" t="n">
        <f aca="false">MAX(AI389,AJ389)</f>
        <v>0</v>
      </c>
      <c r="AR389" s="7" t="n">
        <f aca="false">MAX(AK389,AL389)</f>
        <v>0</v>
      </c>
    </row>
    <row r="390" customFormat="false" ht="15" hidden="false" customHeight="false" outlineLevel="0" collapsed="false">
      <c r="AA390" s="7" t="str">
        <f aca="false">IF('KNOWIFY PHASES'!A390="","",'KNOWIFY PHASES'!A390)</f>
        <v/>
      </c>
      <c r="AB390" s="7" t="str">
        <f aca="false">IF(AA390="","",IF(LEFT(AA390,4)="P - ","P",IF(LEFT(AA390,4)="H - ","H",IF(LEFT(AA390,5)="AC - ","AC",IF(OR(LEFT(AA390,4)="V - ",LEFT(AA390,7)="HVAC - "),"V","Other")))))</f>
        <v/>
      </c>
      <c r="AC390" s="7" t="str">
        <f aca="false">IF(AA390="","",IFERROR(LOOKUP(2,1/(($AZ$5:$AZ$60&lt;&gt;"")*ISNUMBER(SEARCH($AZ$5:$AZ$60,AA390))),$BA$5:$BA$60),IF(AB390="Other","Excluded","Unmapped")))</f>
        <v/>
      </c>
      <c r="AD390" s="7" t="str">
        <f aca="false">IF(AA390="","",IF(AND(AB390&lt;&gt;"Other",OR(AND('KNOWIFY PHASES'!B390="Closed",N('KNOWIFY PHASES'!D390)&gt;=0.5),N('KNOWIFY PHASES'!D390)&gt;=1)),1,0))</f>
        <v/>
      </c>
      <c r="AE390" s="7" t="n">
        <f aca="false">N('KNOWIFY PHASES'!L390)</f>
        <v>0</v>
      </c>
      <c r="AF390" s="7" t="n">
        <f aca="false">N('KNOWIFY PHASES'!K390)</f>
        <v>0</v>
      </c>
      <c r="AG390" s="7" t="n">
        <f aca="false">N('KNOWIFY PHASES'!I390)</f>
        <v>0</v>
      </c>
      <c r="AH390" s="7" t="n">
        <f aca="false">N('KNOWIFY PHASES'!H390)</f>
        <v>0</v>
      </c>
      <c r="AI390" s="7" t="n">
        <f aca="false">N('KNOWIFY PHASES'!O390)</f>
        <v>0</v>
      </c>
      <c r="AJ390" s="7" t="n">
        <f aca="false">N('KNOWIFY PHASES'!N390)</f>
        <v>0</v>
      </c>
      <c r="AK390" s="7" t="n">
        <f aca="false">N('KNOWIFY PHASES'!R390)</f>
        <v>0</v>
      </c>
      <c r="AL390" s="7" t="n">
        <f aca="false">N('KNOWIFY PHASES'!Q390)</f>
        <v>0</v>
      </c>
      <c r="AM390" s="7" t="n">
        <f aca="false">N('KNOWIFY PHASES'!F390)</f>
        <v>0</v>
      </c>
      <c r="AN390" s="7" t="n">
        <f aca="false">N('KNOWIFY PHASES'!E390)</f>
        <v>0</v>
      </c>
      <c r="AO390" s="7" t="n">
        <f aca="false">MAX(AE390,AF390)</f>
        <v>0</v>
      </c>
      <c r="AP390" s="7" t="n">
        <f aca="false">MAX(AG390,AH390)</f>
        <v>0</v>
      </c>
      <c r="AQ390" s="7" t="n">
        <f aca="false">MAX(AI390,AJ390)</f>
        <v>0</v>
      </c>
      <c r="AR390" s="7" t="n">
        <f aca="false">MAX(AK390,AL390)</f>
        <v>0</v>
      </c>
    </row>
    <row r="391" customFormat="false" ht="15" hidden="false" customHeight="false" outlineLevel="0" collapsed="false">
      <c r="AA391" s="7" t="str">
        <f aca="false">IF('KNOWIFY PHASES'!A391="","",'KNOWIFY PHASES'!A391)</f>
        <v/>
      </c>
      <c r="AB391" s="7" t="str">
        <f aca="false">IF(AA391="","",IF(LEFT(AA391,4)="P - ","P",IF(LEFT(AA391,4)="H - ","H",IF(LEFT(AA391,5)="AC - ","AC",IF(OR(LEFT(AA391,4)="V - ",LEFT(AA391,7)="HVAC - "),"V","Other")))))</f>
        <v/>
      </c>
      <c r="AC391" s="7" t="str">
        <f aca="false">IF(AA391="","",IFERROR(LOOKUP(2,1/(($AZ$5:$AZ$60&lt;&gt;"")*ISNUMBER(SEARCH($AZ$5:$AZ$60,AA391))),$BA$5:$BA$60),IF(AB391="Other","Excluded","Unmapped")))</f>
        <v/>
      </c>
      <c r="AD391" s="7" t="str">
        <f aca="false">IF(AA391="","",IF(AND(AB391&lt;&gt;"Other",OR(AND('KNOWIFY PHASES'!B391="Closed",N('KNOWIFY PHASES'!D391)&gt;=0.5),N('KNOWIFY PHASES'!D391)&gt;=1)),1,0))</f>
        <v/>
      </c>
      <c r="AE391" s="7" t="n">
        <f aca="false">N('KNOWIFY PHASES'!L391)</f>
        <v>0</v>
      </c>
      <c r="AF391" s="7" t="n">
        <f aca="false">N('KNOWIFY PHASES'!K391)</f>
        <v>0</v>
      </c>
      <c r="AG391" s="7" t="n">
        <f aca="false">N('KNOWIFY PHASES'!I391)</f>
        <v>0</v>
      </c>
      <c r="AH391" s="7" t="n">
        <f aca="false">N('KNOWIFY PHASES'!H391)</f>
        <v>0</v>
      </c>
      <c r="AI391" s="7" t="n">
        <f aca="false">N('KNOWIFY PHASES'!O391)</f>
        <v>0</v>
      </c>
      <c r="AJ391" s="7" t="n">
        <f aca="false">N('KNOWIFY PHASES'!N391)</f>
        <v>0</v>
      </c>
      <c r="AK391" s="7" t="n">
        <f aca="false">N('KNOWIFY PHASES'!R391)</f>
        <v>0</v>
      </c>
      <c r="AL391" s="7" t="n">
        <f aca="false">N('KNOWIFY PHASES'!Q391)</f>
        <v>0</v>
      </c>
      <c r="AM391" s="7" t="n">
        <f aca="false">N('KNOWIFY PHASES'!F391)</f>
        <v>0</v>
      </c>
      <c r="AN391" s="7" t="n">
        <f aca="false">N('KNOWIFY PHASES'!E391)</f>
        <v>0</v>
      </c>
      <c r="AO391" s="7" t="n">
        <f aca="false">MAX(AE391,AF391)</f>
        <v>0</v>
      </c>
      <c r="AP391" s="7" t="n">
        <f aca="false">MAX(AG391,AH391)</f>
        <v>0</v>
      </c>
      <c r="AQ391" s="7" t="n">
        <f aca="false">MAX(AI391,AJ391)</f>
        <v>0</v>
      </c>
      <c r="AR391" s="7" t="n">
        <f aca="false">MAX(AK391,AL391)</f>
        <v>0</v>
      </c>
    </row>
    <row r="392" customFormat="false" ht="15" hidden="false" customHeight="false" outlineLevel="0" collapsed="false">
      <c r="AA392" s="7" t="str">
        <f aca="false">IF('KNOWIFY PHASES'!A392="","",'KNOWIFY PHASES'!A392)</f>
        <v/>
      </c>
      <c r="AB392" s="7" t="str">
        <f aca="false">IF(AA392="","",IF(LEFT(AA392,4)="P - ","P",IF(LEFT(AA392,4)="H - ","H",IF(LEFT(AA392,5)="AC - ","AC",IF(OR(LEFT(AA392,4)="V - ",LEFT(AA392,7)="HVAC - "),"V","Other")))))</f>
        <v/>
      </c>
      <c r="AC392" s="7" t="str">
        <f aca="false">IF(AA392="","",IFERROR(LOOKUP(2,1/(($AZ$5:$AZ$60&lt;&gt;"")*ISNUMBER(SEARCH($AZ$5:$AZ$60,AA392))),$BA$5:$BA$60),IF(AB392="Other","Excluded","Unmapped")))</f>
        <v/>
      </c>
      <c r="AD392" s="7" t="str">
        <f aca="false">IF(AA392="","",IF(AND(AB392&lt;&gt;"Other",OR(AND('KNOWIFY PHASES'!B392="Closed",N('KNOWIFY PHASES'!D392)&gt;=0.5),N('KNOWIFY PHASES'!D392)&gt;=1)),1,0))</f>
        <v/>
      </c>
      <c r="AE392" s="7" t="n">
        <f aca="false">N('KNOWIFY PHASES'!L392)</f>
        <v>0</v>
      </c>
      <c r="AF392" s="7" t="n">
        <f aca="false">N('KNOWIFY PHASES'!K392)</f>
        <v>0</v>
      </c>
      <c r="AG392" s="7" t="n">
        <f aca="false">N('KNOWIFY PHASES'!I392)</f>
        <v>0</v>
      </c>
      <c r="AH392" s="7" t="n">
        <f aca="false">N('KNOWIFY PHASES'!H392)</f>
        <v>0</v>
      </c>
      <c r="AI392" s="7" t="n">
        <f aca="false">N('KNOWIFY PHASES'!O392)</f>
        <v>0</v>
      </c>
      <c r="AJ392" s="7" t="n">
        <f aca="false">N('KNOWIFY PHASES'!N392)</f>
        <v>0</v>
      </c>
      <c r="AK392" s="7" t="n">
        <f aca="false">N('KNOWIFY PHASES'!R392)</f>
        <v>0</v>
      </c>
      <c r="AL392" s="7" t="n">
        <f aca="false">N('KNOWIFY PHASES'!Q392)</f>
        <v>0</v>
      </c>
      <c r="AM392" s="7" t="n">
        <f aca="false">N('KNOWIFY PHASES'!F392)</f>
        <v>0</v>
      </c>
      <c r="AN392" s="7" t="n">
        <f aca="false">N('KNOWIFY PHASES'!E392)</f>
        <v>0</v>
      </c>
      <c r="AO392" s="7" t="n">
        <f aca="false">MAX(AE392,AF392)</f>
        <v>0</v>
      </c>
      <c r="AP392" s="7" t="n">
        <f aca="false">MAX(AG392,AH392)</f>
        <v>0</v>
      </c>
      <c r="AQ392" s="7" t="n">
        <f aca="false">MAX(AI392,AJ392)</f>
        <v>0</v>
      </c>
      <c r="AR392" s="7" t="n">
        <f aca="false">MAX(AK392,AL392)</f>
        <v>0</v>
      </c>
    </row>
    <row r="393" customFormat="false" ht="15" hidden="false" customHeight="false" outlineLevel="0" collapsed="false">
      <c r="AA393" s="7" t="str">
        <f aca="false">IF('KNOWIFY PHASES'!A393="","",'KNOWIFY PHASES'!A393)</f>
        <v/>
      </c>
      <c r="AB393" s="7" t="str">
        <f aca="false">IF(AA393="","",IF(LEFT(AA393,4)="P - ","P",IF(LEFT(AA393,4)="H - ","H",IF(LEFT(AA393,5)="AC - ","AC",IF(OR(LEFT(AA393,4)="V - ",LEFT(AA393,7)="HVAC - "),"V","Other")))))</f>
        <v/>
      </c>
      <c r="AC393" s="7" t="str">
        <f aca="false">IF(AA393="","",IFERROR(LOOKUP(2,1/(($AZ$5:$AZ$60&lt;&gt;"")*ISNUMBER(SEARCH($AZ$5:$AZ$60,AA393))),$BA$5:$BA$60),IF(AB393="Other","Excluded","Unmapped")))</f>
        <v/>
      </c>
      <c r="AD393" s="7" t="str">
        <f aca="false">IF(AA393="","",IF(AND(AB393&lt;&gt;"Other",OR(AND('KNOWIFY PHASES'!B393="Closed",N('KNOWIFY PHASES'!D393)&gt;=0.5),N('KNOWIFY PHASES'!D393)&gt;=1)),1,0))</f>
        <v/>
      </c>
      <c r="AE393" s="7" t="n">
        <f aca="false">N('KNOWIFY PHASES'!L393)</f>
        <v>0</v>
      </c>
      <c r="AF393" s="7" t="n">
        <f aca="false">N('KNOWIFY PHASES'!K393)</f>
        <v>0</v>
      </c>
      <c r="AG393" s="7" t="n">
        <f aca="false">N('KNOWIFY PHASES'!I393)</f>
        <v>0</v>
      </c>
      <c r="AH393" s="7" t="n">
        <f aca="false">N('KNOWIFY PHASES'!H393)</f>
        <v>0</v>
      </c>
      <c r="AI393" s="7" t="n">
        <f aca="false">N('KNOWIFY PHASES'!O393)</f>
        <v>0</v>
      </c>
      <c r="AJ393" s="7" t="n">
        <f aca="false">N('KNOWIFY PHASES'!N393)</f>
        <v>0</v>
      </c>
      <c r="AK393" s="7" t="n">
        <f aca="false">N('KNOWIFY PHASES'!R393)</f>
        <v>0</v>
      </c>
      <c r="AL393" s="7" t="n">
        <f aca="false">N('KNOWIFY PHASES'!Q393)</f>
        <v>0</v>
      </c>
      <c r="AM393" s="7" t="n">
        <f aca="false">N('KNOWIFY PHASES'!F393)</f>
        <v>0</v>
      </c>
      <c r="AN393" s="7" t="n">
        <f aca="false">N('KNOWIFY PHASES'!E393)</f>
        <v>0</v>
      </c>
      <c r="AO393" s="7" t="n">
        <f aca="false">MAX(AE393,AF393)</f>
        <v>0</v>
      </c>
      <c r="AP393" s="7" t="n">
        <f aca="false">MAX(AG393,AH393)</f>
        <v>0</v>
      </c>
      <c r="AQ393" s="7" t="n">
        <f aca="false">MAX(AI393,AJ393)</f>
        <v>0</v>
      </c>
      <c r="AR393" s="7" t="n">
        <f aca="false">MAX(AK393,AL393)</f>
        <v>0</v>
      </c>
    </row>
    <row r="394" customFormat="false" ht="15" hidden="false" customHeight="false" outlineLevel="0" collapsed="false">
      <c r="AA394" s="7" t="str">
        <f aca="false">IF('KNOWIFY PHASES'!A394="","",'KNOWIFY PHASES'!A394)</f>
        <v/>
      </c>
      <c r="AB394" s="7" t="str">
        <f aca="false">IF(AA394="","",IF(LEFT(AA394,4)="P - ","P",IF(LEFT(AA394,4)="H - ","H",IF(LEFT(AA394,5)="AC - ","AC",IF(OR(LEFT(AA394,4)="V - ",LEFT(AA394,7)="HVAC - "),"V","Other")))))</f>
        <v/>
      </c>
      <c r="AC394" s="7" t="str">
        <f aca="false">IF(AA394="","",IFERROR(LOOKUP(2,1/(($AZ$5:$AZ$60&lt;&gt;"")*ISNUMBER(SEARCH($AZ$5:$AZ$60,AA394))),$BA$5:$BA$60),IF(AB394="Other","Excluded","Unmapped")))</f>
        <v/>
      </c>
      <c r="AD394" s="7" t="str">
        <f aca="false">IF(AA394="","",IF(AND(AB394&lt;&gt;"Other",OR(AND('KNOWIFY PHASES'!B394="Closed",N('KNOWIFY PHASES'!D394)&gt;=0.5),N('KNOWIFY PHASES'!D394)&gt;=1)),1,0))</f>
        <v/>
      </c>
      <c r="AE394" s="7" t="n">
        <f aca="false">N('KNOWIFY PHASES'!L394)</f>
        <v>0</v>
      </c>
      <c r="AF394" s="7" t="n">
        <f aca="false">N('KNOWIFY PHASES'!K394)</f>
        <v>0</v>
      </c>
      <c r="AG394" s="7" t="n">
        <f aca="false">N('KNOWIFY PHASES'!I394)</f>
        <v>0</v>
      </c>
      <c r="AH394" s="7" t="n">
        <f aca="false">N('KNOWIFY PHASES'!H394)</f>
        <v>0</v>
      </c>
      <c r="AI394" s="7" t="n">
        <f aca="false">N('KNOWIFY PHASES'!O394)</f>
        <v>0</v>
      </c>
      <c r="AJ394" s="7" t="n">
        <f aca="false">N('KNOWIFY PHASES'!N394)</f>
        <v>0</v>
      </c>
      <c r="AK394" s="7" t="n">
        <f aca="false">N('KNOWIFY PHASES'!R394)</f>
        <v>0</v>
      </c>
      <c r="AL394" s="7" t="n">
        <f aca="false">N('KNOWIFY PHASES'!Q394)</f>
        <v>0</v>
      </c>
      <c r="AM394" s="7" t="n">
        <f aca="false">N('KNOWIFY PHASES'!F394)</f>
        <v>0</v>
      </c>
      <c r="AN394" s="7" t="n">
        <f aca="false">N('KNOWIFY PHASES'!E394)</f>
        <v>0</v>
      </c>
      <c r="AO394" s="7" t="n">
        <f aca="false">MAX(AE394,AF394)</f>
        <v>0</v>
      </c>
      <c r="AP394" s="7" t="n">
        <f aca="false">MAX(AG394,AH394)</f>
        <v>0</v>
      </c>
      <c r="AQ394" s="7" t="n">
        <f aca="false">MAX(AI394,AJ394)</f>
        <v>0</v>
      </c>
      <c r="AR394" s="7" t="n">
        <f aca="false">MAX(AK394,AL394)</f>
        <v>0</v>
      </c>
    </row>
    <row r="395" customFormat="false" ht="15" hidden="false" customHeight="false" outlineLevel="0" collapsed="false">
      <c r="AA395" s="7" t="str">
        <f aca="false">IF('KNOWIFY PHASES'!A395="","",'KNOWIFY PHASES'!A395)</f>
        <v/>
      </c>
      <c r="AB395" s="7" t="str">
        <f aca="false">IF(AA395="","",IF(LEFT(AA395,4)="P - ","P",IF(LEFT(AA395,4)="H - ","H",IF(LEFT(AA395,5)="AC - ","AC",IF(OR(LEFT(AA395,4)="V - ",LEFT(AA395,7)="HVAC - "),"V","Other")))))</f>
        <v/>
      </c>
      <c r="AC395" s="7" t="str">
        <f aca="false">IF(AA395="","",IFERROR(LOOKUP(2,1/(($AZ$5:$AZ$60&lt;&gt;"")*ISNUMBER(SEARCH($AZ$5:$AZ$60,AA395))),$BA$5:$BA$60),IF(AB395="Other","Excluded","Unmapped")))</f>
        <v/>
      </c>
      <c r="AD395" s="7" t="str">
        <f aca="false">IF(AA395="","",IF(AND(AB395&lt;&gt;"Other",OR(AND('KNOWIFY PHASES'!B395="Closed",N('KNOWIFY PHASES'!D395)&gt;=0.5),N('KNOWIFY PHASES'!D395)&gt;=1)),1,0))</f>
        <v/>
      </c>
      <c r="AE395" s="7" t="n">
        <f aca="false">N('KNOWIFY PHASES'!L395)</f>
        <v>0</v>
      </c>
      <c r="AF395" s="7" t="n">
        <f aca="false">N('KNOWIFY PHASES'!K395)</f>
        <v>0</v>
      </c>
      <c r="AG395" s="7" t="n">
        <f aca="false">N('KNOWIFY PHASES'!I395)</f>
        <v>0</v>
      </c>
      <c r="AH395" s="7" t="n">
        <f aca="false">N('KNOWIFY PHASES'!H395)</f>
        <v>0</v>
      </c>
      <c r="AI395" s="7" t="n">
        <f aca="false">N('KNOWIFY PHASES'!O395)</f>
        <v>0</v>
      </c>
      <c r="AJ395" s="7" t="n">
        <f aca="false">N('KNOWIFY PHASES'!N395)</f>
        <v>0</v>
      </c>
      <c r="AK395" s="7" t="n">
        <f aca="false">N('KNOWIFY PHASES'!R395)</f>
        <v>0</v>
      </c>
      <c r="AL395" s="7" t="n">
        <f aca="false">N('KNOWIFY PHASES'!Q395)</f>
        <v>0</v>
      </c>
      <c r="AM395" s="7" t="n">
        <f aca="false">N('KNOWIFY PHASES'!F395)</f>
        <v>0</v>
      </c>
      <c r="AN395" s="7" t="n">
        <f aca="false">N('KNOWIFY PHASES'!E395)</f>
        <v>0</v>
      </c>
      <c r="AO395" s="7" t="n">
        <f aca="false">MAX(AE395,AF395)</f>
        <v>0</v>
      </c>
      <c r="AP395" s="7" t="n">
        <f aca="false">MAX(AG395,AH395)</f>
        <v>0</v>
      </c>
      <c r="AQ395" s="7" t="n">
        <f aca="false">MAX(AI395,AJ395)</f>
        <v>0</v>
      </c>
      <c r="AR395" s="7" t="n">
        <f aca="false">MAX(AK395,AL395)</f>
        <v>0</v>
      </c>
    </row>
    <row r="396" customFormat="false" ht="15" hidden="false" customHeight="false" outlineLevel="0" collapsed="false">
      <c r="AA396" s="7" t="str">
        <f aca="false">IF('KNOWIFY PHASES'!A396="","",'KNOWIFY PHASES'!A396)</f>
        <v/>
      </c>
      <c r="AB396" s="7" t="str">
        <f aca="false">IF(AA396="","",IF(LEFT(AA396,4)="P - ","P",IF(LEFT(AA396,4)="H - ","H",IF(LEFT(AA396,5)="AC - ","AC",IF(OR(LEFT(AA396,4)="V - ",LEFT(AA396,7)="HVAC - "),"V","Other")))))</f>
        <v/>
      </c>
      <c r="AC396" s="7" t="str">
        <f aca="false">IF(AA396="","",IFERROR(LOOKUP(2,1/(($AZ$5:$AZ$60&lt;&gt;"")*ISNUMBER(SEARCH($AZ$5:$AZ$60,AA396))),$BA$5:$BA$60),IF(AB396="Other","Excluded","Unmapped")))</f>
        <v/>
      </c>
      <c r="AD396" s="7" t="str">
        <f aca="false">IF(AA396="","",IF(AND(AB396&lt;&gt;"Other",OR(AND('KNOWIFY PHASES'!B396="Closed",N('KNOWIFY PHASES'!D396)&gt;=0.5),N('KNOWIFY PHASES'!D396)&gt;=1)),1,0))</f>
        <v/>
      </c>
      <c r="AE396" s="7" t="n">
        <f aca="false">N('KNOWIFY PHASES'!L396)</f>
        <v>0</v>
      </c>
      <c r="AF396" s="7" t="n">
        <f aca="false">N('KNOWIFY PHASES'!K396)</f>
        <v>0</v>
      </c>
      <c r="AG396" s="7" t="n">
        <f aca="false">N('KNOWIFY PHASES'!I396)</f>
        <v>0</v>
      </c>
      <c r="AH396" s="7" t="n">
        <f aca="false">N('KNOWIFY PHASES'!H396)</f>
        <v>0</v>
      </c>
      <c r="AI396" s="7" t="n">
        <f aca="false">N('KNOWIFY PHASES'!O396)</f>
        <v>0</v>
      </c>
      <c r="AJ396" s="7" t="n">
        <f aca="false">N('KNOWIFY PHASES'!N396)</f>
        <v>0</v>
      </c>
      <c r="AK396" s="7" t="n">
        <f aca="false">N('KNOWIFY PHASES'!R396)</f>
        <v>0</v>
      </c>
      <c r="AL396" s="7" t="n">
        <f aca="false">N('KNOWIFY PHASES'!Q396)</f>
        <v>0</v>
      </c>
      <c r="AM396" s="7" t="n">
        <f aca="false">N('KNOWIFY PHASES'!F396)</f>
        <v>0</v>
      </c>
      <c r="AN396" s="7" t="n">
        <f aca="false">N('KNOWIFY PHASES'!E396)</f>
        <v>0</v>
      </c>
      <c r="AO396" s="7" t="n">
        <f aca="false">MAX(AE396,AF396)</f>
        <v>0</v>
      </c>
      <c r="AP396" s="7" t="n">
        <f aca="false">MAX(AG396,AH396)</f>
        <v>0</v>
      </c>
      <c r="AQ396" s="7" t="n">
        <f aca="false">MAX(AI396,AJ396)</f>
        <v>0</v>
      </c>
      <c r="AR396" s="7" t="n">
        <f aca="false">MAX(AK396,AL396)</f>
        <v>0</v>
      </c>
    </row>
    <row r="397" customFormat="false" ht="15" hidden="false" customHeight="false" outlineLevel="0" collapsed="false">
      <c r="AA397" s="7" t="str">
        <f aca="false">IF('KNOWIFY PHASES'!A397="","",'KNOWIFY PHASES'!A397)</f>
        <v/>
      </c>
      <c r="AB397" s="7" t="str">
        <f aca="false">IF(AA397="","",IF(LEFT(AA397,4)="P - ","P",IF(LEFT(AA397,4)="H - ","H",IF(LEFT(AA397,5)="AC - ","AC",IF(OR(LEFT(AA397,4)="V - ",LEFT(AA397,7)="HVAC - "),"V","Other")))))</f>
        <v/>
      </c>
      <c r="AC397" s="7" t="str">
        <f aca="false">IF(AA397="","",IFERROR(LOOKUP(2,1/(($AZ$5:$AZ$60&lt;&gt;"")*ISNUMBER(SEARCH($AZ$5:$AZ$60,AA397))),$BA$5:$BA$60),IF(AB397="Other","Excluded","Unmapped")))</f>
        <v/>
      </c>
      <c r="AD397" s="7" t="str">
        <f aca="false">IF(AA397="","",IF(AND(AB397&lt;&gt;"Other",OR(AND('KNOWIFY PHASES'!B397="Closed",N('KNOWIFY PHASES'!D397)&gt;=0.5),N('KNOWIFY PHASES'!D397)&gt;=1)),1,0))</f>
        <v/>
      </c>
      <c r="AE397" s="7" t="n">
        <f aca="false">N('KNOWIFY PHASES'!L397)</f>
        <v>0</v>
      </c>
      <c r="AF397" s="7" t="n">
        <f aca="false">N('KNOWIFY PHASES'!K397)</f>
        <v>0</v>
      </c>
      <c r="AG397" s="7" t="n">
        <f aca="false">N('KNOWIFY PHASES'!I397)</f>
        <v>0</v>
      </c>
      <c r="AH397" s="7" t="n">
        <f aca="false">N('KNOWIFY PHASES'!H397)</f>
        <v>0</v>
      </c>
      <c r="AI397" s="7" t="n">
        <f aca="false">N('KNOWIFY PHASES'!O397)</f>
        <v>0</v>
      </c>
      <c r="AJ397" s="7" t="n">
        <f aca="false">N('KNOWIFY PHASES'!N397)</f>
        <v>0</v>
      </c>
      <c r="AK397" s="7" t="n">
        <f aca="false">N('KNOWIFY PHASES'!R397)</f>
        <v>0</v>
      </c>
      <c r="AL397" s="7" t="n">
        <f aca="false">N('KNOWIFY PHASES'!Q397)</f>
        <v>0</v>
      </c>
      <c r="AM397" s="7" t="n">
        <f aca="false">N('KNOWIFY PHASES'!F397)</f>
        <v>0</v>
      </c>
      <c r="AN397" s="7" t="n">
        <f aca="false">N('KNOWIFY PHASES'!E397)</f>
        <v>0</v>
      </c>
      <c r="AO397" s="7" t="n">
        <f aca="false">MAX(AE397,AF397)</f>
        <v>0</v>
      </c>
      <c r="AP397" s="7" t="n">
        <f aca="false">MAX(AG397,AH397)</f>
        <v>0</v>
      </c>
      <c r="AQ397" s="7" t="n">
        <f aca="false">MAX(AI397,AJ397)</f>
        <v>0</v>
      </c>
      <c r="AR397" s="7" t="n">
        <f aca="false">MAX(AK397,AL397)</f>
        <v>0</v>
      </c>
    </row>
    <row r="398" customFormat="false" ht="15" hidden="false" customHeight="false" outlineLevel="0" collapsed="false">
      <c r="AA398" s="7" t="str">
        <f aca="false">IF('KNOWIFY PHASES'!A398="","",'KNOWIFY PHASES'!A398)</f>
        <v/>
      </c>
      <c r="AB398" s="7" t="str">
        <f aca="false">IF(AA398="","",IF(LEFT(AA398,4)="P - ","P",IF(LEFT(AA398,4)="H - ","H",IF(LEFT(AA398,5)="AC - ","AC",IF(OR(LEFT(AA398,4)="V - ",LEFT(AA398,7)="HVAC - "),"V","Other")))))</f>
        <v/>
      </c>
      <c r="AC398" s="7" t="str">
        <f aca="false">IF(AA398="","",IFERROR(LOOKUP(2,1/(($AZ$5:$AZ$60&lt;&gt;"")*ISNUMBER(SEARCH($AZ$5:$AZ$60,AA398))),$BA$5:$BA$60),IF(AB398="Other","Excluded","Unmapped")))</f>
        <v/>
      </c>
      <c r="AD398" s="7" t="str">
        <f aca="false">IF(AA398="","",IF(AND(AB398&lt;&gt;"Other",OR(AND('KNOWIFY PHASES'!B398="Closed",N('KNOWIFY PHASES'!D398)&gt;=0.5),N('KNOWIFY PHASES'!D398)&gt;=1)),1,0))</f>
        <v/>
      </c>
      <c r="AE398" s="7" t="n">
        <f aca="false">N('KNOWIFY PHASES'!L398)</f>
        <v>0</v>
      </c>
      <c r="AF398" s="7" t="n">
        <f aca="false">N('KNOWIFY PHASES'!K398)</f>
        <v>0</v>
      </c>
      <c r="AG398" s="7" t="n">
        <f aca="false">N('KNOWIFY PHASES'!I398)</f>
        <v>0</v>
      </c>
      <c r="AH398" s="7" t="n">
        <f aca="false">N('KNOWIFY PHASES'!H398)</f>
        <v>0</v>
      </c>
      <c r="AI398" s="7" t="n">
        <f aca="false">N('KNOWIFY PHASES'!O398)</f>
        <v>0</v>
      </c>
      <c r="AJ398" s="7" t="n">
        <f aca="false">N('KNOWIFY PHASES'!N398)</f>
        <v>0</v>
      </c>
      <c r="AK398" s="7" t="n">
        <f aca="false">N('KNOWIFY PHASES'!R398)</f>
        <v>0</v>
      </c>
      <c r="AL398" s="7" t="n">
        <f aca="false">N('KNOWIFY PHASES'!Q398)</f>
        <v>0</v>
      </c>
      <c r="AM398" s="7" t="n">
        <f aca="false">N('KNOWIFY PHASES'!F398)</f>
        <v>0</v>
      </c>
      <c r="AN398" s="7" t="n">
        <f aca="false">N('KNOWIFY PHASES'!E398)</f>
        <v>0</v>
      </c>
      <c r="AO398" s="7" t="n">
        <f aca="false">MAX(AE398,AF398)</f>
        <v>0</v>
      </c>
      <c r="AP398" s="7" t="n">
        <f aca="false">MAX(AG398,AH398)</f>
        <v>0</v>
      </c>
      <c r="AQ398" s="7" t="n">
        <f aca="false">MAX(AI398,AJ398)</f>
        <v>0</v>
      </c>
      <c r="AR398" s="7" t="n">
        <f aca="false">MAX(AK398,AL398)</f>
        <v>0</v>
      </c>
    </row>
    <row r="399" customFormat="false" ht="15" hidden="false" customHeight="false" outlineLevel="0" collapsed="false">
      <c r="AA399" s="7" t="str">
        <f aca="false">IF('KNOWIFY PHASES'!A399="","",'KNOWIFY PHASES'!A399)</f>
        <v/>
      </c>
      <c r="AB399" s="7" t="str">
        <f aca="false">IF(AA399="","",IF(LEFT(AA399,4)="P - ","P",IF(LEFT(AA399,4)="H - ","H",IF(LEFT(AA399,5)="AC - ","AC",IF(OR(LEFT(AA399,4)="V - ",LEFT(AA399,7)="HVAC - "),"V","Other")))))</f>
        <v/>
      </c>
      <c r="AC399" s="7" t="str">
        <f aca="false">IF(AA399="","",IFERROR(LOOKUP(2,1/(($AZ$5:$AZ$60&lt;&gt;"")*ISNUMBER(SEARCH($AZ$5:$AZ$60,AA399))),$BA$5:$BA$60),IF(AB399="Other","Excluded","Unmapped")))</f>
        <v/>
      </c>
      <c r="AD399" s="7" t="str">
        <f aca="false">IF(AA399="","",IF(AND(AB399&lt;&gt;"Other",OR(AND('KNOWIFY PHASES'!B399="Closed",N('KNOWIFY PHASES'!D399)&gt;=0.5),N('KNOWIFY PHASES'!D399)&gt;=1)),1,0))</f>
        <v/>
      </c>
      <c r="AE399" s="7" t="n">
        <f aca="false">N('KNOWIFY PHASES'!L399)</f>
        <v>0</v>
      </c>
      <c r="AF399" s="7" t="n">
        <f aca="false">N('KNOWIFY PHASES'!K399)</f>
        <v>0</v>
      </c>
      <c r="AG399" s="7" t="n">
        <f aca="false">N('KNOWIFY PHASES'!I399)</f>
        <v>0</v>
      </c>
      <c r="AH399" s="7" t="n">
        <f aca="false">N('KNOWIFY PHASES'!H399)</f>
        <v>0</v>
      </c>
      <c r="AI399" s="7" t="n">
        <f aca="false">N('KNOWIFY PHASES'!O399)</f>
        <v>0</v>
      </c>
      <c r="AJ399" s="7" t="n">
        <f aca="false">N('KNOWIFY PHASES'!N399)</f>
        <v>0</v>
      </c>
      <c r="AK399" s="7" t="n">
        <f aca="false">N('KNOWIFY PHASES'!R399)</f>
        <v>0</v>
      </c>
      <c r="AL399" s="7" t="n">
        <f aca="false">N('KNOWIFY PHASES'!Q399)</f>
        <v>0</v>
      </c>
      <c r="AM399" s="7" t="n">
        <f aca="false">N('KNOWIFY PHASES'!F399)</f>
        <v>0</v>
      </c>
      <c r="AN399" s="7" t="n">
        <f aca="false">N('KNOWIFY PHASES'!E399)</f>
        <v>0</v>
      </c>
      <c r="AO399" s="7" t="n">
        <f aca="false">MAX(AE399,AF399)</f>
        <v>0</v>
      </c>
      <c r="AP399" s="7" t="n">
        <f aca="false">MAX(AG399,AH399)</f>
        <v>0</v>
      </c>
      <c r="AQ399" s="7" t="n">
        <f aca="false">MAX(AI399,AJ399)</f>
        <v>0</v>
      </c>
      <c r="AR399" s="7" t="n">
        <f aca="false">MAX(AK399,AL399)</f>
        <v>0</v>
      </c>
    </row>
    <row r="400" customFormat="false" ht="15" hidden="false" customHeight="false" outlineLevel="0" collapsed="false">
      <c r="AA400" s="7" t="str">
        <f aca="false">IF('KNOWIFY PHASES'!A400="","",'KNOWIFY PHASES'!A400)</f>
        <v/>
      </c>
      <c r="AB400" s="7" t="str">
        <f aca="false">IF(AA400="","",IF(LEFT(AA400,4)="P - ","P",IF(LEFT(AA400,4)="H - ","H",IF(LEFT(AA400,5)="AC - ","AC",IF(OR(LEFT(AA400,4)="V - ",LEFT(AA400,7)="HVAC - "),"V","Other")))))</f>
        <v/>
      </c>
      <c r="AC400" s="7" t="str">
        <f aca="false">IF(AA400="","",IFERROR(LOOKUP(2,1/(($AZ$5:$AZ$60&lt;&gt;"")*ISNUMBER(SEARCH($AZ$5:$AZ$60,AA400))),$BA$5:$BA$60),IF(AB400="Other","Excluded","Unmapped")))</f>
        <v/>
      </c>
      <c r="AD400" s="7" t="str">
        <f aca="false">IF(AA400="","",IF(AND(AB400&lt;&gt;"Other",OR(AND('KNOWIFY PHASES'!B400="Closed",N('KNOWIFY PHASES'!D400)&gt;=0.5),N('KNOWIFY PHASES'!D400)&gt;=1)),1,0))</f>
        <v/>
      </c>
      <c r="AE400" s="7" t="n">
        <f aca="false">N('KNOWIFY PHASES'!L400)</f>
        <v>0</v>
      </c>
      <c r="AF400" s="7" t="n">
        <f aca="false">N('KNOWIFY PHASES'!K400)</f>
        <v>0</v>
      </c>
      <c r="AG400" s="7" t="n">
        <f aca="false">N('KNOWIFY PHASES'!I400)</f>
        <v>0</v>
      </c>
      <c r="AH400" s="7" t="n">
        <f aca="false">N('KNOWIFY PHASES'!H400)</f>
        <v>0</v>
      </c>
      <c r="AI400" s="7" t="n">
        <f aca="false">N('KNOWIFY PHASES'!O400)</f>
        <v>0</v>
      </c>
      <c r="AJ400" s="7" t="n">
        <f aca="false">N('KNOWIFY PHASES'!N400)</f>
        <v>0</v>
      </c>
      <c r="AK400" s="7" t="n">
        <f aca="false">N('KNOWIFY PHASES'!R400)</f>
        <v>0</v>
      </c>
      <c r="AL400" s="7" t="n">
        <f aca="false">N('KNOWIFY PHASES'!Q400)</f>
        <v>0</v>
      </c>
      <c r="AM400" s="7" t="n">
        <f aca="false">N('KNOWIFY PHASES'!F400)</f>
        <v>0</v>
      </c>
      <c r="AN400" s="7" t="n">
        <f aca="false">N('KNOWIFY PHASES'!E400)</f>
        <v>0</v>
      </c>
      <c r="AO400" s="7" t="n">
        <f aca="false">MAX(AE400,AF400)</f>
        <v>0</v>
      </c>
      <c r="AP400" s="7" t="n">
        <f aca="false">MAX(AG400,AH400)</f>
        <v>0</v>
      </c>
      <c r="AQ400" s="7" t="n">
        <f aca="false">MAX(AI400,AJ400)</f>
        <v>0</v>
      </c>
      <c r="AR400" s="7" t="n">
        <f aca="false">MAX(AK400,AL400)</f>
        <v>0</v>
      </c>
    </row>
  </sheetData>
  <mergeCells count="1">
    <mergeCell ref="C4:F4"/>
  </mergeCells>
  <conditionalFormatting sqref="C20:C2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F26:F61">
    <cfRule type="expression" priority="4" aboveAverage="0" equalAverage="0" bottom="0" percent="0" rank="0" text="" dxfId="10">
      <formula>AND(ISNUMBER(F26),F26&gt;1.1)</formula>
    </cfRule>
  </conditionalFormatting>
  <conditionalFormatting sqref="I26:I61">
    <cfRule type="expression" priority="5" aboveAverage="0" equalAverage="0" bottom="0" percent="0" rank="0" text="" dxfId="10">
      <formula>AND(ISNUMBER(I26),I26&gt;1.1)</formula>
    </cfRule>
  </conditionalFormatting>
  <conditionalFormatting sqref="B26:J61">
    <cfRule type="expression" priority="6" aboveAverage="0" equalAverage="0" bottom="0" percent="0" rank="0" text="" dxfId="13">
      <formula>$C26=0</formula>
    </cfRule>
  </conditionalFormatting>
  <dataValidations count="2">
    <dataValidation allowBlank="true" errorStyle="stop" operator="between" showDropDown="false" showErrorMessage="false" showInputMessage="false" sqref="BA5:BA60" type="list">
      <formula1>INPUTS!$B$67:$B$75</formula1>
      <formula2>0</formula2>
    </dataValidation>
    <dataValidation allowBlank="true" errorStyle="stop" operator="between" showDropDown="false" showErrorMessage="false" showInputMessage="false" sqref="BD5:BD60" type="list">
      <formula1>"Apprentice Lvl 1-2,Apprentice Lvl 3-6,Apprentice Lvl 7-8,Journeyman Lvl 1-2,Foreman &amp; PM"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V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</cols>
  <sheetData>
    <row r="1" customFormat="false" ht="15" hidden="false" customHeight="false" outlineLevel="0" collapsed="false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customFormat="false" ht="15" hidden="false" customHeight="false" outlineLevel="0" collapsed="false">
      <c r="A2" s="81"/>
      <c r="B2" s="81"/>
      <c r="C2" s="81"/>
      <c r="D2" s="81"/>
      <c r="E2" s="81" t="s">
        <v>929</v>
      </c>
      <c r="F2" s="81"/>
      <c r="G2" s="81"/>
      <c r="H2" s="81" t="s">
        <v>930</v>
      </c>
      <c r="I2" s="81"/>
      <c r="J2" s="81"/>
      <c r="K2" s="81" t="s">
        <v>931</v>
      </c>
      <c r="L2" s="81"/>
      <c r="M2" s="81"/>
      <c r="N2" s="81" t="s">
        <v>932</v>
      </c>
      <c r="O2" s="81"/>
      <c r="P2" s="81"/>
      <c r="Q2" s="81" t="s">
        <v>933</v>
      </c>
      <c r="R2" s="81"/>
      <c r="S2" s="81"/>
      <c r="T2" s="81" t="s">
        <v>934</v>
      </c>
      <c r="U2" s="81"/>
      <c r="V2" s="81"/>
    </row>
    <row r="3" customFormat="false" ht="15" hidden="false" customHeight="false" outlineLevel="0" collapsed="false">
      <c r="A3" s="81" t="s">
        <v>218</v>
      </c>
      <c r="B3" s="81" t="s">
        <v>935</v>
      </c>
      <c r="C3" s="81" t="s">
        <v>936</v>
      </c>
      <c r="D3" s="81" t="s">
        <v>937</v>
      </c>
      <c r="E3" s="81" t="s">
        <v>938</v>
      </c>
      <c r="F3" s="81" t="s">
        <v>939</v>
      </c>
      <c r="G3" s="81" t="s">
        <v>940</v>
      </c>
      <c r="H3" s="81" t="s">
        <v>938</v>
      </c>
      <c r="I3" s="81" t="s">
        <v>939</v>
      </c>
      <c r="J3" s="81" t="s">
        <v>940</v>
      </c>
      <c r="K3" s="81" t="s">
        <v>938</v>
      </c>
      <c r="L3" s="81" t="s">
        <v>939</v>
      </c>
      <c r="M3" s="81" t="s">
        <v>940</v>
      </c>
      <c r="N3" s="81" t="s">
        <v>938</v>
      </c>
      <c r="O3" s="81" t="s">
        <v>939</v>
      </c>
      <c r="P3" s="81" t="s">
        <v>940</v>
      </c>
      <c r="Q3" s="81" t="s">
        <v>938</v>
      </c>
      <c r="R3" s="81" t="s">
        <v>939</v>
      </c>
      <c r="S3" s="81" t="s">
        <v>940</v>
      </c>
      <c r="T3" s="81" t="s">
        <v>938</v>
      </c>
      <c r="U3" s="81" t="s">
        <v>939</v>
      </c>
      <c r="V3" s="81" t="s">
        <v>940</v>
      </c>
    </row>
    <row r="4" customFormat="false" ht="15" hidden="false" customHeight="false" outlineLevel="0" collapsed="false">
      <c r="A4" s="81" t="s">
        <v>386</v>
      </c>
      <c r="B4" s="81" t="s">
        <v>941</v>
      </c>
      <c r="C4" s="81"/>
      <c r="D4" s="81" t="n">
        <v>0.886495468085106</v>
      </c>
      <c r="E4" s="81" t="n">
        <v>833305.74</v>
      </c>
      <c r="F4" s="81" t="n">
        <v>940000</v>
      </c>
      <c r="G4" s="81" t="n">
        <v>106694.26</v>
      </c>
      <c r="H4" s="81" t="n">
        <v>0</v>
      </c>
      <c r="I4" s="81" t="n">
        <v>0</v>
      </c>
      <c r="J4" s="81" t="n">
        <v>0</v>
      </c>
      <c r="K4" s="81" t="n">
        <v>0</v>
      </c>
      <c r="L4" s="81" t="n">
        <v>0</v>
      </c>
      <c r="M4" s="81" t="n">
        <v>0</v>
      </c>
      <c r="N4" s="81" t="n">
        <v>833305.74</v>
      </c>
      <c r="O4" s="81" t="n">
        <v>940000</v>
      </c>
      <c r="P4" s="81" t="n">
        <v>106694.26</v>
      </c>
      <c r="Q4" s="81" t="n">
        <v>0</v>
      </c>
      <c r="R4" s="81" t="n">
        <v>0</v>
      </c>
      <c r="S4" s="81" t="n">
        <v>0</v>
      </c>
      <c r="T4" s="81" t="n">
        <v>0</v>
      </c>
      <c r="U4" s="81" t="n">
        <v>0</v>
      </c>
      <c r="V4" s="81" t="n">
        <v>0</v>
      </c>
    </row>
    <row r="5" customFormat="false" ht="15" hidden="false" customHeight="false" outlineLevel="0" collapsed="false">
      <c r="A5" s="81" t="s">
        <v>942</v>
      </c>
      <c r="B5" s="81" t="s">
        <v>943</v>
      </c>
      <c r="C5" s="81"/>
      <c r="D5" s="81" t="n">
        <v>0.678905454545455</v>
      </c>
      <c r="E5" s="81" t="n">
        <v>3733.98</v>
      </c>
      <c r="F5" s="81" t="n">
        <v>5500</v>
      </c>
      <c r="G5" s="81" t="n">
        <v>1766.02</v>
      </c>
      <c r="H5" s="81" t="n">
        <v>3203.97</v>
      </c>
      <c r="I5" s="81" t="n">
        <v>1500</v>
      </c>
      <c r="J5" s="81" t="n">
        <v>-1703.97</v>
      </c>
      <c r="K5" s="81" t="n">
        <v>530.01</v>
      </c>
      <c r="L5" s="81" t="n">
        <v>4000</v>
      </c>
      <c r="M5" s="81" t="n">
        <v>3469.99</v>
      </c>
      <c r="N5" s="81" t="n">
        <v>0</v>
      </c>
      <c r="O5" s="81" t="n">
        <v>0</v>
      </c>
      <c r="P5" s="81" t="n">
        <v>0</v>
      </c>
      <c r="Q5" s="81" t="n">
        <v>0</v>
      </c>
      <c r="R5" s="81" t="n">
        <v>0</v>
      </c>
      <c r="S5" s="81" t="n">
        <v>0</v>
      </c>
      <c r="T5" s="81" t="n">
        <v>0</v>
      </c>
      <c r="U5" s="81" t="n">
        <v>0</v>
      </c>
      <c r="V5" s="81" t="n">
        <v>0</v>
      </c>
    </row>
    <row r="6" customFormat="false" ht="15" hidden="false" customHeight="false" outlineLevel="0" collapsed="false">
      <c r="A6" s="81" t="s">
        <v>944</v>
      </c>
      <c r="B6" s="81" t="s">
        <v>943</v>
      </c>
      <c r="C6" s="81"/>
      <c r="D6" s="81" t="n">
        <v>1.1767515625</v>
      </c>
      <c r="E6" s="81" t="n">
        <v>188280.25</v>
      </c>
      <c r="F6" s="81" t="n">
        <v>160000</v>
      </c>
      <c r="G6" s="81" t="n">
        <v>-28280.25</v>
      </c>
      <c r="H6" s="81" t="n">
        <v>127755.62</v>
      </c>
      <c r="I6" s="81" t="n">
        <v>125000</v>
      </c>
      <c r="J6" s="81" t="n">
        <v>-2755.62</v>
      </c>
      <c r="K6" s="81" t="n">
        <v>60524.63</v>
      </c>
      <c r="L6" s="81" t="n">
        <v>35000</v>
      </c>
      <c r="M6" s="81" t="n">
        <v>-25524.63</v>
      </c>
      <c r="N6" s="81" t="n">
        <v>0</v>
      </c>
      <c r="O6" s="81" t="n">
        <v>0</v>
      </c>
      <c r="P6" s="81" t="n">
        <v>0</v>
      </c>
      <c r="Q6" s="81" t="n">
        <v>0</v>
      </c>
      <c r="R6" s="81" t="n">
        <v>0</v>
      </c>
      <c r="S6" s="81" t="n">
        <v>0</v>
      </c>
      <c r="T6" s="81" t="n">
        <v>0</v>
      </c>
      <c r="U6" s="81" t="n">
        <v>0</v>
      </c>
      <c r="V6" s="81" t="n">
        <v>0</v>
      </c>
    </row>
    <row r="7" customFormat="false" ht="15" hidden="false" customHeight="false" outlineLevel="0" collapsed="false">
      <c r="A7" s="81" t="s">
        <v>945</v>
      </c>
      <c r="B7" s="81" t="s">
        <v>941</v>
      </c>
      <c r="C7" s="81"/>
      <c r="D7" s="81" t="n">
        <v>0.957085333333333</v>
      </c>
      <c r="E7" s="81" t="n">
        <v>172275.36</v>
      </c>
      <c r="F7" s="81" t="n">
        <v>180000</v>
      </c>
      <c r="G7" s="81" t="n">
        <v>7724.64</v>
      </c>
      <c r="H7" s="81" t="n">
        <v>60999.27</v>
      </c>
      <c r="I7" s="81" t="n">
        <v>110000</v>
      </c>
      <c r="J7" s="81" t="n">
        <v>49000.73</v>
      </c>
      <c r="K7" s="81" t="n">
        <v>109892.33</v>
      </c>
      <c r="L7" s="81" t="n">
        <v>70000</v>
      </c>
      <c r="M7" s="81" t="n">
        <v>-39892.33</v>
      </c>
      <c r="N7" s="81" t="n">
        <v>0</v>
      </c>
      <c r="O7" s="81" t="n">
        <v>0</v>
      </c>
      <c r="P7" s="81" t="n">
        <v>0</v>
      </c>
      <c r="Q7" s="81" t="n">
        <v>1383.76</v>
      </c>
      <c r="R7" s="81" t="n">
        <v>0</v>
      </c>
      <c r="S7" s="81" t="n">
        <v>-1383.76</v>
      </c>
      <c r="T7" s="81" t="n">
        <v>0</v>
      </c>
      <c r="U7" s="81" t="n">
        <v>0</v>
      </c>
      <c r="V7" s="81" t="n">
        <v>0</v>
      </c>
    </row>
    <row r="8" customFormat="false" ht="15" hidden="false" customHeight="false" outlineLevel="0" collapsed="false">
      <c r="A8" s="81" t="s">
        <v>946</v>
      </c>
      <c r="B8" s="81" t="s">
        <v>941</v>
      </c>
      <c r="C8" s="81"/>
      <c r="D8" s="81" t="n">
        <v>1.97424325</v>
      </c>
      <c r="E8" s="81" t="n">
        <v>78969.73</v>
      </c>
      <c r="F8" s="81" t="n">
        <v>40000</v>
      </c>
      <c r="G8" s="81" t="n">
        <v>-38969.73</v>
      </c>
      <c r="H8" s="81" t="n">
        <v>0</v>
      </c>
      <c r="I8" s="81" t="n">
        <v>0</v>
      </c>
      <c r="J8" s="81" t="n">
        <v>0</v>
      </c>
      <c r="K8" s="81" t="n">
        <v>78969.73</v>
      </c>
      <c r="L8" s="81" t="n">
        <v>40000</v>
      </c>
      <c r="M8" s="81" t="n">
        <v>-38969.73</v>
      </c>
      <c r="N8" s="81" t="n">
        <v>0</v>
      </c>
      <c r="O8" s="81" t="n">
        <v>0</v>
      </c>
      <c r="P8" s="81" t="n">
        <v>0</v>
      </c>
      <c r="Q8" s="81" t="n">
        <v>0</v>
      </c>
      <c r="R8" s="81" t="n">
        <v>0</v>
      </c>
      <c r="S8" s="81" t="n">
        <v>0</v>
      </c>
      <c r="T8" s="81" t="n">
        <v>0</v>
      </c>
      <c r="U8" s="81" t="n">
        <v>0</v>
      </c>
      <c r="V8" s="81" t="n">
        <v>0</v>
      </c>
    </row>
    <row r="9" customFormat="false" ht="15" hidden="false" customHeight="false" outlineLevel="0" collapsed="false">
      <c r="A9" s="81" t="s">
        <v>947</v>
      </c>
      <c r="B9" s="81" t="s">
        <v>941</v>
      </c>
      <c r="C9" s="81"/>
      <c r="D9" s="81" t="n">
        <v>1.10311175</v>
      </c>
      <c r="E9" s="81" t="n">
        <v>44124.47</v>
      </c>
      <c r="F9" s="81" t="n">
        <v>40000</v>
      </c>
      <c r="G9" s="81" t="n">
        <v>-4124.47</v>
      </c>
      <c r="H9" s="81" t="n">
        <v>0</v>
      </c>
      <c r="I9" s="81" t="n">
        <v>0</v>
      </c>
      <c r="J9" s="81" t="n">
        <v>0</v>
      </c>
      <c r="K9" s="81" t="n">
        <v>44124.47</v>
      </c>
      <c r="L9" s="81" t="n">
        <v>40000</v>
      </c>
      <c r="M9" s="81" t="n">
        <v>-4124.47</v>
      </c>
      <c r="N9" s="81" t="n">
        <v>0</v>
      </c>
      <c r="O9" s="81" t="n">
        <v>0</v>
      </c>
      <c r="P9" s="81" t="n">
        <v>0</v>
      </c>
      <c r="Q9" s="81" t="n">
        <v>0</v>
      </c>
      <c r="R9" s="81" t="n">
        <v>0</v>
      </c>
      <c r="S9" s="81" t="n">
        <v>0</v>
      </c>
      <c r="T9" s="81" t="n">
        <v>0</v>
      </c>
      <c r="U9" s="81" t="n">
        <v>0</v>
      </c>
      <c r="V9" s="81" t="n">
        <v>0</v>
      </c>
    </row>
    <row r="10" customFormat="false" ht="15" hidden="false" customHeight="false" outlineLevel="0" collapsed="false">
      <c r="A10" s="81" t="s">
        <v>948</v>
      </c>
      <c r="B10" s="81" t="s">
        <v>943</v>
      </c>
      <c r="C10" s="81"/>
      <c r="D10" s="81" t="n">
        <v>1.05549975</v>
      </c>
      <c r="E10" s="81" t="n">
        <v>42219.99</v>
      </c>
      <c r="F10" s="81" t="n">
        <v>40000</v>
      </c>
      <c r="G10" s="81" t="n">
        <v>-2219.99</v>
      </c>
      <c r="H10" s="81" t="n">
        <v>0</v>
      </c>
      <c r="I10" s="81" t="n">
        <v>0</v>
      </c>
      <c r="J10" s="81" t="n">
        <v>0</v>
      </c>
      <c r="K10" s="81" t="n">
        <v>37888.74</v>
      </c>
      <c r="L10" s="81" t="n">
        <v>40000</v>
      </c>
      <c r="M10" s="81" t="n">
        <v>2111.26</v>
      </c>
      <c r="N10" s="81" t="n">
        <v>4331.25</v>
      </c>
      <c r="O10" s="81" t="n">
        <v>0</v>
      </c>
      <c r="P10" s="81" t="n">
        <v>-4331.25</v>
      </c>
      <c r="Q10" s="81" t="n">
        <v>0</v>
      </c>
      <c r="R10" s="81" t="n">
        <v>0</v>
      </c>
      <c r="S10" s="81" t="n">
        <v>0</v>
      </c>
      <c r="T10" s="81" t="n">
        <v>0</v>
      </c>
      <c r="U10" s="81" t="n">
        <v>0</v>
      </c>
      <c r="V10" s="81" t="n">
        <v>0</v>
      </c>
    </row>
    <row r="11" customFormat="false" ht="15" hidden="false" customHeight="false" outlineLevel="0" collapsed="false">
      <c r="A11" s="81" t="s">
        <v>949</v>
      </c>
      <c r="B11" s="81" t="s">
        <v>943</v>
      </c>
      <c r="C11" s="81"/>
      <c r="D11" s="81" t="n">
        <v>1.090813</v>
      </c>
      <c r="E11" s="81" t="n">
        <v>43632.52</v>
      </c>
      <c r="F11" s="81" t="n">
        <v>40000</v>
      </c>
      <c r="G11" s="81" t="n">
        <v>-3632.52</v>
      </c>
      <c r="H11" s="81" t="n">
        <v>0</v>
      </c>
      <c r="I11" s="81" t="n">
        <v>0</v>
      </c>
      <c r="J11" s="81" t="n">
        <v>0</v>
      </c>
      <c r="K11" s="81" t="n">
        <v>43632.52</v>
      </c>
      <c r="L11" s="81" t="n">
        <v>40000</v>
      </c>
      <c r="M11" s="81" t="n">
        <v>-3632.52</v>
      </c>
      <c r="N11" s="81" t="n">
        <v>0</v>
      </c>
      <c r="O11" s="81" t="n">
        <v>0</v>
      </c>
      <c r="P11" s="81" t="n">
        <v>0</v>
      </c>
      <c r="Q11" s="81" t="n">
        <v>0</v>
      </c>
      <c r="R11" s="81" t="n">
        <v>0</v>
      </c>
      <c r="S11" s="81" t="n">
        <v>0</v>
      </c>
      <c r="T11" s="81" t="n">
        <v>0</v>
      </c>
      <c r="U11" s="81" t="n">
        <v>0</v>
      </c>
      <c r="V11" s="81" t="n">
        <v>0</v>
      </c>
    </row>
    <row r="12" customFormat="false" ht="15" hidden="false" customHeight="false" outlineLevel="0" collapsed="false">
      <c r="A12" s="81" t="s">
        <v>950</v>
      </c>
      <c r="B12" s="81" t="s">
        <v>943</v>
      </c>
      <c r="C12" s="81"/>
      <c r="D12" s="81" t="n">
        <v>0.96362275</v>
      </c>
      <c r="E12" s="81" t="n">
        <v>38544.91</v>
      </c>
      <c r="F12" s="81" t="n">
        <v>40000</v>
      </c>
      <c r="G12" s="81" t="n">
        <v>1455.09</v>
      </c>
      <c r="H12" s="81" t="n">
        <v>0</v>
      </c>
      <c r="I12" s="81" t="n">
        <v>0</v>
      </c>
      <c r="J12" s="81" t="n">
        <v>0</v>
      </c>
      <c r="K12" s="81" t="n">
        <v>38544.91</v>
      </c>
      <c r="L12" s="81" t="n">
        <v>40000</v>
      </c>
      <c r="M12" s="81" t="n">
        <v>1455.09</v>
      </c>
      <c r="N12" s="81" t="n">
        <v>0</v>
      </c>
      <c r="O12" s="81" t="n">
        <v>0</v>
      </c>
      <c r="P12" s="81" t="n">
        <v>0</v>
      </c>
      <c r="Q12" s="81" t="n">
        <v>0</v>
      </c>
      <c r="R12" s="81" t="n">
        <v>0</v>
      </c>
      <c r="S12" s="81" t="n">
        <v>0</v>
      </c>
      <c r="T12" s="81" t="n">
        <v>0</v>
      </c>
      <c r="U12" s="81" t="n">
        <v>0</v>
      </c>
      <c r="V12" s="81" t="n">
        <v>0</v>
      </c>
    </row>
    <row r="13" customFormat="false" ht="15" hidden="false" customHeight="false" outlineLevel="0" collapsed="false">
      <c r="A13" s="81" t="s">
        <v>951</v>
      </c>
      <c r="B13" s="81" t="s">
        <v>943</v>
      </c>
      <c r="C13" s="81"/>
      <c r="D13" s="81" t="n">
        <v>0.74278925</v>
      </c>
      <c r="E13" s="81" t="n">
        <v>29711.57</v>
      </c>
      <c r="F13" s="81" t="n">
        <v>40000</v>
      </c>
      <c r="G13" s="81" t="n">
        <v>10288.43</v>
      </c>
      <c r="H13" s="81" t="n">
        <v>0</v>
      </c>
      <c r="I13" s="81" t="n">
        <v>0</v>
      </c>
      <c r="J13" s="81" t="n">
        <v>0</v>
      </c>
      <c r="K13" s="81" t="n">
        <v>29711.57</v>
      </c>
      <c r="L13" s="81" t="n">
        <v>40000</v>
      </c>
      <c r="M13" s="81" t="n">
        <v>10288.43</v>
      </c>
      <c r="N13" s="81" t="n">
        <v>0</v>
      </c>
      <c r="O13" s="81" t="n">
        <v>0</v>
      </c>
      <c r="P13" s="81" t="n">
        <v>0</v>
      </c>
      <c r="Q13" s="81" t="n">
        <v>0</v>
      </c>
      <c r="R13" s="81" t="n">
        <v>0</v>
      </c>
      <c r="S13" s="81" t="n">
        <v>0</v>
      </c>
      <c r="T13" s="81" t="n">
        <v>0</v>
      </c>
      <c r="U13" s="81" t="n">
        <v>0</v>
      </c>
      <c r="V13" s="81" t="n">
        <v>0</v>
      </c>
    </row>
    <row r="14" customFormat="false" ht="15" hidden="false" customHeight="false" outlineLevel="0" collapsed="false">
      <c r="A14" s="81" t="s">
        <v>952</v>
      </c>
      <c r="B14" s="81" t="s">
        <v>943</v>
      </c>
      <c r="C14" s="81"/>
      <c r="D14" s="81" t="n">
        <v>0.0122885</v>
      </c>
      <c r="E14" s="81" t="n">
        <v>491.54</v>
      </c>
      <c r="F14" s="81" t="n">
        <v>40000</v>
      </c>
      <c r="G14" s="81" t="n">
        <v>39508.46</v>
      </c>
      <c r="H14" s="81" t="n">
        <v>0</v>
      </c>
      <c r="I14" s="81" t="n">
        <v>12400</v>
      </c>
      <c r="J14" s="81" t="n">
        <v>12400</v>
      </c>
      <c r="K14" s="81" t="n">
        <v>491.54</v>
      </c>
      <c r="L14" s="81" t="n">
        <v>27600</v>
      </c>
      <c r="M14" s="81" t="n">
        <v>27108.46</v>
      </c>
      <c r="N14" s="81" t="n">
        <v>0</v>
      </c>
      <c r="O14" s="81" t="n">
        <v>0</v>
      </c>
      <c r="P14" s="81" t="n">
        <v>0</v>
      </c>
      <c r="Q14" s="81" t="n">
        <v>0</v>
      </c>
      <c r="R14" s="81" t="n">
        <v>0</v>
      </c>
      <c r="S14" s="81" t="n">
        <v>0</v>
      </c>
      <c r="T14" s="81" t="n">
        <v>0</v>
      </c>
      <c r="U14" s="81" t="n">
        <v>0</v>
      </c>
      <c r="V14" s="81" t="n">
        <v>0</v>
      </c>
    </row>
    <row r="15" customFormat="false" ht="15" hidden="false" customHeight="false" outlineLevel="0" collapsed="false">
      <c r="A15" s="81" t="s">
        <v>953</v>
      </c>
      <c r="B15" s="81" t="s">
        <v>941</v>
      </c>
      <c r="C15" s="81"/>
      <c r="D15" s="81" t="n">
        <v>1.31991965</v>
      </c>
      <c r="E15" s="81" t="n">
        <v>263983.93</v>
      </c>
      <c r="F15" s="81" t="n">
        <v>200000</v>
      </c>
      <c r="G15" s="81" t="n">
        <v>-63983.93</v>
      </c>
      <c r="H15" s="81" t="n">
        <v>263945.54</v>
      </c>
      <c r="I15" s="81" t="n">
        <v>200000</v>
      </c>
      <c r="J15" s="81" t="n">
        <v>-63945.54</v>
      </c>
      <c r="K15" s="81" t="n">
        <v>0</v>
      </c>
      <c r="L15" s="81" t="n">
        <v>0</v>
      </c>
      <c r="M15" s="81" t="n">
        <v>0</v>
      </c>
      <c r="N15" s="81" t="n">
        <v>0</v>
      </c>
      <c r="O15" s="81" t="n">
        <v>0</v>
      </c>
      <c r="P15" s="81" t="n">
        <v>0</v>
      </c>
      <c r="Q15" s="81" t="n">
        <v>38.39</v>
      </c>
      <c r="R15" s="81" t="n">
        <v>0</v>
      </c>
      <c r="S15" s="81" t="n">
        <v>-38.39</v>
      </c>
      <c r="T15" s="81" t="n">
        <v>0</v>
      </c>
      <c r="U15" s="81" t="n">
        <v>0</v>
      </c>
      <c r="V15" s="81" t="n">
        <v>0</v>
      </c>
    </row>
    <row r="16" customFormat="false" ht="15" hidden="false" customHeight="false" outlineLevel="0" collapsed="false">
      <c r="A16" s="81" t="s">
        <v>954</v>
      </c>
      <c r="B16" s="81" t="s">
        <v>941</v>
      </c>
      <c r="C16" s="81"/>
      <c r="D16" s="81" t="n">
        <v>0.695686058823529</v>
      </c>
      <c r="E16" s="81" t="n">
        <v>236533.26</v>
      </c>
      <c r="F16" s="81" t="n">
        <v>340000</v>
      </c>
      <c r="G16" s="81" t="n">
        <v>103466.74</v>
      </c>
      <c r="H16" s="81" t="n">
        <v>236533.26</v>
      </c>
      <c r="I16" s="81" t="n">
        <v>340000</v>
      </c>
      <c r="J16" s="81" t="n">
        <v>103466.74</v>
      </c>
      <c r="K16" s="81" t="n">
        <v>0</v>
      </c>
      <c r="L16" s="81" t="n">
        <v>0</v>
      </c>
      <c r="M16" s="81" t="n">
        <v>0</v>
      </c>
      <c r="N16" s="81" t="n">
        <v>0</v>
      </c>
      <c r="O16" s="81" t="n">
        <v>0</v>
      </c>
      <c r="P16" s="81" t="n">
        <v>0</v>
      </c>
      <c r="Q16" s="81" t="n">
        <v>0</v>
      </c>
      <c r="R16" s="81" t="n">
        <v>0</v>
      </c>
      <c r="S16" s="81" t="n">
        <v>0</v>
      </c>
      <c r="T16" s="81" t="n">
        <v>0</v>
      </c>
      <c r="U16" s="81" t="n">
        <v>0</v>
      </c>
      <c r="V16" s="81" t="n">
        <v>0</v>
      </c>
    </row>
    <row r="17" customFormat="false" ht="15" hidden="false" customHeight="false" outlineLevel="0" collapsed="false">
      <c r="A17" s="81" t="s">
        <v>955</v>
      </c>
      <c r="B17" s="81" t="s">
        <v>943</v>
      </c>
      <c r="C17" s="81"/>
      <c r="D17" s="81" t="n">
        <v>0.017868</v>
      </c>
      <c r="E17" s="81" t="n">
        <v>536.04</v>
      </c>
      <c r="F17" s="81" t="n">
        <v>30000</v>
      </c>
      <c r="G17" s="81" t="n">
        <v>29463.96</v>
      </c>
      <c r="H17" s="81" t="n">
        <v>0</v>
      </c>
      <c r="I17" s="81" t="n">
        <v>0</v>
      </c>
      <c r="J17" s="81" t="n">
        <v>0</v>
      </c>
      <c r="K17" s="81" t="n">
        <v>536.04</v>
      </c>
      <c r="L17" s="81" t="n">
        <v>30000</v>
      </c>
      <c r="M17" s="81" t="n">
        <v>29463.96</v>
      </c>
      <c r="N17" s="81" t="n">
        <v>0</v>
      </c>
      <c r="O17" s="81" t="n">
        <v>0</v>
      </c>
      <c r="P17" s="81" t="n">
        <v>0</v>
      </c>
      <c r="Q17" s="81" t="n">
        <v>0</v>
      </c>
      <c r="R17" s="81" t="n">
        <v>0</v>
      </c>
      <c r="S17" s="81" t="n">
        <v>0</v>
      </c>
      <c r="T17" s="81" t="n">
        <v>0</v>
      </c>
      <c r="U17" s="81" t="n">
        <v>0</v>
      </c>
      <c r="V17" s="81" t="n">
        <v>0</v>
      </c>
    </row>
    <row r="18" customFormat="false" ht="15" hidden="false" customHeight="false" outlineLevel="0" collapsed="false">
      <c r="A18" s="81" t="s">
        <v>956</v>
      </c>
      <c r="B18" s="81" t="s">
        <v>943</v>
      </c>
      <c r="C18" s="81"/>
      <c r="D18" s="81" t="n">
        <v>0.0423946666666667</v>
      </c>
      <c r="E18" s="81" t="n">
        <v>1271.84</v>
      </c>
      <c r="F18" s="81" t="n">
        <v>30000</v>
      </c>
      <c r="G18" s="81" t="n">
        <v>28728.16</v>
      </c>
      <c r="H18" s="81" t="n">
        <v>0</v>
      </c>
      <c r="I18" s="81" t="n">
        <v>0</v>
      </c>
      <c r="J18" s="81" t="n">
        <v>0</v>
      </c>
      <c r="K18" s="81" t="n">
        <v>1271.84</v>
      </c>
      <c r="L18" s="81" t="n">
        <v>30000</v>
      </c>
      <c r="M18" s="81" t="n">
        <v>28728.16</v>
      </c>
      <c r="N18" s="81" t="n">
        <v>0</v>
      </c>
      <c r="O18" s="81" t="n">
        <v>0</v>
      </c>
      <c r="P18" s="81" t="n">
        <v>0</v>
      </c>
      <c r="Q18" s="81" t="n">
        <v>0</v>
      </c>
      <c r="R18" s="81" t="n">
        <v>0</v>
      </c>
      <c r="S18" s="81" t="n">
        <v>0</v>
      </c>
      <c r="T18" s="81" t="n">
        <v>0</v>
      </c>
      <c r="U18" s="81" t="n">
        <v>0</v>
      </c>
      <c r="V18" s="81" t="n">
        <v>0</v>
      </c>
    </row>
    <row r="19" customFormat="false" ht="15" hidden="false" customHeight="false" outlineLevel="0" collapsed="false">
      <c r="A19" s="81" t="s">
        <v>957</v>
      </c>
      <c r="B19" s="81" t="s">
        <v>943</v>
      </c>
      <c r="C19" s="81"/>
      <c r="D19" s="81" t="n">
        <v>0</v>
      </c>
      <c r="E19" s="81" t="n">
        <v>0</v>
      </c>
      <c r="F19" s="81" t="n">
        <v>30000</v>
      </c>
      <c r="G19" s="81" t="n">
        <v>30000</v>
      </c>
      <c r="H19" s="81" t="n">
        <v>0</v>
      </c>
      <c r="I19" s="81" t="n">
        <v>0</v>
      </c>
      <c r="J19" s="81" t="n">
        <v>0</v>
      </c>
      <c r="K19" s="81" t="n">
        <v>0</v>
      </c>
      <c r="L19" s="81" t="n">
        <v>30000</v>
      </c>
      <c r="M19" s="81" t="n">
        <v>30000</v>
      </c>
      <c r="N19" s="81" t="n">
        <v>0</v>
      </c>
      <c r="O19" s="81" t="n">
        <v>0</v>
      </c>
      <c r="P19" s="81" t="n">
        <v>0</v>
      </c>
      <c r="Q19" s="81" t="n">
        <v>0</v>
      </c>
      <c r="R19" s="81" t="n">
        <v>0</v>
      </c>
      <c r="S19" s="81" t="n">
        <v>0</v>
      </c>
      <c r="T19" s="81" t="n">
        <v>0</v>
      </c>
      <c r="U19" s="81" t="n">
        <v>0</v>
      </c>
      <c r="V19" s="81" t="n">
        <v>0</v>
      </c>
    </row>
    <row r="20" customFormat="false" ht="15" hidden="false" customHeight="false" outlineLevel="0" collapsed="false">
      <c r="A20" s="81" t="s">
        <v>958</v>
      </c>
      <c r="B20" s="81" t="s">
        <v>941</v>
      </c>
      <c r="C20" s="81"/>
      <c r="D20" s="81" t="n">
        <v>0.502542</v>
      </c>
      <c r="E20" s="81" t="n">
        <v>15076.26</v>
      </c>
      <c r="F20" s="81" t="n">
        <v>30000</v>
      </c>
      <c r="G20" s="81" t="n">
        <v>14923.74</v>
      </c>
      <c r="H20" s="81" t="n">
        <v>0</v>
      </c>
      <c r="I20" s="81" t="n">
        <v>0</v>
      </c>
      <c r="J20" s="81" t="n">
        <v>0</v>
      </c>
      <c r="K20" s="81" t="n">
        <v>15076.26</v>
      </c>
      <c r="L20" s="81" t="n">
        <v>30000</v>
      </c>
      <c r="M20" s="81" t="n">
        <v>14923.74</v>
      </c>
      <c r="N20" s="81" t="n">
        <v>0</v>
      </c>
      <c r="O20" s="81" t="n">
        <v>0</v>
      </c>
      <c r="P20" s="81" t="n">
        <v>0</v>
      </c>
      <c r="Q20" s="81" t="n">
        <v>0</v>
      </c>
      <c r="R20" s="81" t="n">
        <v>0</v>
      </c>
      <c r="S20" s="81" t="n">
        <v>0</v>
      </c>
      <c r="T20" s="81" t="n">
        <v>0</v>
      </c>
      <c r="U20" s="81" t="n">
        <v>0</v>
      </c>
      <c r="V20" s="81" t="n">
        <v>0</v>
      </c>
    </row>
    <row r="21" customFormat="false" ht="15" hidden="false" customHeight="false" outlineLevel="0" collapsed="false">
      <c r="A21" s="81" t="s">
        <v>959</v>
      </c>
      <c r="B21" s="81" t="s">
        <v>941</v>
      </c>
      <c r="C21" s="81"/>
      <c r="D21" s="81" t="n">
        <v>0.493313333333333</v>
      </c>
      <c r="E21" s="81" t="n">
        <v>14799.4</v>
      </c>
      <c r="F21" s="81" t="n">
        <v>30000</v>
      </c>
      <c r="G21" s="81" t="n">
        <v>15200.6</v>
      </c>
      <c r="H21" s="81" t="n">
        <v>0</v>
      </c>
      <c r="I21" s="81" t="n">
        <v>0</v>
      </c>
      <c r="J21" s="81" t="n">
        <v>0</v>
      </c>
      <c r="K21" s="81" t="n">
        <v>14799.4</v>
      </c>
      <c r="L21" s="81" t="n">
        <v>30000</v>
      </c>
      <c r="M21" s="81" t="n">
        <v>15200.6</v>
      </c>
      <c r="N21" s="81" t="n">
        <v>0</v>
      </c>
      <c r="O21" s="81" t="n">
        <v>0</v>
      </c>
      <c r="P21" s="81" t="n">
        <v>0</v>
      </c>
      <c r="Q21" s="81" t="n">
        <v>0</v>
      </c>
      <c r="R21" s="81" t="n">
        <v>0</v>
      </c>
      <c r="S21" s="81" t="n">
        <v>0</v>
      </c>
      <c r="T21" s="81" t="n">
        <v>0</v>
      </c>
      <c r="U21" s="81" t="n">
        <v>0</v>
      </c>
      <c r="V21" s="81" t="n">
        <v>0</v>
      </c>
    </row>
    <row r="22" customFormat="false" ht="15" hidden="false" customHeight="false" outlineLevel="0" collapsed="false">
      <c r="A22" s="81" t="s">
        <v>960</v>
      </c>
      <c r="B22" s="81" t="s">
        <v>941</v>
      </c>
      <c r="C22" s="81"/>
      <c r="D22" s="81" t="n">
        <v>0.648959666666667</v>
      </c>
      <c r="E22" s="81" t="n">
        <v>19468.79</v>
      </c>
      <c r="F22" s="81" t="n">
        <v>30000</v>
      </c>
      <c r="G22" s="81" t="n">
        <v>10531.21</v>
      </c>
      <c r="H22" s="81" t="n">
        <v>0</v>
      </c>
      <c r="I22" s="81" t="n">
        <v>0</v>
      </c>
      <c r="J22" s="81" t="n">
        <v>0</v>
      </c>
      <c r="K22" s="81" t="n">
        <v>19468.79</v>
      </c>
      <c r="L22" s="81" t="n">
        <v>30000</v>
      </c>
      <c r="M22" s="81" t="n">
        <v>10531.21</v>
      </c>
      <c r="N22" s="81" t="n">
        <v>0</v>
      </c>
      <c r="O22" s="81" t="n">
        <v>0</v>
      </c>
      <c r="P22" s="81" t="n">
        <v>0</v>
      </c>
      <c r="Q22" s="81" t="n">
        <v>0</v>
      </c>
      <c r="R22" s="81" t="n">
        <v>0</v>
      </c>
      <c r="S22" s="81" t="n">
        <v>0</v>
      </c>
      <c r="T22" s="81" t="n">
        <v>0</v>
      </c>
      <c r="U22" s="81" t="n">
        <v>0</v>
      </c>
      <c r="V22" s="81" t="n">
        <v>0</v>
      </c>
    </row>
    <row r="23" customFormat="false" ht="15" hidden="false" customHeight="false" outlineLevel="0" collapsed="false">
      <c r="A23" s="81" t="s">
        <v>961</v>
      </c>
      <c r="B23" s="81" t="s">
        <v>941</v>
      </c>
      <c r="C23" s="81"/>
      <c r="D23" s="81" t="n">
        <v>1.815567</v>
      </c>
      <c r="E23" s="81" t="n">
        <v>72622.68</v>
      </c>
      <c r="F23" s="81" t="n">
        <v>40000</v>
      </c>
      <c r="G23" s="81" t="n">
        <v>-32622.68</v>
      </c>
      <c r="H23" s="81" t="n">
        <v>0</v>
      </c>
      <c r="I23" s="81" t="n">
        <v>0</v>
      </c>
      <c r="J23" s="81" t="n">
        <v>0</v>
      </c>
      <c r="K23" s="81" t="n">
        <v>72622.68</v>
      </c>
      <c r="L23" s="81" t="n">
        <v>40000</v>
      </c>
      <c r="M23" s="81" t="n">
        <v>-32622.68</v>
      </c>
      <c r="N23" s="81" t="n">
        <v>0</v>
      </c>
      <c r="O23" s="81" t="n">
        <v>0</v>
      </c>
      <c r="P23" s="81" t="n">
        <v>0</v>
      </c>
      <c r="Q23" s="81" t="n">
        <v>0</v>
      </c>
      <c r="R23" s="81" t="n">
        <v>0</v>
      </c>
      <c r="S23" s="81" t="n">
        <v>0</v>
      </c>
      <c r="T23" s="81" t="n">
        <v>0</v>
      </c>
      <c r="U23" s="81" t="n">
        <v>0</v>
      </c>
      <c r="V23" s="81" t="n">
        <v>0</v>
      </c>
    </row>
    <row r="24" customFormat="false" ht="15" hidden="false" customHeight="false" outlineLevel="0" collapsed="false">
      <c r="A24" s="81" t="s">
        <v>962</v>
      </c>
      <c r="B24" s="81" t="s">
        <v>941</v>
      </c>
      <c r="C24" s="81"/>
      <c r="D24" s="81" t="n">
        <v>1.3107375</v>
      </c>
      <c r="E24" s="81" t="n">
        <v>52429.5</v>
      </c>
      <c r="F24" s="81" t="n">
        <v>40000</v>
      </c>
      <c r="G24" s="81" t="n">
        <v>-12429.5</v>
      </c>
      <c r="H24" s="81" t="n">
        <v>0</v>
      </c>
      <c r="I24" s="81" t="n">
        <v>0</v>
      </c>
      <c r="J24" s="81" t="n">
        <v>0</v>
      </c>
      <c r="K24" s="81" t="n">
        <v>52429.5</v>
      </c>
      <c r="L24" s="81" t="n">
        <v>40000</v>
      </c>
      <c r="M24" s="81" t="n">
        <v>-12429.5</v>
      </c>
      <c r="N24" s="81" t="n">
        <v>0</v>
      </c>
      <c r="O24" s="81" t="n">
        <v>0</v>
      </c>
      <c r="P24" s="81" t="n">
        <v>0</v>
      </c>
      <c r="Q24" s="81" t="n">
        <v>0</v>
      </c>
      <c r="R24" s="81" t="n">
        <v>0</v>
      </c>
      <c r="S24" s="81" t="n">
        <v>0</v>
      </c>
      <c r="T24" s="81" t="n">
        <v>0</v>
      </c>
      <c r="U24" s="81" t="n">
        <v>0</v>
      </c>
      <c r="V24" s="81" t="n">
        <v>0</v>
      </c>
    </row>
    <row r="25" customFormat="false" ht="15" hidden="false" customHeight="false" outlineLevel="0" collapsed="false">
      <c r="A25" s="81" t="s">
        <v>963</v>
      </c>
      <c r="B25" s="81" t="s">
        <v>941</v>
      </c>
      <c r="C25" s="81"/>
      <c r="D25" s="81" t="n">
        <v>1.172805</v>
      </c>
      <c r="E25" s="81" t="n">
        <v>46912.2</v>
      </c>
      <c r="F25" s="81" t="n">
        <v>40000</v>
      </c>
      <c r="G25" s="81" t="n">
        <v>-6912.2</v>
      </c>
      <c r="H25" s="81" t="n">
        <v>0</v>
      </c>
      <c r="I25" s="81" t="n">
        <v>0</v>
      </c>
      <c r="J25" s="81" t="n">
        <v>0</v>
      </c>
      <c r="K25" s="81" t="n">
        <v>46912.2</v>
      </c>
      <c r="L25" s="81" t="n">
        <v>40000</v>
      </c>
      <c r="M25" s="81" t="n">
        <v>-6912.2</v>
      </c>
      <c r="N25" s="81" t="n">
        <v>0</v>
      </c>
      <c r="O25" s="81" t="n">
        <v>0</v>
      </c>
      <c r="P25" s="81" t="n">
        <v>0</v>
      </c>
      <c r="Q25" s="81" t="n">
        <v>0</v>
      </c>
      <c r="R25" s="81" t="n">
        <v>0</v>
      </c>
      <c r="S25" s="81" t="n">
        <v>0</v>
      </c>
      <c r="T25" s="81" t="n">
        <v>0</v>
      </c>
      <c r="U25" s="81" t="n">
        <v>0</v>
      </c>
      <c r="V25" s="81" t="n">
        <v>0</v>
      </c>
    </row>
    <row r="26" customFormat="false" ht="15" hidden="false" customHeight="false" outlineLevel="0" collapsed="false">
      <c r="A26" s="81" t="s">
        <v>964</v>
      </c>
      <c r="B26" s="81" t="s">
        <v>941</v>
      </c>
      <c r="C26" s="81"/>
      <c r="D26" s="81" t="n">
        <v>1.339041</v>
      </c>
      <c r="E26" s="81" t="n">
        <v>53561.64</v>
      </c>
      <c r="F26" s="81" t="n">
        <v>40000</v>
      </c>
      <c r="G26" s="81" t="n">
        <v>-13561.64</v>
      </c>
      <c r="H26" s="81" t="n">
        <v>0</v>
      </c>
      <c r="I26" s="81" t="n">
        <v>0</v>
      </c>
      <c r="J26" s="81" t="n">
        <v>0</v>
      </c>
      <c r="K26" s="81" t="n">
        <v>53561.64</v>
      </c>
      <c r="L26" s="81" t="n">
        <v>40000</v>
      </c>
      <c r="M26" s="81" t="n">
        <v>-13561.64</v>
      </c>
      <c r="N26" s="81" t="n">
        <v>0</v>
      </c>
      <c r="O26" s="81" t="n">
        <v>0</v>
      </c>
      <c r="P26" s="81" t="n">
        <v>0</v>
      </c>
      <c r="Q26" s="81" t="n">
        <v>0</v>
      </c>
      <c r="R26" s="81" t="n">
        <v>0</v>
      </c>
      <c r="S26" s="81" t="n">
        <v>0</v>
      </c>
      <c r="T26" s="81" t="n">
        <v>0</v>
      </c>
      <c r="U26" s="81" t="n">
        <v>0</v>
      </c>
      <c r="V26" s="81" t="n">
        <v>0</v>
      </c>
    </row>
    <row r="27" customFormat="false" ht="15" hidden="false" customHeight="false" outlineLevel="0" collapsed="false">
      <c r="A27" s="81" t="s">
        <v>965</v>
      </c>
      <c r="B27" s="81" t="s">
        <v>941</v>
      </c>
      <c r="C27" s="81"/>
      <c r="D27" s="81" t="n">
        <v>1.69599625</v>
      </c>
      <c r="E27" s="81" t="n">
        <v>67839.85</v>
      </c>
      <c r="F27" s="81" t="n">
        <v>40000</v>
      </c>
      <c r="G27" s="81" t="n">
        <v>-27839.85</v>
      </c>
      <c r="H27" s="81" t="n">
        <v>0</v>
      </c>
      <c r="I27" s="81" t="n">
        <v>0</v>
      </c>
      <c r="J27" s="81" t="n">
        <v>0</v>
      </c>
      <c r="K27" s="81" t="n">
        <v>67839.85</v>
      </c>
      <c r="L27" s="81" t="n">
        <v>40000</v>
      </c>
      <c r="M27" s="81" t="n">
        <v>-27839.85</v>
      </c>
      <c r="N27" s="81" t="n">
        <v>0</v>
      </c>
      <c r="O27" s="81" t="n">
        <v>0</v>
      </c>
      <c r="P27" s="81" t="n">
        <v>0</v>
      </c>
      <c r="Q27" s="81" t="n">
        <v>0</v>
      </c>
      <c r="R27" s="81" t="n">
        <v>0</v>
      </c>
      <c r="S27" s="81" t="n">
        <v>0</v>
      </c>
      <c r="T27" s="81" t="n">
        <v>0</v>
      </c>
      <c r="U27" s="81" t="n">
        <v>0</v>
      </c>
      <c r="V27" s="81" t="n">
        <v>0</v>
      </c>
    </row>
    <row r="28" customFormat="false" ht="15" hidden="false" customHeight="false" outlineLevel="0" collapsed="false">
      <c r="A28" s="81" t="s">
        <v>966</v>
      </c>
      <c r="B28" s="81" t="s">
        <v>941</v>
      </c>
      <c r="C28" s="81"/>
      <c r="D28" s="81" t="n">
        <v>2.03505325</v>
      </c>
      <c r="E28" s="81" t="n">
        <v>81402.13</v>
      </c>
      <c r="F28" s="81" t="n">
        <v>40000</v>
      </c>
      <c r="G28" s="81" t="n">
        <v>-41402.13</v>
      </c>
      <c r="H28" s="81" t="n">
        <v>0</v>
      </c>
      <c r="I28" s="81" t="n">
        <v>0</v>
      </c>
      <c r="J28" s="81" t="n">
        <v>0</v>
      </c>
      <c r="K28" s="81" t="n">
        <v>81402.13</v>
      </c>
      <c r="L28" s="81" t="n">
        <v>40000</v>
      </c>
      <c r="M28" s="81" t="n">
        <v>-41402.13</v>
      </c>
      <c r="N28" s="81" t="n">
        <v>0</v>
      </c>
      <c r="O28" s="81" t="n">
        <v>0</v>
      </c>
      <c r="P28" s="81" t="n">
        <v>0</v>
      </c>
      <c r="Q28" s="81" t="n">
        <v>0</v>
      </c>
      <c r="R28" s="81" t="n">
        <v>0</v>
      </c>
      <c r="S28" s="81" t="n">
        <v>0</v>
      </c>
      <c r="T28" s="81" t="n">
        <v>0</v>
      </c>
      <c r="U28" s="81" t="n">
        <v>0</v>
      </c>
      <c r="V28" s="81" t="n">
        <v>0</v>
      </c>
    </row>
    <row r="29" customFormat="false" ht="15" hidden="false" customHeight="false" outlineLevel="0" collapsed="false">
      <c r="A29" s="81" t="s">
        <v>967</v>
      </c>
      <c r="B29" s="81" t="s">
        <v>941</v>
      </c>
      <c r="C29" s="81"/>
      <c r="D29" s="81" t="n">
        <v>0.01423725</v>
      </c>
      <c r="E29" s="81" t="n">
        <v>569.49</v>
      </c>
      <c r="F29" s="81" t="n">
        <v>40000</v>
      </c>
      <c r="G29" s="81" t="n">
        <v>39430.51</v>
      </c>
      <c r="H29" s="81" t="n">
        <v>569.49</v>
      </c>
      <c r="I29" s="81" t="n">
        <v>12400</v>
      </c>
      <c r="J29" s="81" t="n">
        <v>11830.51</v>
      </c>
      <c r="K29" s="81" t="n">
        <v>0</v>
      </c>
      <c r="L29" s="81" t="n">
        <v>27600</v>
      </c>
      <c r="M29" s="81" t="n">
        <v>27600</v>
      </c>
      <c r="N29" s="81" t="n">
        <v>0</v>
      </c>
      <c r="O29" s="81" t="n">
        <v>0</v>
      </c>
      <c r="P29" s="81" t="n">
        <v>0</v>
      </c>
      <c r="Q29" s="81" t="n">
        <v>0</v>
      </c>
      <c r="R29" s="81" t="n">
        <v>0</v>
      </c>
      <c r="S29" s="81" t="n">
        <v>0</v>
      </c>
      <c r="T29" s="81" t="n">
        <v>0</v>
      </c>
      <c r="U29" s="81" t="n">
        <v>0</v>
      </c>
      <c r="V29" s="81" t="n">
        <v>0</v>
      </c>
    </row>
    <row r="30" customFormat="false" ht="15" hidden="false" customHeight="false" outlineLevel="0" collapsed="false">
      <c r="A30" s="81" t="s">
        <v>968</v>
      </c>
      <c r="B30" s="81" t="s">
        <v>941</v>
      </c>
      <c r="C30" s="81"/>
      <c r="D30" s="81" t="n">
        <v>1.265097</v>
      </c>
      <c r="E30" s="81" t="n">
        <v>253019.4</v>
      </c>
      <c r="F30" s="81" t="n">
        <v>200000</v>
      </c>
      <c r="G30" s="81" t="n">
        <v>-53019.4</v>
      </c>
      <c r="H30" s="81" t="n">
        <v>253019.4</v>
      </c>
      <c r="I30" s="81" t="n">
        <v>200000</v>
      </c>
      <c r="J30" s="81" t="n">
        <v>-53019.4</v>
      </c>
      <c r="K30" s="81" t="n">
        <v>0</v>
      </c>
      <c r="L30" s="81" t="n">
        <v>0</v>
      </c>
      <c r="M30" s="81" t="n">
        <v>0</v>
      </c>
      <c r="N30" s="81" t="n">
        <v>0</v>
      </c>
      <c r="O30" s="81" t="n">
        <v>0</v>
      </c>
      <c r="P30" s="81" t="n">
        <v>0</v>
      </c>
      <c r="Q30" s="81" t="n">
        <v>0</v>
      </c>
      <c r="R30" s="81" t="n">
        <v>0</v>
      </c>
      <c r="S30" s="81" t="n">
        <v>0</v>
      </c>
      <c r="T30" s="81" t="n">
        <v>0</v>
      </c>
      <c r="U30" s="81" t="n">
        <v>0</v>
      </c>
      <c r="V30" s="81" t="n">
        <v>0</v>
      </c>
    </row>
    <row r="31" customFormat="false" ht="15" hidden="false" customHeight="false" outlineLevel="0" collapsed="false">
      <c r="A31" s="81" t="s">
        <v>969</v>
      </c>
      <c r="B31" s="81" t="s">
        <v>941</v>
      </c>
      <c r="C31" s="81"/>
      <c r="D31" s="81" t="n">
        <v>0.119123382352941</v>
      </c>
      <c r="E31" s="81" t="n">
        <v>40501.95</v>
      </c>
      <c r="F31" s="81" t="n">
        <v>340000</v>
      </c>
      <c r="G31" s="81" t="n">
        <v>299498.05</v>
      </c>
      <c r="H31" s="81" t="n">
        <v>40501.95</v>
      </c>
      <c r="I31" s="81" t="n">
        <v>340000</v>
      </c>
      <c r="J31" s="81" t="n">
        <v>299498.05</v>
      </c>
      <c r="K31" s="81" t="n">
        <v>0</v>
      </c>
      <c r="L31" s="81" t="n">
        <v>0</v>
      </c>
      <c r="M31" s="81" t="n">
        <v>0</v>
      </c>
      <c r="N31" s="81" t="n">
        <v>0</v>
      </c>
      <c r="O31" s="81" t="n">
        <v>0</v>
      </c>
      <c r="P31" s="81" t="n">
        <v>0</v>
      </c>
      <c r="Q31" s="81" t="n">
        <v>0</v>
      </c>
      <c r="R31" s="81" t="n">
        <v>0</v>
      </c>
      <c r="S31" s="81" t="n">
        <v>0</v>
      </c>
      <c r="T31" s="81" t="n">
        <v>0</v>
      </c>
      <c r="U31" s="81" t="n">
        <v>0</v>
      </c>
      <c r="V31" s="81" t="n">
        <v>0</v>
      </c>
    </row>
    <row r="32" customFormat="false" ht="15" hidden="false" customHeight="false" outlineLevel="0" collapsed="false">
      <c r="A32" s="81" t="s">
        <v>970</v>
      </c>
      <c r="B32" s="81" t="s">
        <v>943</v>
      </c>
      <c r="C32" s="81"/>
      <c r="D32" s="81" t="n">
        <v>0</v>
      </c>
      <c r="E32" s="81" t="n">
        <v>0</v>
      </c>
      <c r="F32" s="81" t="n">
        <v>30000</v>
      </c>
      <c r="G32" s="81" t="n">
        <v>30000</v>
      </c>
      <c r="H32" s="81" t="n">
        <v>0</v>
      </c>
      <c r="I32" s="81" t="n">
        <v>0</v>
      </c>
      <c r="J32" s="81" t="n">
        <v>0</v>
      </c>
      <c r="K32" s="81" t="n">
        <v>0</v>
      </c>
      <c r="L32" s="81" t="n">
        <v>30000</v>
      </c>
      <c r="M32" s="81" t="n">
        <v>30000</v>
      </c>
      <c r="N32" s="81" t="n">
        <v>0</v>
      </c>
      <c r="O32" s="81" t="n">
        <v>0</v>
      </c>
      <c r="P32" s="81" t="n">
        <v>0</v>
      </c>
      <c r="Q32" s="81" t="n">
        <v>0</v>
      </c>
      <c r="R32" s="81" t="n">
        <v>0</v>
      </c>
      <c r="S32" s="81" t="n">
        <v>0</v>
      </c>
      <c r="T32" s="81" t="n">
        <v>0</v>
      </c>
      <c r="U32" s="81" t="n">
        <v>0</v>
      </c>
      <c r="V32" s="81" t="n">
        <v>0</v>
      </c>
    </row>
    <row r="33" customFormat="false" ht="15" hidden="false" customHeight="false" outlineLevel="0" collapsed="false">
      <c r="A33" s="81" t="s">
        <v>971</v>
      </c>
      <c r="B33" s="81" t="s">
        <v>943</v>
      </c>
      <c r="C33" s="81"/>
      <c r="D33" s="81" t="n">
        <v>0</v>
      </c>
      <c r="E33" s="81" t="n">
        <v>0</v>
      </c>
      <c r="F33" s="81" t="n">
        <v>30000</v>
      </c>
      <c r="G33" s="81" t="n">
        <v>30000</v>
      </c>
      <c r="H33" s="81" t="n">
        <v>0</v>
      </c>
      <c r="I33" s="81" t="n">
        <v>0</v>
      </c>
      <c r="J33" s="81" t="n">
        <v>0</v>
      </c>
      <c r="K33" s="81" t="n">
        <v>0</v>
      </c>
      <c r="L33" s="81" t="n">
        <v>30000</v>
      </c>
      <c r="M33" s="81" t="n">
        <v>30000</v>
      </c>
      <c r="N33" s="81" t="n">
        <v>0</v>
      </c>
      <c r="O33" s="81" t="n">
        <v>0</v>
      </c>
      <c r="P33" s="81" t="n">
        <v>0</v>
      </c>
      <c r="Q33" s="81" t="n">
        <v>0</v>
      </c>
      <c r="R33" s="81" t="n">
        <v>0</v>
      </c>
      <c r="S33" s="81" t="n">
        <v>0</v>
      </c>
      <c r="T33" s="81" t="n">
        <v>0</v>
      </c>
      <c r="U33" s="81" t="n">
        <v>0</v>
      </c>
      <c r="V33" s="81" t="n">
        <v>0</v>
      </c>
    </row>
    <row r="34" customFormat="false" ht="15" hidden="false" customHeight="false" outlineLevel="0" collapsed="false">
      <c r="A34" s="81" t="s">
        <v>972</v>
      </c>
      <c r="B34" s="81" t="s">
        <v>943</v>
      </c>
      <c r="C34" s="81"/>
      <c r="D34" s="81" t="n">
        <v>0</v>
      </c>
      <c r="E34" s="81" t="n">
        <v>0</v>
      </c>
      <c r="F34" s="81" t="n">
        <v>30000</v>
      </c>
      <c r="G34" s="81" t="n">
        <v>30000</v>
      </c>
      <c r="H34" s="81" t="n">
        <v>0</v>
      </c>
      <c r="I34" s="81" t="n">
        <v>0</v>
      </c>
      <c r="J34" s="81" t="n">
        <v>0</v>
      </c>
      <c r="K34" s="81" t="n">
        <v>0</v>
      </c>
      <c r="L34" s="81" t="n">
        <v>30000</v>
      </c>
      <c r="M34" s="81" t="n">
        <v>30000</v>
      </c>
      <c r="N34" s="81" t="n">
        <v>0</v>
      </c>
      <c r="O34" s="81" t="n">
        <v>0</v>
      </c>
      <c r="P34" s="81" t="n">
        <v>0</v>
      </c>
      <c r="Q34" s="81" t="n">
        <v>0</v>
      </c>
      <c r="R34" s="81" t="n">
        <v>0</v>
      </c>
      <c r="S34" s="81" t="n">
        <v>0</v>
      </c>
      <c r="T34" s="81" t="n">
        <v>0</v>
      </c>
      <c r="U34" s="81" t="n">
        <v>0</v>
      </c>
      <c r="V34" s="81" t="n">
        <v>0</v>
      </c>
    </row>
    <row r="35" customFormat="false" ht="15" hidden="false" customHeight="false" outlineLevel="0" collapsed="false">
      <c r="A35" s="81" t="s">
        <v>973</v>
      </c>
      <c r="B35" s="81" t="s">
        <v>943</v>
      </c>
      <c r="C35" s="81"/>
      <c r="D35" s="81" t="n">
        <v>0</v>
      </c>
      <c r="E35" s="81" t="n">
        <v>0</v>
      </c>
      <c r="F35" s="81" t="n">
        <v>30000</v>
      </c>
      <c r="G35" s="81" t="n">
        <v>30000</v>
      </c>
      <c r="H35" s="81" t="n">
        <v>0</v>
      </c>
      <c r="I35" s="81" t="n">
        <v>0</v>
      </c>
      <c r="J35" s="81" t="n">
        <v>0</v>
      </c>
      <c r="K35" s="81" t="n">
        <v>0</v>
      </c>
      <c r="L35" s="81" t="n">
        <v>30000</v>
      </c>
      <c r="M35" s="81" t="n">
        <v>30000</v>
      </c>
      <c r="N35" s="81" t="n">
        <v>0</v>
      </c>
      <c r="O35" s="81" t="n">
        <v>0</v>
      </c>
      <c r="P35" s="81" t="n">
        <v>0</v>
      </c>
      <c r="Q35" s="81" t="n">
        <v>0</v>
      </c>
      <c r="R35" s="81" t="n">
        <v>0</v>
      </c>
      <c r="S35" s="81" t="n">
        <v>0</v>
      </c>
      <c r="T35" s="81" t="n">
        <v>0</v>
      </c>
      <c r="U35" s="81" t="n">
        <v>0</v>
      </c>
      <c r="V35" s="81" t="n">
        <v>0</v>
      </c>
    </row>
    <row r="36" customFormat="false" ht="15" hidden="false" customHeight="false" outlineLevel="0" collapsed="false">
      <c r="A36" s="81" t="s">
        <v>974</v>
      </c>
      <c r="B36" s="81" t="s">
        <v>943</v>
      </c>
      <c r="C36" s="81"/>
      <c r="D36" s="81" t="n">
        <v>0</v>
      </c>
      <c r="E36" s="81" t="n">
        <v>0</v>
      </c>
      <c r="F36" s="81" t="n">
        <v>30000</v>
      </c>
      <c r="G36" s="81" t="n">
        <v>30000</v>
      </c>
      <c r="H36" s="81" t="n">
        <v>0</v>
      </c>
      <c r="I36" s="81" t="n">
        <v>0</v>
      </c>
      <c r="J36" s="81" t="n">
        <v>0</v>
      </c>
      <c r="K36" s="81" t="n">
        <v>0</v>
      </c>
      <c r="L36" s="81" t="n">
        <v>30000</v>
      </c>
      <c r="M36" s="81" t="n">
        <v>30000</v>
      </c>
      <c r="N36" s="81" t="n">
        <v>0</v>
      </c>
      <c r="O36" s="81" t="n">
        <v>0</v>
      </c>
      <c r="P36" s="81" t="n">
        <v>0</v>
      </c>
      <c r="Q36" s="81" t="n">
        <v>0</v>
      </c>
      <c r="R36" s="81" t="n">
        <v>0</v>
      </c>
      <c r="S36" s="81" t="n">
        <v>0</v>
      </c>
      <c r="T36" s="81" t="n">
        <v>0</v>
      </c>
      <c r="U36" s="81" t="n">
        <v>0</v>
      </c>
      <c r="V36" s="81" t="n">
        <v>0</v>
      </c>
    </row>
    <row r="37" customFormat="false" ht="15" hidden="false" customHeight="false" outlineLevel="0" collapsed="false">
      <c r="A37" s="81" t="s">
        <v>975</v>
      </c>
      <c r="B37" s="81" t="s">
        <v>943</v>
      </c>
      <c r="C37" s="81"/>
      <c r="D37" s="81" t="n">
        <v>0</v>
      </c>
      <c r="E37" s="81" t="n">
        <v>0</v>
      </c>
      <c r="F37" s="81" t="n">
        <v>30000</v>
      </c>
      <c r="G37" s="81" t="n">
        <v>30000</v>
      </c>
      <c r="H37" s="81" t="n">
        <v>0</v>
      </c>
      <c r="I37" s="81" t="n">
        <v>0</v>
      </c>
      <c r="J37" s="81" t="n">
        <v>0</v>
      </c>
      <c r="K37" s="81" t="n">
        <v>0</v>
      </c>
      <c r="L37" s="81" t="n">
        <v>30000</v>
      </c>
      <c r="M37" s="81" t="n">
        <v>30000</v>
      </c>
      <c r="N37" s="81" t="n">
        <v>0</v>
      </c>
      <c r="O37" s="81" t="n">
        <v>0</v>
      </c>
      <c r="P37" s="81" t="n">
        <v>0</v>
      </c>
      <c r="Q37" s="81" t="n">
        <v>0</v>
      </c>
      <c r="R37" s="81" t="n">
        <v>0</v>
      </c>
      <c r="S37" s="81" t="n">
        <v>0</v>
      </c>
      <c r="T37" s="81" t="n">
        <v>0</v>
      </c>
      <c r="U37" s="81" t="n">
        <v>0</v>
      </c>
      <c r="V37" s="81" t="n">
        <v>0</v>
      </c>
    </row>
    <row r="38" customFormat="false" ht="15" hidden="false" customHeight="false" outlineLevel="0" collapsed="false">
      <c r="A38" s="81" t="s">
        <v>976</v>
      </c>
      <c r="B38" s="81" t="s">
        <v>941</v>
      </c>
      <c r="C38" s="81"/>
      <c r="D38" s="81" t="n">
        <v>0.406763815789474</v>
      </c>
      <c r="E38" s="81" t="n">
        <v>309140.5</v>
      </c>
      <c r="F38" s="81" t="n">
        <v>760000</v>
      </c>
      <c r="G38" s="81" t="n">
        <v>450859.5</v>
      </c>
      <c r="H38" s="81" t="n">
        <v>309140.5</v>
      </c>
      <c r="I38" s="81" t="n">
        <v>760000</v>
      </c>
      <c r="J38" s="81" t="n">
        <v>450859.5</v>
      </c>
      <c r="K38" s="81" t="n">
        <v>0</v>
      </c>
      <c r="L38" s="81" t="n">
        <v>0</v>
      </c>
      <c r="M38" s="81" t="n">
        <v>0</v>
      </c>
      <c r="N38" s="81" t="n">
        <v>0</v>
      </c>
      <c r="O38" s="81" t="n">
        <v>0</v>
      </c>
      <c r="P38" s="81" t="n">
        <v>0</v>
      </c>
      <c r="Q38" s="81" t="n">
        <v>0</v>
      </c>
      <c r="R38" s="81" t="n">
        <v>0</v>
      </c>
      <c r="S38" s="81" t="n">
        <v>0</v>
      </c>
      <c r="T38" s="81" t="n">
        <v>0</v>
      </c>
      <c r="U38" s="81" t="n">
        <v>0</v>
      </c>
      <c r="V38" s="81" t="n">
        <v>0</v>
      </c>
    </row>
    <row r="39" customFormat="false" ht="15" hidden="false" customHeight="false" outlineLevel="0" collapsed="false">
      <c r="A39" s="81" t="s">
        <v>977</v>
      </c>
      <c r="B39" s="81" t="s">
        <v>941</v>
      </c>
      <c r="C39" s="81"/>
      <c r="D39" s="81" t="n">
        <v>0.507316632653061</v>
      </c>
      <c r="E39" s="81" t="n">
        <v>248585.15</v>
      </c>
      <c r="F39" s="81" t="n">
        <v>490000</v>
      </c>
      <c r="G39" s="81" t="n">
        <v>241414.85</v>
      </c>
      <c r="H39" s="81" t="n">
        <v>0</v>
      </c>
      <c r="I39" s="81" t="n">
        <v>0</v>
      </c>
      <c r="J39" s="81" t="n">
        <v>0</v>
      </c>
      <c r="K39" s="81" t="n">
        <v>0</v>
      </c>
      <c r="L39" s="81" t="n">
        <v>0</v>
      </c>
      <c r="M39" s="81" t="n">
        <v>0</v>
      </c>
      <c r="N39" s="81" t="n">
        <v>248585.15</v>
      </c>
      <c r="O39" s="81" t="n">
        <v>490000</v>
      </c>
      <c r="P39" s="81" t="n">
        <v>241414.85</v>
      </c>
      <c r="Q39" s="81" t="n">
        <v>0</v>
      </c>
      <c r="R39" s="81" t="n">
        <v>0</v>
      </c>
      <c r="S39" s="81" t="n">
        <v>0</v>
      </c>
      <c r="T39" s="81" t="n">
        <v>0</v>
      </c>
      <c r="U39" s="81" t="n">
        <v>0</v>
      </c>
      <c r="V39" s="81" t="n">
        <v>0</v>
      </c>
    </row>
    <row r="40" customFormat="false" ht="15" hidden="false" customHeight="false" outlineLevel="0" collapsed="false">
      <c r="A40" s="81" t="s">
        <v>978</v>
      </c>
      <c r="B40" s="81" t="s">
        <v>941</v>
      </c>
      <c r="C40" s="81"/>
      <c r="D40" s="81" t="n">
        <v>0.999262222222222</v>
      </c>
      <c r="E40" s="81" t="n">
        <v>44966.8</v>
      </c>
      <c r="F40" s="81" t="n">
        <v>45000</v>
      </c>
      <c r="G40" s="81" t="n">
        <v>33.2</v>
      </c>
      <c r="H40" s="81" t="n">
        <v>44966.8</v>
      </c>
      <c r="I40" s="81" t="n">
        <v>45000</v>
      </c>
      <c r="J40" s="81" t="n">
        <v>33.2</v>
      </c>
      <c r="K40" s="81" t="n">
        <v>0</v>
      </c>
      <c r="L40" s="81" t="n">
        <v>0</v>
      </c>
      <c r="M40" s="81" t="n">
        <v>0</v>
      </c>
      <c r="N40" s="81" t="n">
        <v>0</v>
      </c>
      <c r="O40" s="81" t="n">
        <v>0</v>
      </c>
      <c r="P40" s="81" t="n">
        <v>0</v>
      </c>
      <c r="Q40" s="81" t="n">
        <v>0</v>
      </c>
      <c r="R40" s="81" t="n">
        <v>0</v>
      </c>
      <c r="S40" s="81" t="n">
        <v>0</v>
      </c>
      <c r="T40" s="81" t="n">
        <v>0</v>
      </c>
      <c r="U40" s="81" t="n">
        <v>0</v>
      </c>
      <c r="V40" s="81" t="n">
        <v>0</v>
      </c>
    </row>
    <row r="41" customFormat="false" ht="15" hidden="false" customHeight="false" outlineLevel="0" collapsed="false">
      <c r="A41" s="81" t="s">
        <v>979</v>
      </c>
      <c r="B41" s="81" t="s">
        <v>941</v>
      </c>
      <c r="C41" s="81"/>
      <c r="D41" s="81" t="n">
        <v>0.630189</v>
      </c>
      <c r="E41" s="81" t="n">
        <v>37811.34</v>
      </c>
      <c r="F41" s="81" t="n">
        <v>60000</v>
      </c>
      <c r="G41" s="81" t="n">
        <v>22188.66</v>
      </c>
      <c r="H41" s="81" t="n">
        <v>37366.65</v>
      </c>
      <c r="I41" s="81" t="n">
        <v>49000</v>
      </c>
      <c r="J41" s="81" t="n">
        <v>11633.35</v>
      </c>
      <c r="K41" s="81" t="n">
        <v>0</v>
      </c>
      <c r="L41" s="81" t="n">
        <v>8000</v>
      </c>
      <c r="M41" s="81" t="n">
        <v>8000</v>
      </c>
      <c r="N41" s="81" t="n">
        <v>0</v>
      </c>
      <c r="O41" s="81" t="n">
        <v>3000</v>
      </c>
      <c r="P41" s="81" t="n">
        <v>3000</v>
      </c>
      <c r="Q41" s="81" t="n">
        <v>444.69</v>
      </c>
      <c r="R41" s="81" t="n">
        <v>0</v>
      </c>
      <c r="S41" s="81" t="n">
        <v>-444.69</v>
      </c>
      <c r="T41" s="81" t="n">
        <v>0</v>
      </c>
      <c r="U41" s="81" t="n">
        <v>0</v>
      </c>
      <c r="V41" s="81" t="n">
        <v>0</v>
      </c>
    </row>
    <row r="42" customFormat="false" ht="15" hidden="false" customHeight="false" outlineLevel="0" collapsed="false">
      <c r="A42" s="81" t="s">
        <v>980</v>
      </c>
      <c r="B42" s="81" t="s">
        <v>941</v>
      </c>
      <c r="C42" s="81"/>
      <c r="D42" s="81" t="n">
        <v>0.00382273684210526</v>
      </c>
      <c r="E42" s="81" t="n">
        <v>363.16</v>
      </c>
      <c r="F42" s="81" t="n">
        <v>95000</v>
      </c>
      <c r="G42" s="81" t="n">
        <v>94636.84</v>
      </c>
      <c r="H42" s="81" t="n">
        <v>363.16</v>
      </c>
      <c r="I42" s="81" t="n">
        <v>29000</v>
      </c>
      <c r="J42" s="81" t="n">
        <v>28636.84</v>
      </c>
      <c r="K42" s="81" t="n">
        <v>0</v>
      </c>
      <c r="L42" s="81" t="n">
        <v>18000</v>
      </c>
      <c r="M42" s="81" t="n">
        <v>18000</v>
      </c>
      <c r="N42" s="81" t="n">
        <v>0</v>
      </c>
      <c r="O42" s="81" t="n">
        <v>48000</v>
      </c>
      <c r="P42" s="81" t="n">
        <v>48000</v>
      </c>
      <c r="Q42" s="81" t="n">
        <v>0</v>
      </c>
      <c r="R42" s="81" t="n">
        <v>0</v>
      </c>
      <c r="S42" s="81" t="n">
        <v>0</v>
      </c>
      <c r="T42" s="81" t="n">
        <v>0</v>
      </c>
      <c r="U42" s="81" t="n">
        <v>0</v>
      </c>
      <c r="V42" s="81" t="n">
        <v>0</v>
      </c>
    </row>
    <row r="43" customFormat="false" ht="15" hidden="false" customHeight="false" outlineLevel="0" collapsed="false">
      <c r="A43" s="81" t="s">
        <v>981</v>
      </c>
      <c r="B43" s="81" t="s">
        <v>941</v>
      </c>
      <c r="C43" s="81"/>
      <c r="D43" s="81" t="n">
        <v>0.454596785714286</v>
      </c>
      <c r="E43" s="81" t="n">
        <v>63643.55</v>
      </c>
      <c r="F43" s="81" t="n">
        <v>140000</v>
      </c>
      <c r="G43" s="81" t="n">
        <v>76356.45</v>
      </c>
      <c r="H43" s="81" t="n">
        <v>53851.47</v>
      </c>
      <c r="I43" s="81" t="n">
        <v>48000</v>
      </c>
      <c r="J43" s="81" t="n">
        <v>-5851.47</v>
      </c>
      <c r="K43" s="81" t="n">
        <v>9668.29</v>
      </c>
      <c r="L43" s="81" t="n">
        <v>81000</v>
      </c>
      <c r="M43" s="81" t="n">
        <v>71331.71</v>
      </c>
      <c r="N43" s="81" t="n">
        <v>0</v>
      </c>
      <c r="O43" s="81" t="n">
        <v>11000</v>
      </c>
      <c r="P43" s="81" t="n">
        <v>11000</v>
      </c>
      <c r="Q43" s="81" t="n">
        <v>123.79</v>
      </c>
      <c r="R43" s="81" t="n">
        <v>0</v>
      </c>
      <c r="S43" s="81" t="n">
        <v>-123.79</v>
      </c>
      <c r="T43" s="81" t="n">
        <v>0</v>
      </c>
      <c r="U43" s="81" t="n">
        <v>0</v>
      </c>
      <c r="V43" s="81" t="n">
        <v>0</v>
      </c>
    </row>
    <row r="44" customFormat="false" ht="15" hidden="false" customHeight="false" outlineLevel="0" collapsed="false">
      <c r="A44" s="81" t="s">
        <v>982</v>
      </c>
      <c r="B44" s="81" t="s">
        <v>941</v>
      </c>
      <c r="C44" s="81"/>
      <c r="D44" s="81" t="n">
        <v>2.1355564</v>
      </c>
      <c r="E44" s="81" t="n">
        <v>53388.91</v>
      </c>
      <c r="F44" s="81" t="n">
        <v>25000</v>
      </c>
      <c r="G44" s="81" t="n">
        <v>-28388.91</v>
      </c>
      <c r="H44" s="81" t="n">
        <v>0</v>
      </c>
      <c r="I44" s="81" t="n">
        <v>0</v>
      </c>
      <c r="J44" s="81" t="n">
        <v>0</v>
      </c>
      <c r="K44" s="81" t="n">
        <v>42644.91</v>
      </c>
      <c r="L44" s="81" t="n">
        <v>25000</v>
      </c>
      <c r="M44" s="81" t="n">
        <v>-17644.91</v>
      </c>
      <c r="N44" s="81" t="n">
        <v>10552.5</v>
      </c>
      <c r="O44" s="81" t="n">
        <v>0</v>
      </c>
      <c r="P44" s="81" t="n">
        <v>-10552.5</v>
      </c>
      <c r="Q44" s="81" t="n">
        <v>191.5</v>
      </c>
      <c r="R44" s="81" t="n">
        <v>0</v>
      </c>
      <c r="S44" s="81" t="n">
        <v>-191.5</v>
      </c>
      <c r="T44" s="81" t="n">
        <v>0</v>
      </c>
      <c r="U44" s="81" t="n">
        <v>0</v>
      </c>
      <c r="V44" s="81" t="n">
        <v>0</v>
      </c>
    </row>
    <row r="45" customFormat="false" ht="15" hidden="false" customHeight="false" outlineLevel="0" collapsed="false">
      <c r="A45" s="81" t="s">
        <v>983</v>
      </c>
      <c r="B45" s="81" t="s">
        <v>941</v>
      </c>
      <c r="C45" s="81"/>
      <c r="D45" s="81" t="n">
        <v>1.5457472</v>
      </c>
      <c r="E45" s="81" t="n">
        <v>38643.68</v>
      </c>
      <c r="F45" s="81" t="n">
        <v>25000</v>
      </c>
      <c r="G45" s="81" t="n">
        <v>-13643.68</v>
      </c>
      <c r="H45" s="81" t="n">
        <v>0</v>
      </c>
      <c r="I45" s="81" t="n">
        <v>0</v>
      </c>
      <c r="J45" s="81" t="n">
        <v>0</v>
      </c>
      <c r="K45" s="81" t="n">
        <v>38643.68</v>
      </c>
      <c r="L45" s="81" t="n">
        <v>25000</v>
      </c>
      <c r="M45" s="81" t="n">
        <v>-13643.68</v>
      </c>
      <c r="N45" s="81" t="n">
        <v>0</v>
      </c>
      <c r="O45" s="81" t="n">
        <v>0</v>
      </c>
      <c r="P45" s="81" t="n">
        <v>0</v>
      </c>
      <c r="Q45" s="81" t="n">
        <v>0</v>
      </c>
      <c r="R45" s="81" t="n">
        <v>0</v>
      </c>
      <c r="S45" s="81" t="n">
        <v>0</v>
      </c>
      <c r="T45" s="81" t="n">
        <v>0</v>
      </c>
      <c r="U45" s="81" t="n">
        <v>0</v>
      </c>
      <c r="V45" s="81" t="n">
        <v>0</v>
      </c>
    </row>
    <row r="46" customFormat="false" ht="15" hidden="false" customHeight="false" outlineLevel="0" collapsed="false">
      <c r="A46" s="81" t="s">
        <v>984</v>
      </c>
      <c r="B46" s="81" t="s">
        <v>941</v>
      </c>
      <c r="C46" s="81"/>
      <c r="D46" s="81" t="n">
        <v>1.8311324</v>
      </c>
      <c r="E46" s="81" t="n">
        <v>45778.31</v>
      </c>
      <c r="F46" s="81" t="n">
        <v>25000</v>
      </c>
      <c r="G46" s="81" t="n">
        <v>-20778.31</v>
      </c>
      <c r="H46" s="81" t="n">
        <v>0</v>
      </c>
      <c r="I46" s="81" t="n">
        <v>0</v>
      </c>
      <c r="J46" s="81" t="n">
        <v>0</v>
      </c>
      <c r="K46" s="81" t="n">
        <v>45778.31</v>
      </c>
      <c r="L46" s="81" t="n">
        <v>25000</v>
      </c>
      <c r="M46" s="81" t="n">
        <v>-20778.31</v>
      </c>
      <c r="N46" s="81" t="n">
        <v>0</v>
      </c>
      <c r="O46" s="81" t="n">
        <v>0</v>
      </c>
      <c r="P46" s="81" t="n">
        <v>0</v>
      </c>
      <c r="Q46" s="81" t="n">
        <v>0</v>
      </c>
      <c r="R46" s="81" t="n">
        <v>0</v>
      </c>
      <c r="S46" s="81" t="n">
        <v>0</v>
      </c>
      <c r="T46" s="81" t="n">
        <v>0</v>
      </c>
      <c r="U46" s="81" t="n">
        <v>0</v>
      </c>
      <c r="V46" s="81" t="n">
        <v>0</v>
      </c>
    </row>
    <row r="47" customFormat="false" ht="15" hidden="false" customHeight="false" outlineLevel="0" collapsed="false">
      <c r="A47" s="81" t="s">
        <v>985</v>
      </c>
      <c r="B47" s="81" t="s">
        <v>941</v>
      </c>
      <c r="C47" s="81"/>
      <c r="D47" s="81" t="n">
        <v>1.483008</v>
      </c>
      <c r="E47" s="81" t="n">
        <v>37075.2</v>
      </c>
      <c r="F47" s="81" t="n">
        <v>25000</v>
      </c>
      <c r="G47" s="81" t="n">
        <v>-12075.2</v>
      </c>
      <c r="H47" s="81" t="n">
        <v>0</v>
      </c>
      <c r="I47" s="81" t="n">
        <v>0</v>
      </c>
      <c r="J47" s="81" t="n">
        <v>0</v>
      </c>
      <c r="K47" s="81" t="n">
        <v>37075.2</v>
      </c>
      <c r="L47" s="81" t="n">
        <v>25000</v>
      </c>
      <c r="M47" s="81" t="n">
        <v>-12075.2</v>
      </c>
      <c r="N47" s="81" t="n">
        <v>0</v>
      </c>
      <c r="O47" s="81" t="n">
        <v>0</v>
      </c>
      <c r="P47" s="81" t="n">
        <v>0</v>
      </c>
      <c r="Q47" s="81" t="n">
        <v>0</v>
      </c>
      <c r="R47" s="81" t="n">
        <v>0</v>
      </c>
      <c r="S47" s="81" t="n">
        <v>0</v>
      </c>
      <c r="T47" s="81" t="n">
        <v>0</v>
      </c>
      <c r="U47" s="81" t="n">
        <v>0</v>
      </c>
      <c r="V47" s="81" t="n">
        <v>0</v>
      </c>
    </row>
    <row r="48" customFormat="false" ht="15" hidden="false" customHeight="false" outlineLevel="0" collapsed="false">
      <c r="A48" s="81" t="s">
        <v>986</v>
      </c>
      <c r="B48" s="81" t="s">
        <v>941</v>
      </c>
      <c r="C48" s="81"/>
      <c r="D48" s="81" t="n">
        <v>2.2003332</v>
      </c>
      <c r="E48" s="81" t="n">
        <v>55008.33</v>
      </c>
      <c r="F48" s="81" t="n">
        <v>25000</v>
      </c>
      <c r="G48" s="81" t="n">
        <v>-30008.33</v>
      </c>
      <c r="H48" s="81" t="n">
        <v>4215.13</v>
      </c>
      <c r="I48" s="81" t="n">
        <v>0</v>
      </c>
      <c r="J48" s="81" t="n">
        <v>-4215.13</v>
      </c>
      <c r="K48" s="81" t="n">
        <v>50793.2</v>
      </c>
      <c r="L48" s="81" t="n">
        <v>25000</v>
      </c>
      <c r="M48" s="81" t="n">
        <v>-25793.2</v>
      </c>
      <c r="N48" s="81" t="n">
        <v>0</v>
      </c>
      <c r="O48" s="81" t="n">
        <v>0</v>
      </c>
      <c r="P48" s="81" t="n">
        <v>0</v>
      </c>
      <c r="Q48" s="81" t="n">
        <v>0</v>
      </c>
      <c r="R48" s="81" t="n">
        <v>0</v>
      </c>
      <c r="S48" s="81" t="n">
        <v>0</v>
      </c>
      <c r="T48" s="81" t="n">
        <v>0</v>
      </c>
      <c r="U48" s="81" t="n">
        <v>0</v>
      </c>
      <c r="V48" s="81" t="n">
        <v>0</v>
      </c>
    </row>
    <row r="49" customFormat="false" ht="15" hidden="false" customHeight="false" outlineLevel="0" collapsed="false">
      <c r="A49" s="81" t="s">
        <v>987</v>
      </c>
      <c r="B49" s="81" t="s">
        <v>941</v>
      </c>
      <c r="C49" s="81"/>
      <c r="D49" s="81" t="n">
        <v>2.2298928</v>
      </c>
      <c r="E49" s="81" t="n">
        <v>55747.32</v>
      </c>
      <c r="F49" s="81" t="n">
        <v>25000</v>
      </c>
      <c r="G49" s="81" t="n">
        <v>-30747.32</v>
      </c>
      <c r="H49" s="81" t="n">
        <v>10358.7</v>
      </c>
      <c r="I49" s="81" t="n">
        <v>0</v>
      </c>
      <c r="J49" s="81" t="n">
        <v>-10358.7</v>
      </c>
      <c r="K49" s="81" t="n">
        <v>45388.62</v>
      </c>
      <c r="L49" s="81" t="n">
        <v>25000</v>
      </c>
      <c r="M49" s="81" t="n">
        <v>-20388.62</v>
      </c>
      <c r="N49" s="81" t="n">
        <v>0</v>
      </c>
      <c r="O49" s="81" t="n">
        <v>0</v>
      </c>
      <c r="P49" s="81" t="n">
        <v>0</v>
      </c>
      <c r="Q49" s="81" t="n">
        <v>0</v>
      </c>
      <c r="R49" s="81" t="n">
        <v>0</v>
      </c>
      <c r="S49" s="81" t="n">
        <v>0</v>
      </c>
      <c r="T49" s="81" t="n">
        <v>0</v>
      </c>
      <c r="U49" s="81" t="n">
        <v>0</v>
      </c>
      <c r="V49" s="81" t="n">
        <v>0</v>
      </c>
    </row>
    <row r="50" customFormat="false" ht="15" hidden="false" customHeight="false" outlineLevel="0" collapsed="false">
      <c r="A50" s="81" t="s">
        <v>988</v>
      </c>
      <c r="B50" s="81" t="s">
        <v>941</v>
      </c>
      <c r="C50" s="81"/>
      <c r="D50" s="81" t="n">
        <v>2.119472</v>
      </c>
      <c r="E50" s="81" t="n">
        <v>158960.4</v>
      </c>
      <c r="F50" s="81" t="n">
        <v>75000</v>
      </c>
      <c r="G50" s="81" t="n">
        <v>-83960.4</v>
      </c>
      <c r="H50" s="81" t="n">
        <v>158960.4</v>
      </c>
      <c r="I50" s="81" t="n">
        <v>75000</v>
      </c>
      <c r="J50" s="81" t="n">
        <v>-83960.4</v>
      </c>
      <c r="K50" s="81" t="n">
        <v>0</v>
      </c>
      <c r="L50" s="81" t="n">
        <v>0</v>
      </c>
      <c r="M50" s="81" t="n">
        <v>0</v>
      </c>
      <c r="N50" s="81" t="n">
        <v>0</v>
      </c>
      <c r="O50" s="81" t="n">
        <v>0</v>
      </c>
      <c r="P50" s="81" t="n">
        <v>0</v>
      </c>
      <c r="Q50" s="81" t="n">
        <v>0</v>
      </c>
      <c r="R50" s="81" t="n">
        <v>0</v>
      </c>
      <c r="S50" s="81" t="n">
        <v>0</v>
      </c>
      <c r="T50" s="81" t="n">
        <v>0</v>
      </c>
      <c r="U50" s="81" t="n">
        <v>0</v>
      </c>
      <c r="V50" s="81" t="n">
        <v>0</v>
      </c>
    </row>
    <row r="51" customFormat="false" ht="15" hidden="false" customHeight="false" outlineLevel="0" collapsed="false">
      <c r="A51" s="81" t="s">
        <v>989</v>
      </c>
      <c r="B51" s="81" t="s">
        <v>941</v>
      </c>
      <c r="C51" s="81"/>
      <c r="D51" s="81" t="n">
        <v>0.0229909090909091</v>
      </c>
      <c r="E51" s="81" t="n">
        <v>126.45</v>
      </c>
      <c r="F51" s="81" t="n">
        <v>5500</v>
      </c>
      <c r="G51" s="81" t="n">
        <v>5373.55</v>
      </c>
      <c r="H51" s="81" t="n">
        <v>0</v>
      </c>
      <c r="I51" s="81" t="n">
        <v>0</v>
      </c>
      <c r="J51" s="81" t="n">
        <v>0</v>
      </c>
      <c r="K51" s="81" t="n">
        <v>126.45</v>
      </c>
      <c r="L51" s="81" t="n">
        <v>5500</v>
      </c>
      <c r="M51" s="81" t="n">
        <v>5373.55</v>
      </c>
      <c r="N51" s="81" t="n">
        <v>0</v>
      </c>
      <c r="O51" s="81" t="n">
        <v>0</v>
      </c>
      <c r="P51" s="81" t="n">
        <v>0</v>
      </c>
      <c r="Q51" s="81" t="n">
        <v>0</v>
      </c>
      <c r="R51" s="81" t="n">
        <v>0</v>
      </c>
      <c r="S51" s="81" t="n">
        <v>0</v>
      </c>
      <c r="T51" s="81" t="n">
        <v>0</v>
      </c>
      <c r="U51" s="81" t="n">
        <v>0</v>
      </c>
      <c r="V51" s="81" t="n">
        <v>0</v>
      </c>
    </row>
    <row r="52" customFormat="false" ht="15" hidden="false" customHeight="false" outlineLevel="0" collapsed="false">
      <c r="A52" s="81" t="s">
        <v>990</v>
      </c>
      <c r="B52" s="81" t="s">
        <v>941</v>
      </c>
      <c r="C52" s="81"/>
      <c r="D52" s="81" t="n">
        <v>0.09042</v>
      </c>
      <c r="E52" s="81" t="n">
        <v>497.31</v>
      </c>
      <c r="F52" s="81" t="n">
        <v>5500</v>
      </c>
      <c r="G52" s="81" t="n">
        <v>5002.69</v>
      </c>
      <c r="H52" s="81" t="n">
        <v>0</v>
      </c>
      <c r="I52" s="81" t="n">
        <v>0</v>
      </c>
      <c r="J52" s="81" t="n">
        <v>0</v>
      </c>
      <c r="K52" s="81" t="n">
        <v>497.31</v>
      </c>
      <c r="L52" s="81" t="n">
        <v>5500</v>
      </c>
      <c r="M52" s="81" t="n">
        <v>5002.69</v>
      </c>
      <c r="N52" s="81" t="n">
        <v>0</v>
      </c>
      <c r="O52" s="81" t="n">
        <v>0</v>
      </c>
      <c r="P52" s="81" t="n">
        <v>0</v>
      </c>
      <c r="Q52" s="81" t="n">
        <v>0</v>
      </c>
      <c r="R52" s="81" t="n">
        <v>0</v>
      </c>
      <c r="S52" s="81" t="n">
        <v>0</v>
      </c>
      <c r="T52" s="81" t="n">
        <v>0</v>
      </c>
      <c r="U52" s="81" t="n">
        <v>0</v>
      </c>
      <c r="V52" s="81" t="n">
        <v>0</v>
      </c>
    </row>
    <row r="53" customFormat="false" ht="15" hidden="false" customHeight="false" outlineLevel="0" collapsed="false">
      <c r="A53" s="81" t="s">
        <v>991</v>
      </c>
      <c r="B53" s="81" t="s">
        <v>941</v>
      </c>
      <c r="C53" s="81"/>
      <c r="D53" s="81" t="n">
        <v>0.172870909090909</v>
      </c>
      <c r="E53" s="81" t="n">
        <v>950.79</v>
      </c>
      <c r="F53" s="81" t="n">
        <v>5500</v>
      </c>
      <c r="G53" s="81" t="n">
        <v>4549.21</v>
      </c>
      <c r="H53" s="81" t="n">
        <v>0</v>
      </c>
      <c r="I53" s="81" t="n">
        <v>0</v>
      </c>
      <c r="J53" s="81" t="n">
        <v>0</v>
      </c>
      <c r="K53" s="81" t="n">
        <v>950.79</v>
      </c>
      <c r="L53" s="81" t="n">
        <v>5500</v>
      </c>
      <c r="M53" s="81" t="n">
        <v>4549.21</v>
      </c>
      <c r="N53" s="81" t="n">
        <v>0</v>
      </c>
      <c r="O53" s="81" t="n">
        <v>0</v>
      </c>
      <c r="P53" s="81" t="n">
        <v>0</v>
      </c>
      <c r="Q53" s="81" t="n">
        <v>0</v>
      </c>
      <c r="R53" s="81" t="n">
        <v>0</v>
      </c>
      <c r="S53" s="81" t="n">
        <v>0</v>
      </c>
      <c r="T53" s="81" t="n">
        <v>0</v>
      </c>
      <c r="U53" s="81" t="n">
        <v>0</v>
      </c>
      <c r="V53" s="81" t="n">
        <v>0</v>
      </c>
    </row>
    <row r="54" customFormat="false" ht="15" hidden="false" customHeight="false" outlineLevel="0" collapsed="false">
      <c r="A54" s="81" t="s">
        <v>992</v>
      </c>
      <c r="B54" s="81" t="s">
        <v>941</v>
      </c>
      <c r="C54" s="81"/>
      <c r="D54" s="81" t="n">
        <v>0.234247272727273</v>
      </c>
      <c r="E54" s="81" t="n">
        <v>1288.36</v>
      </c>
      <c r="F54" s="81" t="n">
        <v>5500</v>
      </c>
      <c r="G54" s="81" t="n">
        <v>4211.64</v>
      </c>
      <c r="H54" s="81" t="n">
        <v>0</v>
      </c>
      <c r="I54" s="81" t="n">
        <v>0</v>
      </c>
      <c r="J54" s="81" t="n">
        <v>0</v>
      </c>
      <c r="K54" s="81" t="n">
        <v>1288.36</v>
      </c>
      <c r="L54" s="81" t="n">
        <v>5500</v>
      </c>
      <c r="M54" s="81" t="n">
        <v>4211.64</v>
      </c>
      <c r="N54" s="81" t="n">
        <v>0</v>
      </c>
      <c r="O54" s="81" t="n">
        <v>0</v>
      </c>
      <c r="P54" s="81" t="n">
        <v>0</v>
      </c>
      <c r="Q54" s="81" t="n">
        <v>0</v>
      </c>
      <c r="R54" s="81" t="n">
        <v>0</v>
      </c>
      <c r="S54" s="81" t="n">
        <v>0</v>
      </c>
      <c r="T54" s="81" t="n">
        <v>0</v>
      </c>
      <c r="U54" s="81" t="n">
        <v>0</v>
      </c>
      <c r="V54" s="81" t="n">
        <v>0</v>
      </c>
    </row>
    <row r="55" customFormat="false" ht="15" hidden="false" customHeight="false" outlineLevel="0" collapsed="false">
      <c r="A55" s="81" t="s">
        <v>993</v>
      </c>
      <c r="B55" s="81" t="s">
        <v>941</v>
      </c>
      <c r="C55" s="81"/>
      <c r="D55" s="81" t="n">
        <v>0.602363636363636</v>
      </c>
      <c r="E55" s="81" t="n">
        <v>3313</v>
      </c>
      <c r="F55" s="81" t="n">
        <v>5500</v>
      </c>
      <c r="G55" s="81" t="n">
        <v>2187</v>
      </c>
      <c r="H55" s="81" t="n">
        <v>0</v>
      </c>
      <c r="I55" s="81" t="n">
        <v>0</v>
      </c>
      <c r="J55" s="81" t="n">
        <v>0</v>
      </c>
      <c r="K55" s="81" t="n">
        <v>3313</v>
      </c>
      <c r="L55" s="81" t="n">
        <v>5500</v>
      </c>
      <c r="M55" s="81" t="n">
        <v>2187</v>
      </c>
      <c r="N55" s="81" t="n">
        <v>0</v>
      </c>
      <c r="O55" s="81" t="n">
        <v>0</v>
      </c>
      <c r="P55" s="81" t="n">
        <v>0</v>
      </c>
      <c r="Q55" s="81" t="n">
        <v>0</v>
      </c>
      <c r="R55" s="81" t="n">
        <v>0</v>
      </c>
      <c r="S55" s="81" t="n">
        <v>0</v>
      </c>
      <c r="T55" s="81" t="n">
        <v>0</v>
      </c>
      <c r="U55" s="81" t="n">
        <v>0</v>
      </c>
      <c r="V55" s="81" t="n">
        <v>0</v>
      </c>
    </row>
    <row r="56" customFormat="false" ht="15" hidden="false" customHeight="false" outlineLevel="0" collapsed="false">
      <c r="A56" s="81" t="s">
        <v>994</v>
      </c>
      <c r="B56" s="81" t="s">
        <v>941</v>
      </c>
      <c r="C56" s="81"/>
      <c r="D56" s="81" t="n">
        <v>0.434423636363636</v>
      </c>
      <c r="E56" s="81" t="n">
        <v>2389.33</v>
      </c>
      <c r="F56" s="81" t="n">
        <v>5500</v>
      </c>
      <c r="G56" s="81" t="n">
        <v>3110.67</v>
      </c>
      <c r="H56" s="81" t="n">
        <v>0</v>
      </c>
      <c r="I56" s="81" t="n">
        <v>0</v>
      </c>
      <c r="J56" s="81" t="n">
        <v>0</v>
      </c>
      <c r="K56" s="81" t="n">
        <v>2389.33</v>
      </c>
      <c r="L56" s="81" t="n">
        <v>5500</v>
      </c>
      <c r="M56" s="81" t="n">
        <v>3110.67</v>
      </c>
      <c r="N56" s="81" t="n">
        <v>0</v>
      </c>
      <c r="O56" s="81" t="n">
        <v>0</v>
      </c>
      <c r="P56" s="81" t="n">
        <v>0</v>
      </c>
      <c r="Q56" s="81" t="n">
        <v>0</v>
      </c>
      <c r="R56" s="81" t="n">
        <v>0</v>
      </c>
      <c r="S56" s="81" t="n">
        <v>0</v>
      </c>
      <c r="T56" s="81" t="n">
        <v>0</v>
      </c>
      <c r="U56" s="81" t="n">
        <v>0</v>
      </c>
      <c r="V56" s="81" t="n">
        <v>0</v>
      </c>
    </row>
    <row r="57" customFormat="false" ht="15" hidden="false" customHeight="false" outlineLevel="0" collapsed="false">
      <c r="A57" s="81" t="s">
        <v>995</v>
      </c>
      <c r="B57" s="81" t="s">
        <v>941</v>
      </c>
      <c r="C57" s="81"/>
      <c r="D57" s="81" t="n">
        <v>2.1273968</v>
      </c>
      <c r="E57" s="81" t="n">
        <v>53184.92</v>
      </c>
      <c r="F57" s="81" t="n">
        <v>25000</v>
      </c>
      <c r="G57" s="81" t="n">
        <v>-28184.92</v>
      </c>
      <c r="H57" s="81" t="n">
        <v>0</v>
      </c>
      <c r="I57" s="81" t="n">
        <v>0</v>
      </c>
      <c r="J57" s="81" t="n">
        <v>0</v>
      </c>
      <c r="K57" s="81" t="n">
        <v>53184.92</v>
      </c>
      <c r="L57" s="81" t="n">
        <v>25000</v>
      </c>
      <c r="M57" s="81" t="n">
        <v>-28184.92</v>
      </c>
      <c r="N57" s="81" t="n">
        <v>0</v>
      </c>
      <c r="O57" s="81" t="n">
        <v>0</v>
      </c>
      <c r="P57" s="81" t="n">
        <v>0</v>
      </c>
      <c r="Q57" s="81" t="n">
        <v>0</v>
      </c>
      <c r="R57" s="81" t="n">
        <v>0</v>
      </c>
      <c r="S57" s="81" t="n">
        <v>0</v>
      </c>
      <c r="T57" s="81" t="n">
        <v>0</v>
      </c>
      <c r="U57" s="81" t="n">
        <v>0</v>
      </c>
      <c r="V57" s="81" t="n">
        <v>0</v>
      </c>
    </row>
    <row r="58" customFormat="false" ht="15" hidden="false" customHeight="false" outlineLevel="0" collapsed="false">
      <c r="A58" s="81" t="s">
        <v>996</v>
      </c>
      <c r="B58" s="81" t="s">
        <v>941</v>
      </c>
      <c r="C58" s="81"/>
      <c r="D58" s="81" t="n">
        <v>1.6851968</v>
      </c>
      <c r="E58" s="81" t="n">
        <v>42129.92</v>
      </c>
      <c r="F58" s="81" t="n">
        <v>25000</v>
      </c>
      <c r="G58" s="81" t="n">
        <v>-17129.92</v>
      </c>
      <c r="H58" s="81" t="n">
        <v>0</v>
      </c>
      <c r="I58" s="81" t="n">
        <v>0</v>
      </c>
      <c r="J58" s="81" t="n">
        <v>0</v>
      </c>
      <c r="K58" s="81" t="n">
        <v>34806.17</v>
      </c>
      <c r="L58" s="81" t="n">
        <v>25000</v>
      </c>
      <c r="M58" s="81" t="n">
        <v>-9806.17</v>
      </c>
      <c r="N58" s="81" t="n">
        <v>7323.75</v>
      </c>
      <c r="O58" s="81" t="n">
        <v>0</v>
      </c>
      <c r="P58" s="81" t="n">
        <v>-7323.75</v>
      </c>
      <c r="Q58" s="81" t="n">
        <v>0</v>
      </c>
      <c r="R58" s="81" t="n">
        <v>0</v>
      </c>
      <c r="S58" s="81" t="n">
        <v>0</v>
      </c>
      <c r="T58" s="81" t="n">
        <v>0</v>
      </c>
      <c r="U58" s="81" t="n">
        <v>0</v>
      </c>
      <c r="V58" s="81" t="n">
        <v>0</v>
      </c>
    </row>
    <row r="59" customFormat="false" ht="15" hidden="false" customHeight="false" outlineLevel="0" collapsed="false">
      <c r="A59" s="81" t="s">
        <v>997</v>
      </c>
      <c r="B59" s="81" t="s">
        <v>941</v>
      </c>
      <c r="C59" s="81"/>
      <c r="D59" s="81" t="n">
        <v>1.6234728</v>
      </c>
      <c r="E59" s="81" t="n">
        <v>40586.82</v>
      </c>
      <c r="F59" s="81" t="n">
        <v>25000</v>
      </c>
      <c r="G59" s="81" t="n">
        <v>-15586.82</v>
      </c>
      <c r="H59" s="81" t="n">
        <v>5670</v>
      </c>
      <c r="I59" s="81" t="n">
        <v>0</v>
      </c>
      <c r="J59" s="81" t="n">
        <v>-5670</v>
      </c>
      <c r="K59" s="81" t="n">
        <v>34916.82</v>
      </c>
      <c r="L59" s="81" t="n">
        <v>25000</v>
      </c>
      <c r="M59" s="81" t="n">
        <v>-9916.82</v>
      </c>
      <c r="N59" s="81" t="n">
        <v>0</v>
      </c>
      <c r="O59" s="81" t="n">
        <v>0</v>
      </c>
      <c r="P59" s="81" t="n">
        <v>0</v>
      </c>
      <c r="Q59" s="81" t="n">
        <v>0</v>
      </c>
      <c r="R59" s="81" t="n">
        <v>0</v>
      </c>
      <c r="S59" s="81" t="n">
        <v>0</v>
      </c>
      <c r="T59" s="81" t="n">
        <v>0</v>
      </c>
      <c r="U59" s="81" t="n">
        <v>0</v>
      </c>
      <c r="V59" s="81" t="n">
        <v>0</v>
      </c>
    </row>
    <row r="60" customFormat="false" ht="15" hidden="false" customHeight="false" outlineLevel="0" collapsed="false">
      <c r="A60" s="81" t="s">
        <v>998</v>
      </c>
      <c r="B60" s="81" t="s">
        <v>941</v>
      </c>
      <c r="C60" s="81"/>
      <c r="D60" s="81" t="n">
        <v>1.7540312</v>
      </c>
      <c r="E60" s="81" t="n">
        <v>43850.78</v>
      </c>
      <c r="F60" s="81" t="n">
        <v>25000</v>
      </c>
      <c r="G60" s="81" t="n">
        <v>-18850.78</v>
      </c>
      <c r="H60" s="81" t="n">
        <v>0</v>
      </c>
      <c r="I60" s="81" t="n">
        <v>0</v>
      </c>
      <c r="J60" s="81" t="n">
        <v>0</v>
      </c>
      <c r="K60" s="81" t="n">
        <v>43850.78</v>
      </c>
      <c r="L60" s="81" t="n">
        <v>25000</v>
      </c>
      <c r="M60" s="81" t="n">
        <v>-18850.78</v>
      </c>
      <c r="N60" s="81" t="n">
        <v>0</v>
      </c>
      <c r="O60" s="81" t="n">
        <v>0</v>
      </c>
      <c r="P60" s="81" t="n">
        <v>0</v>
      </c>
      <c r="Q60" s="81" t="n">
        <v>0</v>
      </c>
      <c r="R60" s="81" t="n">
        <v>0</v>
      </c>
      <c r="S60" s="81" t="n">
        <v>0</v>
      </c>
      <c r="T60" s="81" t="n">
        <v>0</v>
      </c>
      <c r="U60" s="81" t="n">
        <v>0</v>
      </c>
      <c r="V60" s="81" t="n">
        <v>0</v>
      </c>
    </row>
    <row r="61" customFormat="false" ht="15" hidden="false" customHeight="false" outlineLevel="0" collapsed="false">
      <c r="A61" s="81" t="s">
        <v>999</v>
      </c>
      <c r="B61" s="81" t="s">
        <v>941</v>
      </c>
      <c r="C61" s="81"/>
      <c r="D61" s="81" t="n">
        <v>1.9949148</v>
      </c>
      <c r="E61" s="81" t="n">
        <v>49872.87</v>
      </c>
      <c r="F61" s="81" t="n">
        <v>25000</v>
      </c>
      <c r="G61" s="81" t="n">
        <v>-24872.87</v>
      </c>
      <c r="H61" s="81" t="n">
        <v>0</v>
      </c>
      <c r="I61" s="81" t="n">
        <v>0</v>
      </c>
      <c r="J61" s="81" t="n">
        <v>0</v>
      </c>
      <c r="K61" s="81" t="n">
        <v>49872.87</v>
      </c>
      <c r="L61" s="81" t="n">
        <v>25000</v>
      </c>
      <c r="M61" s="81" t="n">
        <v>-24872.87</v>
      </c>
      <c r="N61" s="81" t="n">
        <v>0</v>
      </c>
      <c r="O61" s="81" t="n">
        <v>0</v>
      </c>
      <c r="P61" s="81" t="n">
        <v>0</v>
      </c>
      <c r="Q61" s="81" t="n">
        <v>0</v>
      </c>
      <c r="R61" s="81" t="n">
        <v>0</v>
      </c>
      <c r="S61" s="81" t="n">
        <v>0</v>
      </c>
      <c r="T61" s="81" t="n">
        <v>0</v>
      </c>
      <c r="U61" s="81" t="n">
        <v>0</v>
      </c>
      <c r="V61" s="81" t="n">
        <v>0</v>
      </c>
    </row>
    <row r="62" customFormat="false" ht="15" hidden="false" customHeight="false" outlineLevel="0" collapsed="false">
      <c r="A62" s="81" t="s">
        <v>1000</v>
      </c>
      <c r="B62" s="81" t="s">
        <v>941</v>
      </c>
      <c r="C62" s="81"/>
      <c r="D62" s="81" t="n">
        <v>1.6613112</v>
      </c>
      <c r="E62" s="81" t="n">
        <v>41532.78</v>
      </c>
      <c r="F62" s="81" t="n">
        <v>25000</v>
      </c>
      <c r="G62" s="81" t="n">
        <v>-16532.78</v>
      </c>
      <c r="H62" s="81" t="n">
        <v>0</v>
      </c>
      <c r="I62" s="81" t="n">
        <v>0</v>
      </c>
      <c r="J62" s="81" t="n">
        <v>0</v>
      </c>
      <c r="K62" s="81" t="n">
        <v>41532.78</v>
      </c>
      <c r="L62" s="81" t="n">
        <v>25000</v>
      </c>
      <c r="M62" s="81" t="n">
        <v>-16532.78</v>
      </c>
      <c r="N62" s="81" t="n">
        <v>0</v>
      </c>
      <c r="O62" s="81" t="n">
        <v>0</v>
      </c>
      <c r="P62" s="81" t="n">
        <v>0</v>
      </c>
      <c r="Q62" s="81" t="n">
        <v>0</v>
      </c>
      <c r="R62" s="81" t="n">
        <v>0</v>
      </c>
      <c r="S62" s="81" t="n">
        <v>0</v>
      </c>
      <c r="T62" s="81" t="n">
        <v>0</v>
      </c>
      <c r="U62" s="81" t="n">
        <v>0</v>
      </c>
      <c r="V62" s="81" t="n">
        <v>0</v>
      </c>
    </row>
    <row r="63" customFormat="false" ht="15" hidden="false" customHeight="false" outlineLevel="0" collapsed="false">
      <c r="A63" s="81" t="s">
        <v>1001</v>
      </c>
      <c r="B63" s="81" t="s">
        <v>941</v>
      </c>
      <c r="C63" s="81"/>
      <c r="D63" s="81" t="n">
        <v>1.69813293333333</v>
      </c>
      <c r="E63" s="81" t="n">
        <v>127359.97</v>
      </c>
      <c r="F63" s="81" t="n">
        <v>75000</v>
      </c>
      <c r="G63" s="81" t="n">
        <v>-52359.97</v>
      </c>
      <c r="H63" s="81" t="n">
        <v>124824.22</v>
      </c>
      <c r="I63" s="81" t="n">
        <v>75000</v>
      </c>
      <c r="J63" s="81" t="n">
        <v>-49824.22</v>
      </c>
      <c r="K63" s="81" t="n">
        <v>0</v>
      </c>
      <c r="L63" s="81" t="n">
        <v>0</v>
      </c>
      <c r="M63" s="81" t="n">
        <v>0</v>
      </c>
      <c r="N63" s="81" t="n">
        <v>2535.75</v>
      </c>
      <c r="O63" s="81" t="n">
        <v>0</v>
      </c>
      <c r="P63" s="81" t="n">
        <v>-2535.75</v>
      </c>
      <c r="Q63" s="81" t="n">
        <v>0</v>
      </c>
      <c r="R63" s="81" t="n">
        <v>0</v>
      </c>
      <c r="S63" s="81" t="n">
        <v>0</v>
      </c>
      <c r="T63" s="81" t="n">
        <v>0</v>
      </c>
      <c r="U63" s="81" t="n">
        <v>0</v>
      </c>
      <c r="V63" s="81" t="n">
        <v>0</v>
      </c>
    </row>
    <row r="64" customFormat="false" ht="15" hidden="false" customHeight="false" outlineLevel="0" collapsed="false">
      <c r="A64" s="81" t="s">
        <v>1002</v>
      </c>
      <c r="B64" s="81" t="s">
        <v>941</v>
      </c>
      <c r="C64" s="81"/>
      <c r="D64" s="81" t="n">
        <v>0</v>
      </c>
      <c r="E64" s="81" t="n">
        <v>0</v>
      </c>
      <c r="F64" s="81" t="n">
        <v>5500</v>
      </c>
      <c r="G64" s="81" t="n">
        <v>5500</v>
      </c>
      <c r="H64" s="81" t="n">
        <v>0</v>
      </c>
      <c r="I64" s="81" t="n">
        <v>0</v>
      </c>
      <c r="J64" s="81" t="n">
        <v>0</v>
      </c>
      <c r="K64" s="81" t="n">
        <v>0</v>
      </c>
      <c r="L64" s="81" t="n">
        <v>5500</v>
      </c>
      <c r="M64" s="81" t="n">
        <v>5500</v>
      </c>
      <c r="N64" s="81" t="n">
        <v>0</v>
      </c>
      <c r="O64" s="81" t="n">
        <v>0</v>
      </c>
      <c r="P64" s="81" t="n">
        <v>0</v>
      </c>
      <c r="Q64" s="81" t="n">
        <v>0</v>
      </c>
      <c r="R64" s="81" t="n">
        <v>0</v>
      </c>
      <c r="S64" s="81" t="n">
        <v>0</v>
      </c>
      <c r="T64" s="81" t="n">
        <v>0</v>
      </c>
      <c r="U64" s="81" t="n">
        <v>0</v>
      </c>
      <c r="V64" s="81" t="n">
        <v>0</v>
      </c>
    </row>
    <row r="65" customFormat="false" ht="15" hidden="false" customHeight="false" outlineLevel="0" collapsed="false">
      <c r="A65" s="81" t="s">
        <v>1003</v>
      </c>
      <c r="B65" s="81" t="s">
        <v>941</v>
      </c>
      <c r="C65" s="81"/>
      <c r="D65" s="81" t="n">
        <v>1.79635636363636</v>
      </c>
      <c r="E65" s="81" t="n">
        <v>9879.96</v>
      </c>
      <c r="F65" s="81" t="n">
        <v>5500</v>
      </c>
      <c r="G65" s="81" t="n">
        <v>-4379.96</v>
      </c>
      <c r="H65" s="81" t="n">
        <v>9879.96</v>
      </c>
      <c r="I65" s="81" t="n">
        <v>0</v>
      </c>
      <c r="J65" s="81" t="n">
        <v>-9879.96</v>
      </c>
      <c r="K65" s="81" t="n">
        <v>0</v>
      </c>
      <c r="L65" s="81" t="n">
        <v>5500</v>
      </c>
      <c r="M65" s="81" t="n">
        <v>5500</v>
      </c>
      <c r="N65" s="81" t="n">
        <v>0</v>
      </c>
      <c r="O65" s="81" t="n">
        <v>0</v>
      </c>
      <c r="P65" s="81" t="n">
        <v>0</v>
      </c>
      <c r="Q65" s="81" t="n">
        <v>0</v>
      </c>
      <c r="R65" s="81" t="n">
        <v>0</v>
      </c>
      <c r="S65" s="81" t="n">
        <v>0</v>
      </c>
      <c r="T65" s="81" t="n">
        <v>0</v>
      </c>
      <c r="U65" s="81" t="n">
        <v>0</v>
      </c>
      <c r="V65" s="81" t="n">
        <v>0</v>
      </c>
    </row>
    <row r="66" customFormat="false" ht="15" hidden="false" customHeight="false" outlineLevel="0" collapsed="false">
      <c r="A66" s="81" t="s">
        <v>1004</v>
      </c>
      <c r="B66" s="81" t="s">
        <v>941</v>
      </c>
      <c r="C66" s="81"/>
      <c r="D66" s="81" t="n">
        <v>0</v>
      </c>
      <c r="E66" s="81" t="n">
        <v>0</v>
      </c>
      <c r="F66" s="81" t="n">
        <v>5500</v>
      </c>
      <c r="G66" s="81" t="n">
        <v>5500</v>
      </c>
      <c r="H66" s="81" t="n">
        <v>0</v>
      </c>
      <c r="I66" s="81" t="n">
        <v>0</v>
      </c>
      <c r="J66" s="81" t="n">
        <v>0</v>
      </c>
      <c r="K66" s="81" t="n">
        <v>0</v>
      </c>
      <c r="L66" s="81" t="n">
        <v>5500</v>
      </c>
      <c r="M66" s="81" t="n">
        <v>5500</v>
      </c>
      <c r="N66" s="81" t="n">
        <v>0</v>
      </c>
      <c r="O66" s="81" t="n">
        <v>0</v>
      </c>
      <c r="P66" s="81" t="n">
        <v>0</v>
      </c>
      <c r="Q66" s="81" t="n">
        <v>0</v>
      </c>
      <c r="R66" s="81" t="n">
        <v>0</v>
      </c>
      <c r="S66" s="81" t="n">
        <v>0</v>
      </c>
      <c r="T66" s="81" t="n">
        <v>0</v>
      </c>
      <c r="U66" s="81" t="n">
        <v>0</v>
      </c>
      <c r="V66" s="81" t="n">
        <v>0</v>
      </c>
    </row>
    <row r="67" customFormat="false" ht="15" hidden="false" customHeight="false" outlineLevel="0" collapsed="false">
      <c r="A67" s="81" t="s">
        <v>1005</v>
      </c>
      <c r="B67" s="81" t="s">
        <v>941</v>
      </c>
      <c r="C67" s="81"/>
      <c r="D67" s="81" t="n">
        <v>0</v>
      </c>
      <c r="E67" s="81" t="n">
        <v>0</v>
      </c>
      <c r="F67" s="81" t="n">
        <v>5500</v>
      </c>
      <c r="G67" s="81" t="n">
        <v>5500</v>
      </c>
      <c r="H67" s="81" t="n">
        <v>0</v>
      </c>
      <c r="I67" s="81" t="n">
        <v>0</v>
      </c>
      <c r="J67" s="81" t="n">
        <v>0</v>
      </c>
      <c r="K67" s="81" t="n">
        <v>0</v>
      </c>
      <c r="L67" s="81" t="n">
        <v>5500</v>
      </c>
      <c r="M67" s="81" t="n">
        <v>5500</v>
      </c>
      <c r="N67" s="81" t="n">
        <v>0</v>
      </c>
      <c r="O67" s="81" t="n">
        <v>0</v>
      </c>
      <c r="P67" s="81" t="n">
        <v>0</v>
      </c>
      <c r="Q67" s="81" t="n">
        <v>0</v>
      </c>
      <c r="R67" s="81" t="n">
        <v>0</v>
      </c>
      <c r="S67" s="81" t="n">
        <v>0</v>
      </c>
      <c r="T67" s="81" t="n">
        <v>0</v>
      </c>
      <c r="U67" s="81" t="n">
        <v>0</v>
      </c>
      <c r="V67" s="81" t="n">
        <v>0</v>
      </c>
    </row>
    <row r="68" customFormat="false" ht="15" hidden="false" customHeight="false" outlineLevel="0" collapsed="false">
      <c r="A68" s="81" t="s">
        <v>1006</v>
      </c>
      <c r="B68" s="81" t="s">
        <v>941</v>
      </c>
      <c r="C68" s="81"/>
      <c r="D68" s="81" t="n">
        <v>0</v>
      </c>
      <c r="E68" s="81" t="n">
        <v>0</v>
      </c>
      <c r="F68" s="81" t="n">
        <v>5500</v>
      </c>
      <c r="G68" s="81" t="n">
        <v>5500</v>
      </c>
      <c r="H68" s="81" t="n">
        <v>0</v>
      </c>
      <c r="I68" s="81" t="n">
        <v>0</v>
      </c>
      <c r="J68" s="81" t="n">
        <v>0</v>
      </c>
      <c r="K68" s="81" t="n">
        <v>0</v>
      </c>
      <c r="L68" s="81" t="n">
        <v>5500</v>
      </c>
      <c r="M68" s="81" t="n">
        <v>5500</v>
      </c>
      <c r="N68" s="81" t="n">
        <v>0</v>
      </c>
      <c r="O68" s="81" t="n">
        <v>0</v>
      </c>
      <c r="P68" s="81" t="n">
        <v>0</v>
      </c>
      <c r="Q68" s="81" t="n">
        <v>0</v>
      </c>
      <c r="R68" s="81" t="n">
        <v>0</v>
      </c>
      <c r="S68" s="81" t="n">
        <v>0</v>
      </c>
      <c r="T68" s="81" t="n">
        <v>0</v>
      </c>
      <c r="U68" s="81" t="n">
        <v>0</v>
      </c>
      <c r="V68" s="81" t="n">
        <v>0</v>
      </c>
    </row>
    <row r="69" customFormat="false" ht="15" hidden="false" customHeight="false" outlineLevel="0" collapsed="false">
      <c r="A69" s="81" t="s">
        <v>1007</v>
      </c>
      <c r="B69" s="81" t="s">
        <v>941</v>
      </c>
      <c r="C69" s="81"/>
      <c r="D69" s="81" t="n">
        <v>0</v>
      </c>
      <c r="E69" s="81" t="n">
        <v>0</v>
      </c>
      <c r="F69" s="81" t="n">
        <v>5500</v>
      </c>
      <c r="G69" s="81" t="n">
        <v>5500</v>
      </c>
      <c r="H69" s="81" t="n">
        <v>0</v>
      </c>
      <c r="I69" s="81" t="n">
        <v>0</v>
      </c>
      <c r="J69" s="81" t="n">
        <v>0</v>
      </c>
      <c r="K69" s="81" t="n">
        <v>0</v>
      </c>
      <c r="L69" s="81" t="n">
        <v>5500</v>
      </c>
      <c r="M69" s="81" t="n">
        <v>5500</v>
      </c>
      <c r="N69" s="81" t="n">
        <v>0</v>
      </c>
      <c r="O69" s="81" t="n">
        <v>0</v>
      </c>
      <c r="P69" s="81" t="n">
        <v>0</v>
      </c>
      <c r="Q69" s="81" t="n">
        <v>0</v>
      </c>
      <c r="R69" s="81" t="n">
        <v>0</v>
      </c>
      <c r="S69" s="81" t="n">
        <v>0</v>
      </c>
      <c r="T69" s="81" t="n">
        <v>0</v>
      </c>
      <c r="U69" s="81" t="n">
        <v>0</v>
      </c>
      <c r="V69" s="81" t="n">
        <v>0</v>
      </c>
    </row>
    <row r="70" customFormat="false" ht="15" hidden="false" customHeight="false" outlineLevel="0" collapsed="false">
      <c r="A70" s="81" t="s">
        <v>1008</v>
      </c>
      <c r="B70" s="81" t="s">
        <v>941</v>
      </c>
      <c r="C70" s="81"/>
      <c r="D70" s="81" t="n">
        <v>0.738009738095238</v>
      </c>
      <c r="E70" s="81" t="n">
        <v>309964.09</v>
      </c>
      <c r="F70" s="81" t="n">
        <v>420000</v>
      </c>
      <c r="G70" s="81" t="n">
        <v>110035.91</v>
      </c>
      <c r="H70" s="81" t="n">
        <v>309964.09</v>
      </c>
      <c r="I70" s="81" t="n">
        <v>420000</v>
      </c>
      <c r="J70" s="81" t="n">
        <v>110035.91</v>
      </c>
      <c r="K70" s="81" t="n">
        <v>0</v>
      </c>
      <c r="L70" s="81" t="n">
        <v>0</v>
      </c>
      <c r="M70" s="81" t="n">
        <v>0</v>
      </c>
      <c r="N70" s="81" t="n">
        <v>0</v>
      </c>
      <c r="O70" s="81" t="n">
        <v>0</v>
      </c>
      <c r="P70" s="81" t="n">
        <v>0</v>
      </c>
      <c r="Q70" s="81" t="n">
        <v>0</v>
      </c>
      <c r="R70" s="81" t="n">
        <v>0</v>
      </c>
      <c r="S70" s="81" t="n">
        <v>0</v>
      </c>
      <c r="T70" s="81" t="n">
        <v>0</v>
      </c>
      <c r="U70" s="81" t="n">
        <v>0</v>
      </c>
      <c r="V70" s="81" t="n">
        <v>0</v>
      </c>
    </row>
    <row r="71" customFormat="false" ht="15" hidden="false" customHeight="false" outlineLevel="0" collapsed="false">
      <c r="A71" s="81" t="s">
        <v>1009</v>
      </c>
      <c r="B71" s="81" t="s">
        <v>941</v>
      </c>
      <c r="C71" s="81"/>
      <c r="D71" s="81" t="n">
        <v>0.484133275862069</v>
      </c>
      <c r="E71" s="81" t="n">
        <v>140398.65</v>
      </c>
      <c r="F71" s="81" t="n">
        <v>290000</v>
      </c>
      <c r="G71" s="81" t="n">
        <v>149601.35</v>
      </c>
      <c r="H71" s="81" t="n">
        <v>0</v>
      </c>
      <c r="I71" s="81" t="n">
        <v>0</v>
      </c>
      <c r="J71" s="81" t="n">
        <v>0</v>
      </c>
      <c r="K71" s="81" t="n">
        <v>0</v>
      </c>
      <c r="L71" s="81" t="n">
        <v>0</v>
      </c>
      <c r="M71" s="81" t="n">
        <v>0</v>
      </c>
      <c r="N71" s="81" t="n">
        <v>140398.65</v>
      </c>
      <c r="O71" s="81" t="n">
        <v>290000</v>
      </c>
      <c r="P71" s="81" t="n">
        <v>149601.35</v>
      </c>
      <c r="Q71" s="81" t="n">
        <v>0</v>
      </c>
      <c r="R71" s="81" t="n">
        <v>0</v>
      </c>
      <c r="S71" s="81" t="n">
        <v>0</v>
      </c>
      <c r="T71" s="81" t="n">
        <v>0</v>
      </c>
      <c r="U71" s="81" t="n">
        <v>0</v>
      </c>
      <c r="V71" s="81" t="n">
        <v>0</v>
      </c>
    </row>
    <row r="72" customFormat="false" ht="15" hidden="false" customHeight="false" outlineLevel="0" collapsed="false">
      <c r="A72" s="81" t="s">
        <v>1010</v>
      </c>
      <c r="B72" s="81" t="s">
        <v>941</v>
      </c>
      <c r="C72" s="81"/>
      <c r="D72" s="81" t="n">
        <v>0</v>
      </c>
      <c r="E72" s="81" t="n">
        <v>0</v>
      </c>
      <c r="F72" s="81" t="n">
        <v>70000</v>
      </c>
      <c r="G72" s="81" t="n">
        <v>70000</v>
      </c>
      <c r="H72" s="81" t="n">
        <v>0</v>
      </c>
      <c r="I72" s="81" t="n">
        <v>0</v>
      </c>
      <c r="J72" s="81" t="n">
        <v>0</v>
      </c>
      <c r="K72" s="81" t="n">
        <v>0</v>
      </c>
      <c r="L72" s="81" t="n">
        <v>0</v>
      </c>
      <c r="M72" s="81" t="n">
        <v>0</v>
      </c>
      <c r="N72" s="81" t="n">
        <v>0</v>
      </c>
      <c r="O72" s="81" t="n">
        <v>70000</v>
      </c>
      <c r="P72" s="81" t="n">
        <v>70000</v>
      </c>
      <c r="Q72" s="81" t="n">
        <v>0</v>
      </c>
      <c r="R72" s="81" t="n">
        <v>0</v>
      </c>
      <c r="S72" s="81" t="n">
        <v>0</v>
      </c>
      <c r="T72" s="81" t="n">
        <v>0</v>
      </c>
      <c r="U72" s="81" t="n">
        <v>0</v>
      </c>
      <c r="V72" s="81" t="n">
        <v>0</v>
      </c>
    </row>
    <row r="73" customFormat="false" ht="15" hidden="false" customHeight="false" outlineLevel="0" collapsed="false">
      <c r="A73" s="81" t="s">
        <v>1011</v>
      </c>
      <c r="B73" s="81" t="s">
        <v>941</v>
      </c>
      <c r="C73" s="81"/>
      <c r="D73" s="81" t="n">
        <v>0.981862307692308</v>
      </c>
      <c r="E73" s="81" t="n">
        <v>12764.21</v>
      </c>
      <c r="F73" s="81" t="n">
        <v>13000</v>
      </c>
      <c r="G73" s="81" t="n">
        <v>235.79</v>
      </c>
      <c r="H73" s="81" t="n">
        <v>9893.51</v>
      </c>
      <c r="I73" s="81" t="n">
        <v>5000</v>
      </c>
      <c r="J73" s="81" t="n">
        <v>-4893.51</v>
      </c>
      <c r="K73" s="81" t="n">
        <v>0</v>
      </c>
      <c r="L73" s="81" t="n">
        <v>4000</v>
      </c>
      <c r="M73" s="81" t="n">
        <v>4000</v>
      </c>
      <c r="N73" s="81" t="n">
        <v>2870.7</v>
      </c>
      <c r="O73" s="81" t="n">
        <v>4000</v>
      </c>
      <c r="P73" s="81" t="n">
        <v>1129.3</v>
      </c>
      <c r="Q73" s="81" t="n">
        <v>0</v>
      </c>
      <c r="R73" s="81" t="n">
        <v>0</v>
      </c>
      <c r="S73" s="81" t="n">
        <v>0</v>
      </c>
      <c r="T73" s="81" t="n">
        <v>0</v>
      </c>
      <c r="U73" s="81" t="n">
        <v>0</v>
      </c>
      <c r="V73" s="81" t="n">
        <v>0</v>
      </c>
    </row>
    <row r="74" customFormat="false" ht="15" hidden="false" customHeight="false" outlineLevel="0" collapsed="false">
      <c r="A74" s="81" t="s">
        <v>1012</v>
      </c>
      <c r="B74" s="81" t="s">
        <v>941</v>
      </c>
      <c r="C74" s="81"/>
      <c r="D74" s="81" t="n">
        <v>0</v>
      </c>
      <c r="E74" s="81" t="n">
        <v>0</v>
      </c>
      <c r="F74" s="81" t="n">
        <v>50000</v>
      </c>
      <c r="G74" s="81" t="n">
        <v>50000</v>
      </c>
      <c r="H74" s="81" t="n">
        <v>0</v>
      </c>
      <c r="I74" s="81" t="n">
        <v>0</v>
      </c>
      <c r="J74" s="81" t="n">
        <v>0</v>
      </c>
      <c r="K74" s="81" t="n">
        <v>0</v>
      </c>
      <c r="L74" s="81" t="n">
        <v>0</v>
      </c>
      <c r="M74" s="81" t="n">
        <v>0</v>
      </c>
      <c r="N74" s="81" t="n">
        <v>0</v>
      </c>
      <c r="O74" s="81" t="n">
        <v>50000</v>
      </c>
      <c r="P74" s="81" t="n">
        <v>50000</v>
      </c>
      <c r="Q74" s="81" t="n">
        <v>0</v>
      </c>
      <c r="R74" s="81" t="n">
        <v>0</v>
      </c>
      <c r="S74" s="81" t="n">
        <v>0</v>
      </c>
      <c r="T74" s="81" t="n">
        <v>0</v>
      </c>
      <c r="U74" s="81" t="n">
        <v>0</v>
      </c>
      <c r="V74" s="81" t="n">
        <v>0</v>
      </c>
    </row>
    <row r="75" customFormat="false" ht="15" hidden="false" customHeight="false" outlineLevel="0" collapsed="false">
      <c r="A75" s="81" t="s">
        <v>1013</v>
      </c>
      <c r="B75" s="81" t="s">
        <v>941</v>
      </c>
      <c r="C75" s="81"/>
      <c r="D75" s="81" t="n">
        <v>0</v>
      </c>
      <c r="E75" s="81" t="n">
        <v>0</v>
      </c>
      <c r="F75" s="81" t="n">
        <v>13500</v>
      </c>
      <c r="G75" s="81" t="n">
        <v>13500</v>
      </c>
      <c r="H75" s="81" t="n">
        <v>0</v>
      </c>
      <c r="I75" s="81" t="n">
        <v>7500</v>
      </c>
      <c r="J75" s="81" t="n">
        <v>7500</v>
      </c>
      <c r="K75" s="81" t="n">
        <v>0</v>
      </c>
      <c r="L75" s="81" t="n">
        <v>2500</v>
      </c>
      <c r="M75" s="81" t="n">
        <v>2500</v>
      </c>
      <c r="N75" s="81" t="n">
        <v>0</v>
      </c>
      <c r="O75" s="81" t="n">
        <v>3500</v>
      </c>
      <c r="P75" s="81" t="n">
        <v>3500</v>
      </c>
      <c r="Q75" s="81" t="n">
        <v>0</v>
      </c>
      <c r="R75" s="81" t="n">
        <v>0</v>
      </c>
      <c r="S75" s="81" t="n">
        <v>0</v>
      </c>
      <c r="T75" s="81" t="n">
        <v>0</v>
      </c>
      <c r="U75" s="81" t="n">
        <v>0</v>
      </c>
      <c r="V75" s="81" t="n">
        <v>0</v>
      </c>
    </row>
    <row r="76" customFormat="false" ht="15" hidden="false" customHeight="false" outlineLevel="0" collapsed="false">
      <c r="A76" s="81" t="s">
        <v>1014</v>
      </c>
      <c r="B76" s="81" t="s">
        <v>941</v>
      </c>
      <c r="C76" s="81"/>
      <c r="D76" s="81" t="n">
        <v>0.134483</v>
      </c>
      <c r="E76" s="81" t="n">
        <v>1344.83</v>
      </c>
      <c r="F76" s="81" t="n">
        <v>10000</v>
      </c>
      <c r="G76" s="81" t="n">
        <v>8655.17</v>
      </c>
      <c r="H76" s="81" t="n">
        <v>77.28</v>
      </c>
      <c r="I76" s="81" t="n">
        <v>6000</v>
      </c>
      <c r="J76" s="81" t="n">
        <v>5922.72</v>
      </c>
      <c r="K76" s="81" t="n">
        <v>1267.55</v>
      </c>
      <c r="L76" s="81" t="n">
        <v>4000</v>
      </c>
      <c r="M76" s="81" t="n">
        <v>2732.45</v>
      </c>
      <c r="N76" s="81" t="n">
        <v>0</v>
      </c>
      <c r="O76" s="81" t="n">
        <v>0</v>
      </c>
      <c r="P76" s="81" t="n">
        <v>0</v>
      </c>
      <c r="Q76" s="81" t="n">
        <v>0</v>
      </c>
      <c r="R76" s="81" t="n">
        <v>0</v>
      </c>
      <c r="S76" s="81" t="n">
        <v>0</v>
      </c>
      <c r="T76" s="81" t="n">
        <v>0</v>
      </c>
      <c r="U76" s="81" t="n">
        <v>0</v>
      </c>
      <c r="V76" s="81" t="n">
        <v>0</v>
      </c>
    </row>
    <row r="77" customFormat="false" ht="15" hidden="false" customHeight="false" outlineLevel="0" collapsed="false">
      <c r="A77" s="81" t="s">
        <v>1015</v>
      </c>
      <c r="B77" s="81" t="s">
        <v>941</v>
      </c>
      <c r="C77" s="81"/>
      <c r="D77" s="81" t="n">
        <v>0</v>
      </c>
      <c r="E77" s="81" t="n">
        <v>53112.89</v>
      </c>
      <c r="F77" s="81" t="n">
        <v>0</v>
      </c>
      <c r="G77" s="81" t="n">
        <v>-53112.89</v>
      </c>
      <c r="H77" s="81" t="n">
        <v>0</v>
      </c>
      <c r="I77" s="81" t="n">
        <v>0</v>
      </c>
      <c r="J77" s="81" t="n">
        <v>0</v>
      </c>
      <c r="K77" s="81" t="n">
        <v>53112.89</v>
      </c>
      <c r="L77" s="81" t="n">
        <v>0</v>
      </c>
      <c r="M77" s="81" t="n">
        <v>-53112.89</v>
      </c>
      <c r="N77" s="81" t="n">
        <v>0</v>
      </c>
      <c r="O77" s="81" t="n">
        <v>0</v>
      </c>
      <c r="P77" s="81" t="n">
        <v>0</v>
      </c>
      <c r="Q77" s="81" t="n">
        <v>0</v>
      </c>
      <c r="R77" s="81" t="n">
        <v>0</v>
      </c>
      <c r="S77" s="81" t="n">
        <v>0</v>
      </c>
      <c r="T77" s="81" t="n">
        <v>0</v>
      </c>
      <c r="U77" s="81" t="n">
        <v>0</v>
      </c>
      <c r="V77" s="81" t="n">
        <v>0</v>
      </c>
    </row>
    <row r="78" customFormat="false" ht="15" hidden="false" customHeight="false" outlineLevel="0" collapsed="false">
      <c r="A78" s="81" t="s">
        <v>1016</v>
      </c>
      <c r="B78" s="81" t="s">
        <v>941</v>
      </c>
      <c r="C78" s="81"/>
      <c r="D78" s="81" t="n">
        <v>0</v>
      </c>
      <c r="E78" s="81" t="n">
        <v>28100.04</v>
      </c>
      <c r="F78" s="81" t="n">
        <v>0</v>
      </c>
      <c r="G78" s="81" t="n">
        <v>-28100.04</v>
      </c>
      <c r="H78" s="81" t="n">
        <v>470.4</v>
      </c>
      <c r="I78" s="81" t="n">
        <v>0</v>
      </c>
      <c r="J78" s="81" t="n">
        <v>-470.4</v>
      </c>
      <c r="K78" s="81" t="n">
        <v>27629.64</v>
      </c>
      <c r="L78" s="81" t="n">
        <v>0</v>
      </c>
      <c r="M78" s="81" t="n">
        <v>-27629.64</v>
      </c>
      <c r="N78" s="81" t="n">
        <v>0</v>
      </c>
      <c r="O78" s="81" t="n">
        <v>0</v>
      </c>
      <c r="P78" s="81" t="n">
        <v>0</v>
      </c>
      <c r="Q78" s="81" t="n">
        <v>0</v>
      </c>
      <c r="R78" s="81" t="n">
        <v>0</v>
      </c>
      <c r="S78" s="81" t="n">
        <v>0</v>
      </c>
      <c r="T78" s="81" t="n">
        <v>0</v>
      </c>
      <c r="U78" s="81" t="n">
        <v>0</v>
      </c>
      <c r="V78" s="81" t="n">
        <v>0</v>
      </c>
    </row>
    <row r="79" customFormat="false" ht="15" hidden="false" customHeight="false" outlineLevel="0" collapsed="false">
      <c r="A79" s="81" t="s">
        <v>1017</v>
      </c>
      <c r="B79" s="81" t="s">
        <v>1018</v>
      </c>
      <c r="C79" s="81"/>
      <c r="D79" s="81" t="n">
        <v>0</v>
      </c>
      <c r="E79" s="81" t="n">
        <v>15147.48</v>
      </c>
      <c r="F79" s="81" t="n">
        <v>0</v>
      </c>
      <c r="G79" s="81" t="n">
        <v>-15147.48</v>
      </c>
      <c r="H79" s="81" t="n">
        <v>879.75</v>
      </c>
      <c r="I79" s="81" t="n">
        <v>0</v>
      </c>
      <c r="J79" s="81" t="n">
        <v>-879.75</v>
      </c>
      <c r="K79" s="81" t="n">
        <v>14267.73</v>
      </c>
      <c r="L79" s="81" t="n">
        <v>0</v>
      </c>
      <c r="M79" s="81" t="n">
        <v>-14267.73</v>
      </c>
      <c r="N79" s="81" t="n">
        <v>0</v>
      </c>
      <c r="O79" s="81" t="n">
        <v>0</v>
      </c>
      <c r="P79" s="81" t="n">
        <v>0</v>
      </c>
      <c r="Q79" s="81" t="n">
        <v>0</v>
      </c>
      <c r="R79" s="81" t="n">
        <v>0</v>
      </c>
      <c r="S79" s="81" t="n">
        <v>0</v>
      </c>
      <c r="T79" s="81" t="n">
        <v>0</v>
      </c>
      <c r="U79" s="81" t="n">
        <v>0</v>
      </c>
      <c r="V79" s="81" t="n">
        <v>0</v>
      </c>
    </row>
    <row r="80" customFormat="false" ht="15" hidden="false" customHeight="false" outlineLevel="0" collapsed="false">
      <c r="A80" s="81" t="s">
        <v>1019</v>
      </c>
      <c r="B80" s="81" t="s">
        <v>941</v>
      </c>
      <c r="C80" s="81"/>
      <c r="D80" s="81" t="n">
        <v>0</v>
      </c>
      <c r="E80" s="81" t="n">
        <v>0</v>
      </c>
      <c r="F80" s="81" t="n">
        <v>2220</v>
      </c>
      <c r="G80" s="81" t="n">
        <v>2220</v>
      </c>
      <c r="H80" s="81" t="n">
        <v>0</v>
      </c>
      <c r="I80" s="81" t="n">
        <v>2220</v>
      </c>
      <c r="J80" s="81" t="n">
        <v>2220</v>
      </c>
      <c r="K80" s="81" t="n">
        <v>0</v>
      </c>
      <c r="L80" s="81" t="n">
        <v>0</v>
      </c>
      <c r="M80" s="81" t="n">
        <v>0</v>
      </c>
      <c r="N80" s="81" t="n">
        <v>0</v>
      </c>
      <c r="O80" s="81" t="n">
        <v>0</v>
      </c>
      <c r="P80" s="81" t="n">
        <v>0</v>
      </c>
      <c r="Q80" s="81" t="n">
        <v>0</v>
      </c>
      <c r="R80" s="81" t="n">
        <v>0</v>
      </c>
      <c r="S80" s="81" t="n">
        <v>0</v>
      </c>
      <c r="T80" s="81" t="n">
        <v>0</v>
      </c>
      <c r="U80" s="81" t="n">
        <v>0</v>
      </c>
      <c r="V80" s="81" t="n">
        <v>0</v>
      </c>
    </row>
    <row r="81" customFormat="false" ht="15" hidden="false" customHeight="false" outlineLevel="0" collapsed="false">
      <c r="A81" s="81" t="s">
        <v>1020</v>
      </c>
      <c r="B81" s="81" t="s">
        <v>941</v>
      </c>
      <c r="C81" s="81"/>
      <c r="D81" s="81" t="n">
        <v>0.205371323529412</v>
      </c>
      <c r="E81" s="81" t="n">
        <v>2793.05</v>
      </c>
      <c r="F81" s="81" t="n">
        <v>13600</v>
      </c>
      <c r="G81" s="81" t="n">
        <v>10806.95</v>
      </c>
      <c r="H81" s="81" t="n">
        <v>77.28</v>
      </c>
      <c r="I81" s="81" t="n">
        <v>8400</v>
      </c>
      <c r="J81" s="81" t="n">
        <v>8322.72</v>
      </c>
      <c r="K81" s="81" t="n">
        <v>2715.77</v>
      </c>
      <c r="L81" s="81" t="n">
        <v>5200</v>
      </c>
      <c r="M81" s="81" t="n">
        <v>2484.23</v>
      </c>
      <c r="N81" s="81" t="n">
        <v>0</v>
      </c>
      <c r="O81" s="81" t="n">
        <v>0</v>
      </c>
      <c r="P81" s="81" t="n">
        <v>0</v>
      </c>
      <c r="Q81" s="81" t="n">
        <v>0</v>
      </c>
      <c r="R81" s="81" t="n">
        <v>0</v>
      </c>
      <c r="S81" s="81" t="n">
        <v>0</v>
      </c>
      <c r="T81" s="81" t="n">
        <v>0</v>
      </c>
      <c r="U81" s="81" t="n">
        <v>0</v>
      </c>
      <c r="V81" s="81" t="n">
        <v>0</v>
      </c>
    </row>
    <row r="82" customFormat="false" ht="15" hidden="false" customHeight="false" outlineLevel="0" collapsed="false">
      <c r="A82" s="81" t="s">
        <v>1021</v>
      </c>
      <c r="B82" s="81" t="s">
        <v>941</v>
      </c>
      <c r="C82" s="81"/>
      <c r="D82" s="81" t="n">
        <v>0.60982313029661</v>
      </c>
      <c r="E82" s="81" t="n">
        <v>1151346.07</v>
      </c>
      <c r="F82" s="81" t="n">
        <v>1888000</v>
      </c>
      <c r="G82" s="81" t="n">
        <v>736653.93</v>
      </c>
      <c r="H82" s="81" t="n">
        <v>784791.25</v>
      </c>
      <c r="I82" s="81" t="n">
        <v>1008000</v>
      </c>
      <c r="J82" s="81" t="n">
        <v>223208.75</v>
      </c>
      <c r="K82" s="81" t="n">
        <v>135843.55</v>
      </c>
      <c r="L82" s="81" t="n">
        <v>605000</v>
      </c>
      <c r="M82" s="81" t="n">
        <v>469156.45</v>
      </c>
      <c r="N82" s="81" t="n">
        <v>230711.27</v>
      </c>
      <c r="O82" s="81" t="n">
        <v>275000</v>
      </c>
      <c r="P82" s="81" t="n">
        <v>44288.73</v>
      </c>
      <c r="Q82" s="81" t="n">
        <v>0</v>
      </c>
      <c r="R82" s="81" t="n">
        <v>0</v>
      </c>
      <c r="S82" s="81" t="n">
        <v>0</v>
      </c>
      <c r="T82" s="81" t="n">
        <v>0</v>
      </c>
      <c r="U82" s="81" t="n">
        <v>0</v>
      </c>
      <c r="V82" s="81" t="n">
        <v>0</v>
      </c>
    </row>
    <row r="83" customFormat="false" ht="15" hidden="false" customHeight="false" outlineLevel="0" collapsed="false">
      <c r="A83" s="81" t="s">
        <v>1022</v>
      </c>
      <c r="B83" s="81" t="s">
        <v>1018</v>
      </c>
      <c r="C83" s="81"/>
      <c r="D83" s="81" t="n">
        <v>0</v>
      </c>
      <c r="E83" s="81" t="n">
        <v>0</v>
      </c>
      <c r="F83" s="81" t="n">
        <v>6000</v>
      </c>
      <c r="G83" s="81" t="n">
        <v>6000</v>
      </c>
      <c r="H83" s="81" t="n">
        <v>0</v>
      </c>
      <c r="I83" s="81" t="n">
        <v>2900</v>
      </c>
      <c r="J83" s="81" t="n">
        <v>2900</v>
      </c>
      <c r="K83" s="81" t="n">
        <v>0</v>
      </c>
      <c r="L83" s="81" t="n">
        <v>2900</v>
      </c>
      <c r="M83" s="81" t="n">
        <v>2900</v>
      </c>
      <c r="N83" s="81" t="n">
        <v>0</v>
      </c>
      <c r="O83" s="81" t="n">
        <v>200</v>
      </c>
      <c r="P83" s="81" t="n">
        <v>200</v>
      </c>
      <c r="Q83" s="81" t="n">
        <v>0</v>
      </c>
      <c r="R83" s="81" t="n">
        <v>0</v>
      </c>
      <c r="S83" s="81" t="n">
        <v>0</v>
      </c>
      <c r="T83" s="81" t="n">
        <v>0</v>
      </c>
      <c r="U83" s="81" t="n">
        <v>0</v>
      </c>
      <c r="V83" s="81" t="n">
        <v>0</v>
      </c>
    </row>
    <row r="84" customFormat="false" ht="15" hidden="false" customHeight="false" outlineLevel="0" collapsed="false">
      <c r="A84" s="81" t="s">
        <v>1023</v>
      </c>
      <c r="B84" s="81" t="s">
        <v>1018</v>
      </c>
      <c r="C84" s="81"/>
      <c r="D84" s="81" t="n">
        <v>0.5915565</v>
      </c>
      <c r="E84" s="81" t="n">
        <v>11831.13</v>
      </c>
      <c r="F84" s="81" t="n">
        <v>20000</v>
      </c>
      <c r="G84" s="81" t="n">
        <v>8168.87</v>
      </c>
      <c r="H84" s="81" t="n">
        <v>11655</v>
      </c>
      <c r="I84" s="81" t="n">
        <v>13300</v>
      </c>
      <c r="J84" s="81" t="n">
        <v>1645</v>
      </c>
      <c r="K84" s="81" t="n">
        <v>176.13</v>
      </c>
      <c r="L84" s="81" t="n">
        <v>3500</v>
      </c>
      <c r="M84" s="81" t="n">
        <v>3323.87</v>
      </c>
      <c r="N84" s="81" t="n">
        <v>0</v>
      </c>
      <c r="O84" s="81" t="n">
        <v>3200</v>
      </c>
      <c r="P84" s="81" t="n">
        <v>3200</v>
      </c>
      <c r="Q84" s="81" t="n">
        <v>0</v>
      </c>
      <c r="R84" s="81" t="n">
        <v>0</v>
      </c>
      <c r="S84" s="81" t="n">
        <v>0</v>
      </c>
      <c r="T84" s="81" t="n">
        <v>0</v>
      </c>
      <c r="U84" s="81" t="n">
        <v>0</v>
      </c>
      <c r="V84" s="81" t="n">
        <v>0</v>
      </c>
    </row>
    <row r="85" customFormat="false" ht="15" hidden="false" customHeight="false" outlineLevel="0" collapsed="false">
      <c r="A85" s="81" t="s">
        <v>1024</v>
      </c>
      <c r="B85" s="81" t="s">
        <v>1018</v>
      </c>
      <c r="C85" s="81"/>
      <c r="D85" s="81" t="n">
        <v>0</v>
      </c>
      <c r="E85" s="81" t="n">
        <v>0</v>
      </c>
      <c r="F85" s="81" t="n">
        <v>11200</v>
      </c>
      <c r="G85" s="81" t="n">
        <v>11200</v>
      </c>
      <c r="H85" s="81" t="n">
        <v>0</v>
      </c>
      <c r="I85" s="81" t="n">
        <v>7500</v>
      </c>
      <c r="J85" s="81" t="n">
        <v>7500</v>
      </c>
      <c r="K85" s="81" t="n">
        <v>0</v>
      </c>
      <c r="L85" s="81" t="n">
        <v>1300</v>
      </c>
      <c r="M85" s="81" t="n">
        <v>1300</v>
      </c>
      <c r="N85" s="81" t="n">
        <v>0</v>
      </c>
      <c r="O85" s="81" t="n">
        <v>2400</v>
      </c>
      <c r="P85" s="81" t="n">
        <v>2400</v>
      </c>
      <c r="Q85" s="81" t="n">
        <v>0</v>
      </c>
      <c r="R85" s="81" t="n">
        <v>0</v>
      </c>
      <c r="S85" s="81" t="n">
        <v>0</v>
      </c>
      <c r="T85" s="81" t="n">
        <v>0</v>
      </c>
      <c r="U85" s="81" t="n">
        <v>0</v>
      </c>
      <c r="V85" s="81" t="n">
        <v>0</v>
      </c>
    </row>
    <row r="86" customFormat="false" ht="15" hidden="false" customHeight="false" outlineLevel="0" collapsed="false">
      <c r="A86" s="81" t="s">
        <v>1025</v>
      </c>
      <c r="B86" s="81" t="s">
        <v>1018</v>
      </c>
      <c r="C86" s="81"/>
      <c r="D86" s="81" t="n">
        <v>0.157199917898194</v>
      </c>
      <c r="E86" s="81" t="n">
        <v>3829.39</v>
      </c>
      <c r="F86" s="81" t="n">
        <v>24360</v>
      </c>
      <c r="G86" s="81" t="n">
        <v>20530.61</v>
      </c>
      <c r="H86" s="81" t="n">
        <v>0</v>
      </c>
      <c r="I86" s="81" t="n">
        <v>10860</v>
      </c>
      <c r="J86" s="81" t="n">
        <v>10860</v>
      </c>
      <c r="K86" s="81" t="n">
        <v>3829.39</v>
      </c>
      <c r="L86" s="81" t="n">
        <v>13500</v>
      </c>
      <c r="M86" s="81" t="n">
        <v>9670.61</v>
      </c>
      <c r="N86" s="81" t="n">
        <v>0</v>
      </c>
      <c r="O86" s="81" t="n">
        <v>0</v>
      </c>
      <c r="P86" s="81" t="n">
        <v>0</v>
      </c>
      <c r="Q86" s="81" t="n">
        <v>0</v>
      </c>
      <c r="R86" s="81" t="n">
        <v>0</v>
      </c>
      <c r="S86" s="81" t="n">
        <v>0</v>
      </c>
      <c r="T86" s="81" t="n">
        <v>0</v>
      </c>
      <c r="U86" s="81" t="n">
        <v>0</v>
      </c>
      <c r="V86" s="81" t="n">
        <v>0</v>
      </c>
    </row>
    <row r="87" customFormat="false" ht="15" hidden="false" customHeight="false" outlineLevel="0" collapsed="false">
      <c r="A87" s="81" t="s">
        <v>1026</v>
      </c>
      <c r="B87" s="81" t="s">
        <v>1018</v>
      </c>
      <c r="C87" s="81"/>
      <c r="D87" s="81" t="n">
        <v>0.999872008903728</v>
      </c>
      <c r="E87" s="81" t="n">
        <v>5390.31</v>
      </c>
      <c r="F87" s="81" t="n">
        <v>5391</v>
      </c>
      <c r="G87" s="81" t="n">
        <v>0.69</v>
      </c>
      <c r="H87" s="81" t="n">
        <v>0</v>
      </c>
      <c r="I87" s="81" t="n">
        <v>0</v>
      </c>
      <c r="J87" s="81" t="n">
        <v>0</v>
      </c>
      <c r="K87" s="81" t="n">
        <v>0</v>
      </c>
      <c r="L87" s="81" t="n">
        <v>0</v>
      </c>
      <c r="M87" s="81" t="n">
        <v>0</v>
      </c>
      <c r="N87" s="81" t="n">
        <v>5390.31</v>
      </c>
      <c r="O87" s="81" t="n">
        <v>5391</v>
      </c>
      <c r="P87" s="81" t="n">
        <v>0.69</v>
      </c>
      <c r="Q87" s="81" t="n">
        <v>0</v>
      </c>
      <c r="R87" s="81" t="n">
        <v>0</v>
      </c>
      <c r="S87" s="81" t="n">
        <v>0</v>
      </c>
      <c r="T87" s="81" t="n">
        <v>0</v>
      </c>
      <c r="U87" s="81" t="n">
        <v>0</v>
      </c>
      <c r="V87" s="81" t="n">
        <v>0</v>
      </c>
    </row>
    <row r="88" customFormat="false" ht="15" hidden="false" customHeight="false" outlineLevel="0" collapsed="false">
      <c r="A88" s="81" t="s">
        <v>1027</v>
      </c>
      <c r="B88" s="81" t="s">
        <v>1018</v>
      </c>
      <c r="C88" s="81"/>
      <c r="D88" s="81" t="n">
        <v>0</v>
      </c>
      <c r="E88" s="81" t="n">
        <v>0</v>
      </c>
      <c r="F88" s="81" t="n">
        <v>-2278.59</v>
      </c>
      <c r="G88" s="81" t="n">
        <v>-2278.59</v>
      </c>
      <c r="H88" s="81" t="n">
        <v>0</v>
      </c>
      <c r="I88" s="81" t="n">
        <v>-2278.59</v>
      </c>
      <c r="J88" s="81" t="n">
        <v>-2278.59</v>
      </c>
      <c r="K88" s="81" t="n">
        <v>0</v>
      </c>
      <c r="L88" s="81" t="n">
        <v>0</v>
      </c>
      <c r="M88" s="81" t="n">
        <v>0</v>
      </c>
      <c r="N88" s="81" t="n">
        <v>0</v>
      </c>
      <c r="O88" s="81" t="n">
        <v>0</v>
      </c>
      <c r="P88" s="81" t="n">
        <v>0</v>
      </c>
      <c r="Q88" s="81" t="n">
        <v>0</v>
      </c>
      <c r="R88" s="81" t="n">
        <v>0</v>
      </c>
      <c r="S88" s="81" t="n">
        <v>0</v>
      </c>
      <c r="T88" s="81" t="n">
        <v>0</v>
      </c>
      <c r="U88" s="81" t="n">
        <v>0</v>
      </c>
      <c r="V88" s="81" t="n">
        <v>0</v>
      </c>
    </row>
    <row r="89" customFormat="false" ht="15" hidden="false" customHeight="false" outlineLevel="0" collapsed="false">
      <c r="A89" s="81" t="s">
        <v>1028</v>
      </c>
      <c r="B89" s="81" t="s">
        <v>1018</v>
      </c>
      <c r="C89" s="81"/>
      <c r="D89" s="81" t="n">
        <v>0</v>
      </c>
      <c r="E89" s="81" t="n">
        <v>0</v>
      </c>
      <c r="F89" s="81" t="n">
        <v>-3762.87</v>
      </c>
      <c r="G89" s="81" t="n">
        <v>-3762.87</v>
      </c>
      <c r="H89" s="81" t="n">
        <v>0</v>
      </c>
      <c r="I89" s="81" t="n">
        <v>0</v>
      </c>
      <c r="J89" s="81" t="n">
        <v>0</v>
      </c>
      <c r="K89" s="81" t="n">
        <v>0</v>
      </c>
      <c r="L89" s="81" t="n">
        <v>0</v>
      </c>
      <c r="M89" s="81" t="n">
        <v>0</v>
      </c>
      <c r="N89" s="81" t="n">
        <v>0</v>
      </c>
      <c r="O89" s="81" t="n">
        <v>0</v>
      </c>
      <c r="P89" s="81" t="n">
        <v>0</v>
      </c>
      <c r="Q89" s="81" t="n">
        <v>0</v>
      </c>
      <c r="R89" s="81" t="n">
        <v>-3762.87</v>
      </c>
      <c r="S89" s="81" t="n">
        <v>-3762.87</v>
      </c>
      <c r="T89" s="81" t="n">
        <v>0</v>
      </c>
      <c r="U89" s="81" t="n">
        <v>0</v>
      </c>
      <c r="V89" s="81" t="n">
        <v>0</v>
      </c>
    </row>
    <row r="90" customFormat="false" ht="15" hidden="false" customHeight="false" outlineLevel="0" collapsed="false">
      <c r="A90" s="81" t="s">
        <v>1029</v>
      </c>
      <c r="B90" s="81" t="s">
        <v>1018</v>
      </c>
      <c r="C90" s="81"/>
      <c r="D90" s="81" t="n">
        <v>-0.167354085603113</v>
      </c>
      <c r="E90" s="81" t="n">
        <v>430.1</v>
      </c>
      <c r="F90" s="81" t="n">
        <v>-2570</v>
      </c>
      <c r="G90" s="81" t="n">
        <v>-3000.1</v>
      </c>
      <c r="H90" s="81" t="n">
        <v>430.1</v>
      </c>
      <c r="I90" s="81" t="n">
        <v>-740</v>
      </c>
      <c r="J90" s="81" t="n">
        <v>-1170.1</v>
      </c>
      <c r="K90" s="81" t="n">
        <v>0</v>
      </c>
      <c r="L90" s="81" t="n">
        <v>-1830</v>
      </c>
      <c r="M90" s="81" t="n">
        <v>-1830</v>
      </c>
      <c r="N90" s="81" t="n">
        <v>0</v>
      </c>
      <c r="O90" s="81" t="n">
        <v>0</v>
      </c>
      <c r="P90" s="81" t="n">
        <v>0</v>
      </c>
      <c r="Q90" s="81" t="n">
        <v>0</v>
      </c>
      <c r="R90" s="81" t="n">
        <v>0</v>
      </c>
      <c r="S90" s="81" t="n">
        <v>0</v>
      </c>
      <c r="T90" s="81" t="n">
        <v>0</v>
      </c>
      <c r="U90" s="81" t="n">
        <v>0</v>
      </c>
      <c r="V90" s="81" t="n">
        <v>0</v>
      </c>
    </row>
    <row r="91" customFormat="false" ht="15" hidden="false" customHeight="false" outlineLevel="0" collapsed="false">
      <c r="A91" s="81" t="s">
        <v>1030</v>
      </c>
      <c r="B91" s="81" t="s">
        <v>1018</v>
      </c>
      <c r="C91" s="81"/>
      <c r="D91" s="81" t="n">
        <v>0</v>
      </c>
      <c r="E91" s="81" t="n">
        <v>0</v>
      </c>
      <c r="F91" s="81" t="n">
        <v>488</v>
      </c>
      <c r="G91" s="81" t="n">
        <v>488</v>
      </c>
      <c r="H91" s="81" t="n">
        <v>0</v>
      </c>
      <c r="I91" s="81" t="n">
        <v>488</v>
      </c>
      <c r="J91" s="81" t="n">
        <v>488</v>
      </c>
      <c r="K91" s="81" t="n">
        <v>0</v>
      </c>
      <c r="L91" s="81" t="n">
        <v>0</v>
      </c>
      <c r="M91" s="81" t="n">
        <v>0</v>
      </c>
      <c r="N91" s="81" t="n">
        <v>0</v>
      </c>
      <c r="O91" s="81" t="n">
        <v>0</v>
      </c>
      <c r="P91" s="81" t="n">
        <v>0</v>
      </c>
      <c r="Q91" s="81" t="n">
        <v>0</v>
      </c>
      <c r="R91" s="81" t="n">
        <v>0</v>
      </c>
      <c r="S91" s="81" t="n">
        <v>0</v>
      </c>
      <c r="T91" s="81" t="n">
        <v>0</v>
      </c>
      <c r="U91" s="81" t="n">
        <v>0</v>
      </c>
      <c r="V91" s="81" t="n">
        <v>0</v>
      </c>
    </row>
    <row r="92" customFormat="false" ht="15" hidden="false" customHeight="false" outlineLevel="0" collapsed="false">
      <c r="A92" s="81" t="s">
        <v>1031</v>
      </c>
      <c r="B92" s="81" t="s">
        <v>1018</v>
      </c>
      <c r="C92" s="81"/>
      <c r="D92" s="81" t="n">
        <v>0.99514126984127</v>
      </c>
      <c r="E92" s="81" t="n">
        <v>6269.39</v>
      </c>
      <c r="F92" s="81" t="n">
        <v>6300</v>
      </c>
      <c r="G92" s="81" t="n">
        <v>30.61</v>
      </c>
      <c r="H92" s="81" t="n">
        <v>4620</v>
      </c>
      <c r="I92" s="81" t="n">
        <v>4400</v>
      </c>
      <c r="J92" s="81" t="n">
        <v>-220</v>
      </c>
      <c r="K92" s="81" t="n">
        <v>1649.39</v>
      </c>
      <c r="L92" s="81" t="n">
        <v>1900</v>
      </c>
      <c r="M92" s="81" t="n">
        <v>250.61</v>
      </c>
      <c r="N92" s="81" t="n">
        <v>0</v>
      </c>
      <c r="O92" s="81" t="n">
        <v>0</v>
      </c>
      <c r="P92" s="81" t="n">
        <v>0</v>
      </c>
      <c r="Q92" s="81" t="n">
        <v>0</v>
      </c>
      <c r="R92" s="81" t="n">
        <v>0</v>
      </c>
      <c r="S92" s="81" t="n">
        <v>0</v>
      </c>
      <c r="T92" s="81" t="n">
        <v>0</v>
      </c>
      <c r="U92" s="81" t="n">
        <v>0</v>
      </c>
      <c r="V92" s="81" t="n">
        <v>0</v>
      </c>
    </row>
    <row r="93" customFormat="false" ht="15" hidden="false" customHeight="false" outlineLevel="0" collapsed="false">
      <c r="A93" s="81" t="s">
        <v>1032</v>
      </c>
      <c r="B93" s="81" t="s">
        <v>1018</v>
      </c>
      <c r="C93" s="81"/>
      <c r="D93" s="81" t="n">
        <v>0</v>
      </c>
      <c r="E93" s="81" t="n">
        <v>0</v>
      </c>
      <c r="F93" s="81" t="n">
        <v>5430</v>
      </c>
      <c r="G93" s="81" t="n">
        <v>5430</v>
      </c>
      <c r="H93" s="81" t="n">
        <v>0</v>
      </c>
      <c r="I93" s="81" t="n">
        <v>4530</v>
      </c>
      <c r="J93" s="81" t="n">
        <v>4530</v>
      </c>
      <c r="K93" s="81" t="n">
        <v>0</v>
      </c>
      <c r="L93" s="81" t="n">
        <v>900</v>
      </c>
      <c r="M93" s="81" t="n">
        <v>900</v>
      </c>
      <c r="N93" s="81" t="n">
        <v>0</v>
      </c>
      <c r="O93" s="81" t="n">
        <v>0</v>
      </c>
      <c r="P93" s="81" t="n">
        <v>0</v>
      </c>
      <c r="Q93" s="81" t="n">
        <v>0</v>
      </c>
      <c r="R93" s="81" t="n">
        <v>0</v>
      </c>
      <c r="S93" s="81" t="n">
        <v>0</v>
      </c>
      <c r="T93" s="81" t="n">
        <v>0</v>
      </c>
      <c r="U93" s="81" t="n">
        <v>0</v>
      </c>
      <c r="V93" s="8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81"/>
      <c r="B1" s="81"/>
      <c r="C1" s="81"/>
      <c r="D1" s="81"/>
      <c r="E1" s="81"/>
      <c r="F1" s="81"/>
    </row>
    <row r="2" customFormat="false" ht="15" hidden="false" customHeight="false" outlineLevel="0" collapsed="false">
      <c r="A2" s="81" t="s">
        <v>1033</v>
      </c>
      <c r="B2" s="81" t="s">
        <v>818</v>
      </c>
      <c r="C2" s="81" t="s">
        <v>1034</v>
      </c>
      <c r="D2" s="81" t="s">
        <v>1035</v>
      </c>
      <c r="E2" s="81" t="s">
        <v>819</v>
      </c>
      <c r="F2" s="81" t="s">
        <v>1036</v>
      </c>
    </row>
    <row r="3" customFormat="false" ht="15" hidden="false" customHeight="false" outlineLevel="0" collapsed="false">
      <c r="A3" s="81" t="s">
        <v>1037</v>
      </c>
      <c r="B3" s="81" t="s">
        <v>852</v>
      </c>
      <c r="C3" s="81" t="s">
        <v>1038</v>
      </c>
      <c r="D3" s="81" t="s">
        <v>1038</v>
      </c>
      <c r="E3" s="81" t="n">
        <v>1325.04</v>
      </c>
      <c r="F3" s="81" t="n">
        <v>55.21</v>
      </c>
    </row>
    <row r="4" customFormat="false" ht="15" hidden="false" customHeight="false" outlineLevel="0" collapsed="false">
      <c r="A4" s="81" t="s">
        <v>1039</v>
      </c>
      <c r="B4" s="81" t="s">
        <v>893</v>
      </c>
      <c r="C4" s="81" t="s">
        <v>1040</v>
      </c>
      <c r="D4" s="81" t="s">
        <v>1040</v>
      </c>
      <c r="E4" s="81" t="n">
        <v>3550.5</v>
      </c>
      <c r="F4" s="81" t="n">
        <v>82.57</v>
      </c>
    </row>
    <row r="5" customFormat="false" ht="15" hidden="false" customHeight="false" outlineLevel="0" collapsed="false">
      <c r="A5" s="81" t="s">
        <v>1041</v>
      </c>
      <c r="B5" s="81" t="s">
        <v>847</v>
      </c>
      <c r="C5" s="81" t="s">
        <v>1042</v>
      </c>
      <c r="D5" s="81" t="s">
        <v>1042</v>
      </c>
      <c r="E5" s="81" t="n">
        <v>40180.24</v>
      </c>
      <c r="F5" s="81" t="n">
        <v>47.97</v>
      </c>
    </row>
    <row r="6" customFormat="false" ht="15" hidden="false" customHeight="false" outlineLevel="0" collapsed="false">
      <c r="A6" s="81" t="s">
        <v>1043</v>
      </c>
      <c r="B6" s="81" t="s">
        <v>893</v>
      </c>
      <c r="C6" s="81" t="s">
        <v>1044</v>
      </c>
      <c r="D6" s="81" t="s">
        <v>1044</v>
      </c>
      <c r="E6" s="81" t="n">
        <v>81644.43</v>
      </c>
      <c r="F6" s="81" t="n">
        <v>66.82</v>
      </c>
    </row>
    <row r="7" customFormat="false" ht="15" hidden="false" customHeight="false" outlineLevel="0" collapsed="false">
      <c r="A7" s="81" t="s">
        <v>1045</v>
      </c>
      <c r="B7" s="81" t="s">
        <v>847</v>
      </c>
      <c r="C7" s="82" t="n">
        <v>0.125</v>
      </c>
      <c r="D7" s="82" t="n">
        <v>0.125</v>
      </c>
      <c r="E7" s="81" t="n">
        <v>82.74</v>
      </c>
      <c r="F7" s="81" t="n">
        <v>27.58</v>
      </c>
    </row>
    <row r="8" customFormat="false" ht="15" hidden="false" customHeight="false" outlineLevel="0" collapsed="false">
      <c r="A8" s="81" t="s">
        <v>1046</v>
      </c>
      <c r="B8" s="81" t="s">
        <v>847</v>
      </c>
      <c r="C8" s="81" t="s">
        <v>1047</v>
      </c>
      <c r="D8" s="81" t="s">
        <v>1047</v>
      </c>
      <c r="E8" s="81" t="n">
        <v>37200.9</v>
      </c>
      <c r="F8" s="81" t="n">
        <v>37.44</v>
      </c>
    </row>
    <row r="9" customFormat="false" ht="15" hidden="false" customHeight="false" outlineLevel="0" collapsed="false">
      <c r="A9" s="81" t="s">
        <v>1048</v>
      </c>
      <c r="B9" s="81" t="s">
        <v>847</v>
      </c>
      <c r="C9" s="81" t="s">
        <v>1049</v>
      </c>
      <c r="D9" s="81" t="s">
        <v>1049</v>
      </c>
      <c r="E9" s="81" t="n">
        <v>26480</v>
      </c>
      <c r="F9" s="81" t="n">
        <v>49.72</v>
      </c>
    </row>
    <row r="10" customFormat="false" ht="15" hidden="false" customHeight="false" outlineLevel="0" collapsed="false">
      <c r="A10" s="81" t="s">
        <v>1050</v>
      </c>
      <c r="B10" s="81" t="s">
        <v>852</v>
      </c>
      <c r="C10" s="81" t="s">
        <v>1051</v>
      </c>
      <c r="D10" s="81" t="s">
        <v>1051</v>
      </c>
      <c r="E10" s="81" t="n">
        <v>37728.33</v>
      </c>
      <c r="F10" s="81" t="n">
        <v>52.95</v>
      </c>
    </row>
    <row r="11" customFormat="false" ht="15" hidden="false" customHeight="false" outlineLevel="0" collapsed="false">
      <c r="A11" s="81" t="s">
        <v>1052</v>
      </c>
      <c r="B11" s="81" t="s">
        <v>886</v>
      </c>
      <c r="C11" s="81" t="s">
        <v>1053</v>
      </c>
      <c r="D11" s="81" t="s">
        <v>1053</v>
      </c>
      <c r="E11" s="81" t="n">
        <v>38320.57</v>
      </c>
      <c r="F11" s="81" t="n">
        <v>72.23</v>
      </c>
    </row>
    <row r="12" customFormat="false" ht="15" hidden="false" customHeight="false" outlineLevel="0" collapsed="false">
      <c r="A12" s="81" t="s">
        <v>1054</v>
      </c>
      <c r="B12" s="81" t="s">
        <v>886</v>
      </c>
      <c r="C12" s="81" t="s">
        <v>1055</v>
      </c>
      <c r="D12" s="81" t="s">
        <v>1055</v>
      </c>
      <c r="E12" s="81" t="n">
        <v>88613.26</v>
      </c>
      <c r="F12" s="81" t="n">
        <v>55.87</v>
      </c>
    </row>
    <row r="13" customFormat="false" ht="15" hidden="false" customHeight="false" outlineLevel="0" collapsed="false">
      <c r="A13" s="81" t="s">
        <v>1056</v>
      </c>
      <c r="B13" s="81" t="s">
        <v>847</v>
      </c>
      <c r="C13" s="81" t="s">
        <v>1057</v>
      </c>
      <c r="D13" s="81" t="s">
        <v>1057</v>
      </c>
      <c r="E13" s="81" t="n">
        <v>40619.1</v>
      </c>
      <c r="F13" s="81" t="n">
        <v>49.71</v>
      </c>
    </row>
    <row r="14" customFormat="false" ht="15" hidden="false" customHeight="false" outlineLevel="0" collapsed="false">
      <c r="A14" s="81" t="s">
        <v>1058</v>
      </c>
      <c r="B14" s="81" t="s">
        <v>847</v>
      </c>
      <c r="C14" s="82" t="n">
        <v>0.989583333333333</v>
      </c>
      <c r="D14" s="82" t="n">
        <v>0.989583333333333</v>
      </c>
      <c r="E14" s="81" t="n">
        <v>654.87</v>
      </c>
      <c r="F14" s="81" t="n">
        <v>27.57</v>
      </c>
    </row>
    <row r="15" customFormat="false" ht="15" hidden="false" customHeight="false" outlineLevel="0" collapsed="false">
      <c r="A15" s="81" t="s">
        <v>1059</v>
      </c>
      <c r="B15" s="81" t="s">
        <v>850</v>
      </c>
      <c r="C15" s="81" t="s">
        <v>1060</v>
      </c>
      <c r="D15" s="81" t="s">
        <v>1060</v>
      </c>
      <c r="E15" s="81" t="n">
        <v>48723.69</v>
      </c>
      <c r="F15" s="81" t="n">
        <v>38.18</v>
      </c>
    </row>
    <row r="16" customFormat="false" ht="15" hidden="false" customHeight="false" outlineLevel="0" collapsed="false">
      <c r="A16" s="81" t="s">
        <v>1061</v>
      </c>
      <c r="B16" s="81" t="s">
        <v>847</v>
      </c>
      <c r="C16" s="82" t="n">
        <v>0.34375</v>
      </c>
      <c r="D16" s="82" t="n">
        <v>0.34375</v>
      </c>
      <c r="E16" s="81" t="n">
        <v>409.94</v>
      </c>
      <c r="F16" s="81" t="n">
        <v>49.69</v>
      </c>
    </row>
    <row r="17" customFormat="false" ht="15" hidden="false" customHeight="false" outlineLevel="0" collapsed="false">
      <c r="A17" s="81" t="s">
        <v>1062</v>
      </c>
      <c r="B17" s="81" t="s">
        <v>855</v>
      </c>
      <c r="C17" s="81" t="s">
        <v>1063</v>
      </c>
      <c r="D17" s="81" t="s">
        <v>1063</v>
      </c>
      <c r="E17" s="81" t="n">
        <v>29422.34</v>
      </c>
      <c r="F17" s="81" t="n">
        <v>37.99</v>
      </c>
    </row>
    <row r="18" customFormat="false" ht="15" hidden="false" customHeight="false" outlineLevel="0" collapsed="false">
      <c r="A18" s="81" t="s">
        <v>1064</v>
      </c>
      <c r="B18" s="81" t="s">
        <v>883</v>
      </c>
      <c r="C18" s="82" t="n">
        <v>0.34375</v>
      </c>
      <c r="D18" s="82" t="n">
        <v>0.34375</v>
      </c>
      <c r="E18" s="81" t="n">
        <v>0</v>
      </c>
      <c r="F18" s="81" t="n">
        <v>0</v>
      </c>
    </row>
    <row r="19" customFormat="false" ht="15" hidden="false" customHeight="false" outlineLevel="0" collapsed="false">
      <c r="A19" s="81" t="s">
        <v>1065</v>
      </c>
      <c r="B19" s="81" t="s">
        <v>890</v>
      </c>
      <c r="C19" s="81" t="s">
        <v>1066</v>
      </c>
      <c r="D19" s="81" t="s">
        <v>1066</v>
      </c>
      <c r="E19" s="81" t="n">
        <v>4934.73</v>
      </c>
      <c r="F19" s="81" t="n">
        <v>71.78</v>
      </c>
    </row>
    <row r="20" customFormat="false" ht="15" hidden="false" customHeight="false" outlineLevel="0" collapsed="false">
      <c r="A20" s="81" t="s">
        <v>1067</v>
      </c>
      <c r="B20" s="81" t="s">
        <v>847</v>
      </c>
      <c r="C20" s="81" t="s">
        <v>1068</v>
      </c>
      <c r="D20" s="81" t="s">
        <v>1068</v>
      </c>
      <c r="E20" s="81" t="n">
        <v>6350.74</v>
      </c>
      <c r="F20" s="81" t="n">
        <v>49.81</v>
      </c>
    </row>
    <row r="21" customFormat="false" ht="15" hidden="false" customHeight="false" outlineLevel="0" collapsed="false">
      <c r="A21" s="81" t="s">
        <v>1069</v>
      </c>
      <c r="B21" s="81" t="s">
        <v>883</v>
      </c>
      <c r="C21" s="81" t="s">
        <v>1070</v>
      </c>
      <c r="D21" s="81" t="s">
        <v>1070</v>
      </c>
      <c r="E21" s="81" t="n">
        <v>5613.44</v>
      </c>
      <c r="F21" s="81" t="n">
        <v>42.96</v>
      </c>
    </row>
    <row r="22" customFormat="false" ht="15" hidden="false" customHeight="false" outlineLevel="0" collapsed="false">
      <c r="A22" s="81" t="s">
        <v>1071</v>
      </c>
      <c r="B22" s="81" t="s">
        <v>890</v>
      </c>
      <c r="C22" s="82" t="n">
        <v>0.302083333333333</v>
      </c>
      <c r="D22" s="82" t="n">
        <v>0.302083333333333</v>
      </c>
      <c r="E22" s="81" t="n">
        <v>409.55</v>
      </c>
      <c r="F22" s="81" t="n">
        <v>56.49</v>
      </c>
    </row>
    <row r="23" customFormat="false" ht="15" hidden="false" customHeight="false" outlineLevel="0" collapsed="false">
      <c r="A23" s="81" t="s">
        <v>1072</v>
      </c>
      <c r="B23" s="81" t="s">
        <v>847</v>
      </c>
      <c r="C23" s="81" t="s">
        <v>1073</v>
      </c>
      <c r="D23" s="81" t="s">
        <v>1073</v>
      </c>
      <c r="E23" s="81" t="n">
        <v>62909.07</v>
      </c>
      <c r="F23" s="81" t="n">
        <v>47.62</v>
      </c>
    </row>
    <row r="24" customFormat="false" ht="15" hidden="false" customHeight="false" outlineLevel="0" collapsed="false">
      <c r="A24" s="81" t="s">
        <v>1074</v>
      </c>
      <c r="B24" s="81" t="s">
        <v>862</v>
      </c>
      <c r="C24" s="81" t="s">
        <v>1075</v>
      </c>
      <c r="D24" s="81" t="s">
        <v>1075</v>
      </c>
      <c r="E24" s="81" t="n">
        <v>41132.91</v>
      </c>
      <c r="F24" s="81" t="n">
        <v>57.74</v>
      </c>
    </row>
    <row r="25" customFormat="false" ht="15" hidden="false" customHeight="false" outlineLevel="0" collapsed="false">
      <c r="A25" s="81" t="s">
        <v>1076</v>
      </c>
      <c r="B25" s="81" t="s">
        <v>883</v>
      </c>
      <c r="C25" s="81" t="s">
        <v>1077</v>
      </c>
      <c r="D25" s="81" t="s">
        <v>1077</v>
      </c>
      <c r="E25" s="81" t="n">
        <v>21456.47</v>
      </c>
      <c r="F25" s="81" t="n">
        <v>72.57</v>
      </c>
    </row>
    <row r="26" customFormat="false" ht="15" hidden="false" customHeight="false" outlineLevel="0" collapsed="false">
      <c r="A26" s="81" t="s">
        <v>1078</v>
      </c>
      <c r="B26" s="81" t="s">
        <v>898</v>
      </c>
      <c r="C26" s="81" t="s">
        <v>1079</v>
      </c>
      <c r="D26" s="81" t="s">
        <v>1079</v>
      </c>
      <c r="E26" s="81" t="n">
        <v>19846.2</v>
      </c>
      <c r="F26" s="81" t="n">
        <v>67.05</v>
      </c>
    </row>
    <row r="27" customFormat="false" ht="15" hidden="false" customHeight="false" outlineLevel="0" collapsed="false">
      <c r="A27" s="81" t="s">
        <v>1080</v>
      </c>
      <c r="B27" s="81" t="s">
        <v>852</v>
      </c>
      <c r="C27" s="81" t="s">
        <v>1081</v>
      </c>
      <c r="D27" s="81" t="s">
        <v>1081</v>
      </c>
      <c r="E27" s="81" t="n">
        <v>35887.26</v>
      </c>
      <c r="F27" s="81" t="n">
        <v>53.49</v>
      </c>
    </row>
    <row r="28" customFormat="false" ht="15" hidden="false" customHeight="false" outlineLevel="0" collapsed="false">
      <c r="A28" s="81" t="s">
        <v>1082</v>
      </c>
      <c r="B28" s="81" t="s">
        <v>850</v>
      </c>
      <c r="C28" s="81" t="s">
        <v>1083</v>
      </c>
      <c r="D28" s="81" t="s">
        <v>1083</v>
      </c>
      <c r="E28" s="81" t="n">
        <v>15622.92</v>
      </c>
      <c r="F28" s="81" t="n">
        <v>29.81</v>
      </c>
    </row>
    <row r="29" customFormat="false" ht="15" hidden="false" customHeight="false" outlineLevel="0" collapsed="false">
      <c r="A29" s="81" t="s">
        <v>1084</v>
      </c>
      <c r="B29" s="81" t="s">
        <v>890</v>
      </c>
      <c r="C29" s="81" t="s">
        <v>1085</v>
      </c>
      <c r="D29" s="81" t="s">
        <v>1085</v>
      </c>
      <c r="E29" s="81" t="n">
        <v>106764.29</v>
      </c>
      <c r="F29" s="81" t="n">
        <v>66.96</v>
      </c>
    </row>
    <row r="30" customFormat="false" ht="15" hidden="false" customHeight="false" outlineLevel="0" collapsed="false">
      <c r="A30" s="81" t="s">
        <v>1086</v>
      </c>
      <c r="B30" s="81" t="s">
        <v>895</v>
      </c>
      <c r="C30" s="81" t="s">
        <v>1087</v>
      </c>
      <c r="D30" s="81" t="s">
        <v>1087</v>
      </c>
      <c r="E30" s="81" t="n">
        <v>26841.87</v>
      </c>
      <c r="F30" s="81" t="n">
        <v>85.62</v>
      </c>
    </row>
    <row r="31" customFormat="false" ht="15" hidden="false" customHeight="false" outlineLevel="0" collapsed="false">
      <c r="A31" s="81" t="s">
        <v>1088</v>
      </c>
      <c r="B31" s="81" t="s">
        <v>850</v>
      </c>
      <c r="C31" s="81" t="s">
        <v>1089</v>
      </c>
      <c r="D31" s="81" t="s">
        <v>1089</v>
      </c>
      <c r="E31" s="81" t="n">
        <v>17953.45</v>
      </c>
      <c r="F31" s="81" t="n">
        <v>54.65</v>
      </c>
    </row>
    <row r="32" customFormat="false" ht="15" hidden="false" customHeight="false" outlineLevel="0" collapsed="false">
      <c r="A32" s="81" t="s">
        <v>1090</v>
      </c>
      <c r="B32" s="81" t="s">
        <v>847</v>
      </c>
      <c r="C32" s="81" t="s">
        <v>1091</v>
      </c>
      <c r="D32" s="81" t="s">
        <v>1091</v>
      </c>
      <c r="E32" s="81" t="n">
        <v>23983.24</v>
      </c>
      <c r="F32" s="81" t="n">
        <v>45.82</v>
      </c>
    </row>
    <row r="33" customFormat="false" ht="15" hidden="false" customHeight="false" outlineLevel="0" collapsed="false">
      <c r="A33" s="81" t="s">
        <v>1092</v>
      </c>
      <c r="B33" s="81" t="s">
        <v>850</v>
      </c>
      <c r="C33" s="81" t="s">
        <v>1093</v>
      </c>
      <c r="D33" s="81" t="s">
        <v>1093</v>
      </c>
      <c r="E33" s="81" t="n">
        <v>6486.69</v>
      </c>
      <c r="F33" s="81" t="n">
        <v>27.81</v>
      </c>
    </row>
    <row r="34" customFormat="false" ht="15" hidden="false" customHeight="false" outlineLevel="0" collapsed="false">
      <c r="A34" s="81" t="s">
        <v>1094</v>
      </c>
      <c r="B34" s="81" t="s">
        <v>890</v>
      </c>
      <c r="C34" s="81" t="s">
        <v>1095</v>
      </c>
      <c r="D34" s="81" t="s">
        <v>1095</v>
      </c>
      <c r="E34" s="81" t="n">
        <v>38447.43</v>
      </c>
      <c r="F34" s="81" t="n">
        <v>56.23</v>
      </c>
    </row>
    <row r="35" customFormat="false" ht="15" hidden="false" customHeight="false" outlineLevel="0" collapsed="false">
      <c r="A35" s="81" t="s">
        <v>1096</v>
      </c>
      <c r="B35" s="81" t="s">
        <v>886</v>
      </c>
      <c r="C35" s="81" t="s">
        <v>1097</v>
      </c>
      <c r="D35" s="81" t="s">
        <v>1097</v>
      </c>
      <c r="E35" s="81" t="n">
        <v>49501.04</v>
      </c>
      <c r="F35" s="81" t="n">
        <v>61.11</v>
      </c>
    </row>
    <row r="36" customFormat="false" ht="15" hidden="false" customHeight="false" outlineLevel="0" collapsed="false">
      <c r="A36" s="81" t="s">
        <v>1098</v>
      </c>
      <c r="B36" s="81" t="s">
        <v>886</v>
      </c>
      <c r="C36" s="81" t="s">
        <v>1099</v>
      </c>
      <c r="D36" s="81" t="s">
        <v>1099</v>
      </c>
      <c r="E36" s="81" t="n">
        <v>28117.47</v>
      </c>
      <c r="F36" s="81" t="n">
        <v>67.03</v>
      </c>
    </row>
    <row r="37" customFormat="false" ht="15" hidden="false" customHeight="false" outlineLevel="0" collapsed="false">
      <c r="A37" s="81" t="s">
        <v>1100</v>
      </c>
      <c r="B37" s="81" t="s">
        <v>852</v>
      </c>
      <c r="C37" s="82" t="n">
        <v>0.670138888888889</v>
      </c>
      <c r="D37" s="82" t="n">
        <v>0.670138888888889</v>
      </c>
      <c r="E37" s="81" t="n">
        <v>799.66</v>
      </c>
      <c r="F37" s="81" t="n">
        <v>49.72</v>
      </c>
    </row>
    <row r="38" customFormat="false" ht="15" hidden="false" customHeight="false" outlineLevel="0" collapsed="false">
      <c r="A38" s="81" t="s">
        <v>1101</v>
      </c>
      <c r="B38" s="81" t="s">
        <v>876</v>
      </c>
      <c r="C38" s="81" t="s">
        <v>1102</v>
      </c>
      <c r="D38" s="81" t="s">
        <v>1102</v>
      </c>
      <c r="E38" s="81" t="n">
        <v>64611.83</v>
      </c>
      <c r="F38" s="81" t="n">
        <v>52.37</v>
      </c>
    </row>
    <row r="39" customFormat="false" ht="15" hidden="false" customHeight="false" outlineLevel="0" collapsed="false">
      <c r="A39" s="81" t="s">
        <v>1103</v>
      </c>
      <c r="B39" s="81" t="s">
        <v>847</v>
      </c>
      <c r="C39" s="81" t="s">
        <v>1104</v>
      </c>
      <c r="D39" s="81" t="s">
        <v>1104</v>
      </c>
      <c r="E39" s="81" t="n">
        <v>23704.44</v>
      </c>
      <c r="F39" s="81" t="n">
        <v>31.95</v>
      </c>
    </row>
    <row r="40" customFormat="false" ht="15" hidden="false" customHeight="false" outlineLevel="0" collapsed="false">
      <c r="A40" s="81" t="s">
        <v>1105</v>
      </c>
      <c r="B40" s="81" t="s">
        <v>852</v>
      </c>
      <c r="C40" s="81" t="s">
        <v>1106</v>
      </c>
      <c r="D40" s="81" t="s">
        <v>1106</v>
      </c>
      <c r="E40" s="81" t="n">
        <v>10109.44</v>
      </c>
      <c r="F40" s="81" t="n">
        <v>56.32</v>
      </c>
    </row>
    <row r="41" customFormat="false" ht="15" hidden="false" customHeight="false" outlineLevel="0" collapsed="false">
      <c r="A41" s="81" t="s">
        <v>1107</v>
      </c>
      <c r="B41" s="81" t="s">
        <v>847</v>
      </c>
      <c r="C41" s="81" t="s">
        <v>1108</v>
      </c>
      <c r="D41" s="81" t="s">
        <v>1108</v>
      </c>
      <c r="E41" s="81" t="n">
        <v>8756.04</v>
      </c>
      <c r="F41" s="81" t="n">
        <v>36.76</v>
      </c>
    </row>
    <row r="42" customFormat="false" ht="15" hidden="false" customHeight="false" outlineLevel="0" collapsed="false">
      <c r="A42" s="81" t="s">
        <v>1109</v>
      </c>
      <c r="B42" s="81" t="s">
        <v>869</v>
      </c>
      <c r="C42" s="81" t="s">
        <v>1110</v>
      </c>
      <c r="D42" s="81" t="s">
        <v>1110</v>
      </c>
      <c r="E42" s="81" t="n">
        <v>44746.28</v>
      </c>
      <c r="F42" s="81" t="n">
        <v>49.71</v>
      </c>
    </row>
    <row r="43" customFormat="false" ht="15" hidden="false" customHeight="false" outlineLevel="0" collapsed="false">
      <c r="A43" s="81" t="s">
        <v>1111</v>
      </c>
      <c r="B43" s="81" t="s">
        <v>847</v>
      </c>
      <c r="C43" s="82" t="n">
        <v>0.854166666666667</v>
      </c>
      <c r="D43" s="82" t="n">
        <v>0.854166666666667</v>
      </c>
      <c r="E43" s="81" t="n">
        <v>748.05</v>
      </c>
      <c r="F43" s="81" t="n">
        <v>36.49</v>
      </c>
    </row>
    <row r="44" customFormat="false" ht="15" hidden="false" customHeight="false" outlineLevel="0" collapsed="false">
      <c r="A44" s="81" t="s">
        <v>1112</v>
      </c>
      <c r="B44" s="81" t="s">
        <v>903</v>
      </c>
      <c r="C44" s="82" t="n">
        <v>0.375</v>
      </c>
      <c r="D44" s="82" t="n">
        <v>0.375</v>
      </c>
      <c r="E44" s="81" t="n">
        <v>866.07</v>
      </c>
      <c r="F44" s="81" t="n">
        <v>96.23</v>
      </c>
    </row>
    <row r="45" customFormat="false" ht="15" hidden="false" customHeight="false" outlineLevel="0" collapsed="false">
      <c r="A45" s="81" t="s">
        <v>1113</v>
      </c>
      <c r="B45" s="81" t="s">
        <v>850</v>
      </c>
      <c r="C45" s="81" t="s">
        <v>1114</v>
      </c>
      <c r="D45" s="81" t="s">
        <v>1114</v>
      </c>
      <c r="E45" s="81" t="n">
        <v>2636.69</v>
      </c>
      <c r="F45" s="81" t="n">
        <v>56.5</v>
      </c>
    </row>
    <row r="46" customFormat="false" ht="15" hidden="false" customHeight="false" outlineLevel="0" collapsed="false">
      <c r="A46" s="81" t="s">
        <v>1115</v>
      </c>
      <c r="B46" s="81" t="s">
        <v>862</v>
      </c>
      <c r="C46" s="81" t="s">
        <v>1116</v>
      </c>
      <c r="D46" s="81" t="s">
        <v>1116</v>
      </c>
      <c r="E46" s="81" t="n">
        <v>35045.34</v>
      </c>
      <c r="F46" s="81" t="n">
        <v>39.58</v>
      </c>
    </row>
    <row r="47" customFormat="false" ht="15" hidden="false" customHeight="false" outlineLevel="0" collapsed="false">
      <c r="A47" s="81" t="s">
        <v>1117</v>
      </c>
      <c r="B47" s="81" t="s">
        <v>886</v>
      </c>
      <c r="C47" s="82" t="n">
        <v>0.6875</v>
      </c>
      <c r="D47" s="82" t="n">
        <v>0.6875</v>
      </c>
      <c r="E47" s="81" t="n">
        <v>1193.44</v>
      </c>
      <c r="F47" s="81" t="n">
        <v>72.33</v>
      </c>
    </row>
    <row r="48" customFormat="false" ht="15" hidden="false" customHeight="false" outlineLevel="0" collapsed="false">
      <c r="A48" s="81" t="s">
        <v>1118</v>
      </c>
      <c r="B48" s="81" t="s">
        <v>879</v>
      </c>
      <c r="C48" s="81" t="s">
        <v>1119</v>
      </c>
      <c r="D48" s="81" t="s">
        <v>1119</v>
      </c>
      <c r="E48" s="81" t="n">
        <v>8318.48</v>
      </c>
      <c r="F48" s="81" t="n">
        <v>68.89</v>
      </c>
    </row>
    <row r="49" customFormat="false" ht="15" hidden="false" customHeight="false" outlineLevel="0" collapsed="false">
      <c r="A49" s="81" t="s">
        <v>1120</v>
      </c>
      <c r="B49" s="81" t="s">
        <v>876</v>
      </c>
      <c r="C49" s="81" t="s">
        <v>1121</v>
      </c>
      <c r="D49" s="81" t="s">
        <v>1121</v>
      </c>
      <c r="E49" s="81" t="n">
        <v>6745.85</v>
      </c>
      <c r="F49" s="81" t="n">
        <v>50.37</v>
      </c>
    </row>
    <row r="50" customFormat="false" ht="15" hidden="false" customHeight="false" outlineLevel="0" collapsed="false">
      <c r="A50" s="81" t="s">
        <v>1122</v>
      </c>
      <c r="B50" s="81" t="s">
        <v>904</v>
      </c>
      <c r="C50" s="82" t="n">
        <v>0.114583333333333</v>
      </c>
      <c r="D50" s="82" t="n">
        <v>0.114583333333333</v>
      </c>
      <c r="E50" s="81" t="n">
        <v>192.75</v>
      </c>
      <c r="F50" s="81" t="n">
        <v>70.09</v>
      </c>
    </row>
    <row r="51" customFormat="false" ht="15" hidden="false" customHeight="false" outlineLevel="0" collapsed="false">
      <c r="A51" s="81" t="s">
        <v>1123</v>
      </c>
      <c r="B51" s="81" t="s">
        <v>890</v>
      </c>
      <c r="C51" s="81" t="s">
        <v>1124</v>
      </c>
      <c r="D51" s="81" t="s">
        <v>1124</v>
      </c>
      <c r="E51" s="81" t="n">
        <v>15157.05</v>
      </c>
      <c r="F51" s="81" t="n">
        <v>60.15</v>
      </c>
    </row>
    <row r="52" customFormat="false" ht="15" hidden="false" customHeight="false" outlineLevel="0" collapsed="false">
      <c r="A52" s="81" t="s">
        <v>1125</v>
      </c>
      <c r="B52" s="81" t="s">
        <v>852</v>
      </c>
      <c r="C52" s="81" t="s">
        <v>1126</v>
      </c>
      <c r="D52" s="81" t="s">
        <v>1126</v>
      </c>
      <c r="E52" s="81" t="n">
        <v>39632.42</v>
      </c>
      <c r="F52" s="81" t="n">
        <v>42.51</v>
      </c>
    </row>
    <row r="53" customFormat="false" ht="15" hidden="false" customHeight="false" outlineLevel="0" collapsed="false">
      <c r="A53" s="81" t="s">
        <v>1127</v>
      </c>
      <c r="B53" s="81" t="s">
        <v>895</v>
      </c>
      <c r="C53" s="81" t="s">
        <v>1128</v>
      </c>
      <c r="D53" s="81" t="s">
        <v>1128</v>
      </c>
      <c r="E53" s="81" t="n">
        <v>54979.27</v>
      </c>
      <c r="F53" s="81" t="n">
        <v>77.76</v>
      </c>
    </row>
    <row r="54" customFormat="false" ht="15" hidden="false" customHeight="false" outlineLevel="0" collapsed="false">
      <c r="A54" s="81" t="s">
        <v>1129</v>
      </c>
      <c r="B54" s="81" t="s">
        <v>890</v>
      </c>
      <c r="C54" s="81" t="s">
        <v>1130</v>
      </c>
      <c r="D54" s="81" t="s">
        <v>1130</v>
      </c>
      <c r="E54" s="81" t="n">
        <v>8954.22</v>
      </c>
      <c r="F54" s="81" t="n">
        <v>62.91</v>
      </c>
    </row>
    <row r="55" customFormat="false" ht="15" hidden="false" customHeight="false" outlineLevel="0" collapsed="false">
      <c r="A55" s="81" t="s">
        <v>1131</v>
      </c>
      <c r="B55" s="81" t="s">
        <v>847</v>
      </c>
      <c r="C55" s="81" t="s">
        <v>1132</v>
      </c>
      <c r="D55" s="81" t="s">
        <v>1132</v>
      </c>
      <c r="E55" s="81" t="n">
        <v>22463.59</v>
      </c>
      <c r="F55" s="81" t="n">
        <v>27.1</v>
      </c>
    </row>
    <row r="56" customFormat="false" ht="15" hidden="false" customHeight="false" outlineLevel="0" collapsed="false">
      <c r="A56" s="81" t="s">
        <v>1133</v>
      </c>
      <c r="B56" s="81" t="s">
        <v>855</v>
      </c>
      <c r="C56" s="81" t="s">
        <v>1134</v>
      </c>
      <c r="D56" s="81" t="s">
        <v>1134</v>
      </c>
      <c r="E56" s="81" t="n">
        <v>33027.75</v>
      </c>
      <c r="F56" s="81" t="n">
        <v>55.18</v>
      </c>
    </row>
    <row r="57" customFormat="false" ht="15" hidden="false" customHeight="false" outlineLevel="0" collapsed="false">
      <c r="A57" s="81" t="s">
        <v>1135</v>
      </c>
      <c r="B57" s="81" t="s">
        <v>847</v>
      </c>
      <c r="C57" s="81" t="s">
        <v>1136</v>
      </c>
      <c r="D57" s="81" t="s">
        <v>1136</v>
      </c>
      <c r="E57" s="81" t="n">
        <v>4043.3</v>
      </c>
      <c r="F57" s="81" t="n">
        <v>49.01</v>
      </c>
    </row>
    <row r="58" customFormat="false" ht="15" hidden="false" customHeight="false" outlineLevel="0" collapsed="false">
      <c r="A58" s="81" t="s">
        <v>1137</v>
      </c>
      <c r="B58" s="81" t="s">
        <v>850</v>
      </c>
      <c r="C58" s="81" t="s">
        <v>1138</v>
      </c>
      <c r="D58" s="81" t="s">
        <v>1138</v>
      </c>
      <c r="E58" s="81" t="n">
        <v>1683.82</v>
      </c>
      <c r="F58" s="81" t="n">
        <v>51.81</v>
      </c>
    </row>
    <row r="59" customFormat="false" ht="15" hidden="false" customHeight="false" outlineLevel="0" collapsed="false">
      <c r="A59" s="81" t="s">
        <v>1139</v>
      </c>
      <c r="B59" s="81" t="s">
        <v>890</v>
      </c>
      <c r="C59" s="82" t="n">
        <v>0.260416666666667</v>
      </c>
      <c r="D59" s="82" t="n">
        <v>0.260416666666667</v>
      </c>
      <c r="E59" s="81" t="n">
        <v>499.25</v>
      </c>
      <c r="F59" s="81" t="n">
        <v>79.88</v>
      </c>
    </row>
    <row r="60" customFormat="false" ht="15" hidden="false" customHeight="false" outlineLevel="0" collapsed="false">
      <c r="A60" s="81" t="s">
        <v>1140</v>
      </c>
      <c r="B60" s="81" t="s">
        <v>850</v>
      </c>
      <c r="C60" s="81" t="s">
        <v>1141</v>
      </c>
      <c r="D60" s="81" t="s">
        <v>1141</v>
      </c>
      <c r="E60" s="81" t="n">
        <v>7304.96</v>
      </c>
      <c r="F60" s="81" t="n">
        <v>42.78</v>
      </c>
    </row>
    <row r="61" customFormat="false" ht="15" hidden="false" customHeight="false" outlineLevel="0" collapsed="false">
      <c r="A61" s="81" t="s">
        <v>1142</v>
      </c>
      <c r="B61" s="81" t="s">
        <v>847</v>
      </c>
      <c r="C61" s="81" t="s">
        <v>1143</v>
      </c>
      <c r="D61" s="81" t="s">
        <v>1143</v>
      </c>
      <c r="E61" s="81" t="n">
        <v>4409.79</v>
      </c>
      <c r="F61" s="81" t="n">
        <v>19.64</v>
      </c>
    </row>
    <row r="62" customFormat="false" ht="15" hidden="false" customHeight="false" outlineLevel="0" collapsed="false">
      <c r="A62" s="81" t="s">
        <v>1144</v>
      </c>
      <c r="B62" s="81" t="s">
        <v>850</v>
      </c>
      <c r="C62" s="81" t="s">
        <v>1145</v>
      </c>
      <c r="D62" s="81" t="s">
        <v>1145</v>
      </c>
      <c r="E62" s="81" t="n">
        <v>32916.38</v>
      </c>
      <c r="F62" s="81" t="n">
        <v>44.08</v>
      </c>
    </row>
    <row r="63" customFormat="false" ht="15" hidden="false" customHeight="false" outlineLevel="0" collapsed="false">
      <c r="A63" s="81" t="s">
        <v>1146</v>
      </c>
      <c r="B63" s="81" t="s">
        <v>873</v>
      </c>
      <c r="C63" s="81" t="s">
        <v>1147</v>
      </c>
      <c r="D63" s="81" t="s">
        <v>1147</v>
      </c>
      <c r="E63" s="81" t="n">
        <v>21871.27</v>
      </c>
      <c r="F63" s="81" t="n">
        <v>42.21</v>
      </c>
    </row>
    <row r="64" customFormat="false" ht="15" hidden="false" customHeight="false" outlineLevel="0" collapsed="false">
      <c r="A64" s="81" t="s">
        <v>1148</v>
      </c>
      <c r="B64" s="81" t="s">
        <v>901</v>
      </c>
      <c r="C64" s="81" t="s">
        <v>1149</v>
      </c>
      <c r="D64" s="81" t="s">
        <v>1149</v>
      </c>
      <c r="E64" s="81" t="n">
        <v>15506.57</v>
      </c>
      <c r="F64" s="81" t="n">
        <v>65.43</v>
      </c>
    </row>
    <row r="65" customFormat="false" ht="15" hidden="false" customHeight="false" outlineLevel="0" collapsed="false">
      <c r="A65" s="81" t="s">
        <v>1150</v>
      </c>
      <c r="B65" s="81" t="s">
        <v>852</v>
      </c>
      <c r="C65" s="81" t="s">
        <v>1151</v>
      </c>
      <c r="D65" s="81" t="s">
        <v>1151</v>
      </c>
      <c r="E65" s="81" t="n">
        <v>9134.52</v>
      </c>
      <c r="F65" s="81" t="n">
        <v>32.22</v>
      </c>
    </row>
    <row r="66" customFormat="false" ht="15" hidden="false" customHeight="false" outlineLevel="0" collapsed="false">
      <c r="A66" s="81" t="s">
        <v>1152</v>
      </c>
      <c r="B66" s="81" t="s">
        <v>847</v>
      </c>
      <c r="C66" s="81" t="s">
        <v>1153</v>
      </c>
      <c r="D66" s="81" t="s">
        <v>1153</v>
      </c>
      <c r="E66" s="81" t="n">
        <v>20927.67</v>
      </c>
      <c r="F66" s="81" t="n">
        <v>32.51</v>
      </c>
    </row>
    <row r="67" customFormat="false" ht="15" hidden="false" customHeight="false" outlineLevel="0" collapsed="false">
      <c r="A67" s="81" t="s">
        <v>1154</v>
      </c>
      <c r="B67" s="81" t="s">
        <v>890</v>
      </c>
      <c r="C67" s="81" t="s">
        <v>1155</v>
      </c>
      <c r="D67" s="81" t="s">
        <v>1155</v>
      </c>
      <c r="E67" s="81" t="n">
        <v>21674.75</v>
      </c>
      <c r="F67" s="81" t="n">
        <v>79.54</v>
      </c>
    </row>
    <row r="68" customFormat="false" ht="15" hidden="false" customHeight="false" outlineLevel="0" collapsed="false">
      <c r="A68" s="81" t="s">
        <v>1156</v>
      </c>
      <c r="B68" s="81" t="s">
        <v>852</v>
      </c>
      <c r="C68" s="81" t="s">
        <v>1138</v>
      </c>
      <c r="D68" s="81" t="s">
        <v>1138</v>
      </c>
      <c r="E68" s="81" t="n">
        <v>1680.9</v>
      </c>
      <c r="F68" s="81" t="n">
        <v>51.72</v>
      </c>
    </row>
    <row r="69" customFormat="false" ht="15" hidden="false" customHeight="false" outlineLevel="0" collapsed="false">
      <c r="A69" s="81" t="s">
        <v>1157</v>
      </c>
      <c r="B69" s="81" t="s">
        <v>876</v>
      </c>
      <c r="C69" s="81" t="s">
        <v>1158</v>
      </c>
      <c r="D69" s="81" t="s">
        <v>1158</v>
      </c>
      <c r="E69" s="81" t="n">
        <v>50077.94</v>
      </c>
      <c r="F69" s="81" t="n">
        <v>54.89</v>
      </c>
    </row>
    <row r="70" customFormat="false" ht="15" hidden="false" customHeight="false" outlineLevel="0" collapsed="false">
      <c r="A70" s="81" t="s">
        <v>1159</v>
      </c>
      <c r="B70" s="81" t="s">
        <v>847</v>
      </c>
      <c r="C70" s="81" t="s">
        <v>1160</v>
      </c>
      <c r="D70" s="81" t="s">
        <v>1160</v>
      </c>
      <c r="E70" s="81" t="n">
        <v>21615.58</v>
      </c>
      <c r="F70" s="81" t="n">
        <v>37.86</v>
      </c>
    </row>
    <row r="71" customFormat="false" ht="15" hidden="false" customHeight="false" outlineLevel="0" collapsed="false">
      <c r="A71" s="81" t="s">
        <v>1161</v>
      </c>
      <c r="B71" s="81" t="s">
        <v>855</v>
      </c>
      <c r="C71" s="81" t="s">
        <v>1162</v>
      </c>
      <c r="D71" s="81" t="s">
        <v>1162</v>
      </c>
      <c r="E71" s="81" t="n">
        <v>35530.73</v>
      </c>
      <c r="F71" s="81" t="n">
        <v>54.27</v>
      </c>
    </row>
    <row r="72" customFormat="false" ht="15" hidden="false" customHeight="false" outlineLevel="0" collapsed="false">
      <c r="A72" s="81" t="s">
        <v>1163</v>
      </c>
      <c r="B72" s="81" t="s">
        <v>855</v>
      </c>
      <c r="C72" s="81" t="s">
        <v>1164</v>
      </c>
      <c r="D72" s="81" t="s">
        <v>1164</v>
      </c>
      <c r="E72" s="81" t="n">
        <v>5875.98</v>
      </c>
      <c r="F72" s="81" t="n">
        <v>38.28</v>
      </c>
    </row>
    <row r="73" customFormat="false" ht="15" hidden="false" customHeight="false" outlineLevel="0" collapsed="false">
      <c r="A73" s="81" t="s">
        <v>1165</v>
      </c>
      <c r="B73" s="81" t="s">
        <v>862</v>
      </c>
      <c r="C73" s="81" t="s">
        <v>1166</v>
      </c>
      <c r="D73" s="81" t="s">
        <v>1166</v>
      </c>
      <c r="E73" s="81" t="n">
        <v>22787.82</v>
      </c>
      <c r="F73" s="81" t="n">
        <v>36.8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6" min="5" style="0" width="46"/>
  </cols>
  <sheetData>
    <row r="1" customFormat="false" ht="17.35" hidden="false" customHeight="false" outlineLevel="0" collapsed="false">
      <c r="A1" s="1" t="s">
        <v>1167</v>
      </c>
    </row>
    <row r="2" customFormat="false" ht="15" hidden="false" customHeight="false" outlineLevel="0" collapsed="false">
      <c r="A2" s="2" t="s">
        <v>1168</v>
      </c>
    </row>
    <row r="4" customFormat="false" ht="30" hidden="false" customHeight="true" outlineLevel="0" collapsed="false">
      <c r="A4" s="17" t="s">
        <v>369</v>
      </c>
      <c r="B4" s="17" t="s">
        <v>1169</v>
      </c>
      <c r="C4" s="17" t="s">
        <v>1170</v>
      </c>
      <c r="D4" s="17" t="s">
        <v>1171</v>
      </c>
      <c r="E4" s="17" t="s">
        <v>1172</v>
      </c>
      <c r="F4" s="17" t="s">
        <v>1173</v>
      </c>
    </row>
    <row r="5" customFormat="false" ht="35.05" hidden="false" customHeight="false" outlineLevel="0" collapsed="false">
      <c r="A5" s="83" t="n">
        <v>1</v>
      </c>
      <c r="B5" s="84" t="s">
        <v>1174</v>
      </c>
      <c r="C5" s="85" t="s">
        <v>1175</v>
      </c>
      <c r="D5" s="85" t="s">
        <v>1176</v>
      </c>
      <c r="E5" s="85" t="s">
        <v>1177</v>
      </c>
      <c r="F5" s="85" t="s">
        <v>1178</v>
      </c>
    </row>
    <row r="6" customFormat="false" ht="35.05" hidden="false" customHeight="false" outlineLevel="0" collapsed="false">
      <c r="A6" s="83" t="n">
        <v>2</v>
      </c>
      <c r="B6" s="84" t="s">
        <v>1174</v>
      </c>
      <c r="C6" s="85" t="s">
        <v>1179</v>
      </c>
      <c r="D6" s="85" t="s">
        <v>1180</v>
      </c>
      <c r="E6" s="85" t="s">
        <v>1181</v>
      </c>
      <c r="F6" s="85" t="s">
        <v>1182</v>
      </c>
    </row>
    <row r="7" customFormat="false" ht="57.45" hidden="false" customHeight="false" outlineLevel="0" collapsed="false">
      <c r="A7" s="83" t="n">
        <v>3</v>
      </c>
      <c r="B7" s="84" t="s">
        <v>1174</v>
      </c>
      <c r="C7" s="85" t="s">
        <v>1183</v>
      </c>
      <c r="D7" s="85" t="s">
        <v>1184</v>
      </c>
      <c r="E7" s="85" t="s">
        <v>1185</v>
      </c>
      <c r="F7" s="85" t="s">
        <v>1186</v>
      </c>
    </row>
    <row r="8" customFormat="false" ht="23.85" hidden="false" customHeight="false" outlineLevel="0" collapsed="false">
      <c r="A8" s="83" t="n">
        <v>4</v>
      </c>
      <c r="B8" s="84" t="s">
        <v>1174</v>
      </c>
      <c r="C8" s="85" t="s">
        <v>1187</v>
      </c>
      <c r="D8" s="85" t="s">
        <v>1188</v>
      </c>
      <c r="E8" s="85" t="s">
        <v>1189</v>
      </c>
      <c r="F8" s="85" t="s">
        <v>1190</v>
      </c>
    </row>
    <row r="9" customFormat="false" ht="23.85" hidden="false" customHeight="false" outlineLevel="0" collapsed="false">
      <c r="A9" s="83" t="n">
        <v>5</v>
      </c>
      <c r="B9" s="84" t="s">
        <v>1174</v>
      </c>
      <c r="C9" s="85" t="s">
        <v>1191</v>
      </c>
      <c r="D9" s="85" t="s">
        <v>1192</v>
      </c>
      <c r="E9" s="85" t="s">
        <v>1193</v>
      </c>
      <c r="F9" s="85" t="s">
        <v>1194</v>
      </c>
    </row>
    <row r="10" customFormat="false" ht="23.85" hidden="false" customHeight="false" outlineLevel="0" collapsed="false">
      <c r="A10" s="83" t="n">
        <v>6</v>
      </c>
      <c r="B10" s="86" t="s">
        <v>1195</v>
      </c>
      <c r="C10" s="85" t="s">
        <v>1196</v>
      </c>
      <c r="D10" s="85" t="s">
        <v>1197</v>
      </c>
      <c r="E10" s="85" t="s">
        <v>1198</v>
      </c>
      <c r="F10" s="85" t="s">
        <v>1199</v>
      </c>
    </row>
    <row r="11" customFormat="false" ht="23.85" hidden="false" customHeight="false" outlineLevel="0" collapsed="false">
      <c r="A11" s="83" t="n">
        <v>7</v>
      </c>
      <c r="B11" s="86" t="s">
        <v>1195</v>
      </c>
      <c r="C11" s="85" t="s">
        <v>1200</v>
      </c>
      <c r="D11" s="85" t="s">
        <v>1201</v>
      </c>
      <c r="E11" s="85" t="s">
        <v>1202</v>
      </c>
      <c r="F11" s="85" t="s">
        <v>1203</v>
      </c>
    </row>
    <row r="12" customFormat="false" ht="23.85" hidden="false" customHeight="false" outlineLevel="0" collapsed="false">
      <c r="A12" s="83" t="n">
        <v>8</v>
      </c>
      <c r="B12" s="84" t="s">
        <v>1174</v>
      </c>
      <c r="C12" s="85" t="s">
        <v>1204</v>
      </c>
      <c r="D12" s="85" t="s">
        <v>1205</v>
      </c>
      <c r="E12" s="85" t="s">
        <v>1206</v>
      </c>
      <c r="F12" s="85" t="s">
        <v>1207</v>
      </c>
    </row>
    <row r="13" customFormat="false" ht="35.05" hidden="false" customHeight="false" outlineLevel="0" collapsed="false">
      <c r="A13" s="83" t="n">
        <v>9</v>
      </c>
      <c r="B13" s="86" t="s">
        <v>1195</v>
      </c>
      <c r="C13" s="85" t="s">
        <v>1208</v>
      </c>
      <c r="D13" s="85" t="s">
        <v>1209</v>
      </c>
      <c r="E13" s="85" t="s">
        <v>1210</v>
      </c>
      <c r="F13" s="85" t="s">
        <v>1211</v>
      </c>
    </row>
    <row r="14" customFormat="false" ht="35.05" hidden="false" customHeight="false" outlineLevel="0" collapsed="false">
      <c r="A14" s="83" t="n">
        <v>10</v>
      </c>
      <c r="B14" s="84" t="s">
        <v>1174</v>
      </c>
      <c r="C14" s="85" t="s">
        <v>1212</v>
      </c>
      <c r="D14" s="85" t="s">
        <v>1213</v>
      </c>
      <c r="E14" s="85" t="s">
        <v>1214</v>
      </c>
      <c r="F14" s="85" t="s">
        <v>1215</v>
      </c>
    </row>
    <row r="15" customFormat="false" ht="23.85" hidden="false" customHeight="false" outlineLevel="0" collapsed="false">
      <c r="A15" s="83" t="n">
        <v>11</v>
      </c>
      <c r="B15" s="86" t="s">
        <v>1195</v>
      </c>
      <c r="C15" s="85" t="s">
        <v>1216</v>
      </c>
      <c r="D15" s="85" t="s">
        <v>1217</v>
      </c>
      <c r="E15" s="85" t="s">
        <v>1218</v>
      </c>
      <c r="F15" s="85" t="s">
        <v>1219</v>
      </c>
    </row>
    <row r="16" customFormat="false" ht="23.85" hidden="false" customHeight="false" outlineLevel="0" collapsed="false">
      <c r="A16" s="83" t="n">
        <v>12</v>
      </c>
      <c r="B16" s="86" t="s">
        <v>1195</v>
      </c>
      <c r="C16" s="85" t="s">
        <v>1220</v>
      </c>
      <c r="D16" s="85" t="s">
        <v>1221</v>
      </c>
      <c r="E16" s="85" t="s">
        <v>1222</v>
      </c>
      <c r="F16" s="85" t="s">
        <v>1223</v>
      </c>
    </row>
    <row r="17" customFormat="false" ht="23.85" hidden="false" customHeight="false" outlineLevel="0" collapsed="false">
      <c r="A17" s="83" t="n">
        <v>13</v>
      </c>
      <c r="B17" s="86" t="s">
        <v>1195</v>
      </c>
      <c r="C17" s="85" t="s">
        <v>1224</v>
      </c>
      <c r="D17" s="85" t="s">
        <v>1225</v>
      </c>
      <c r="E17" s="85" t="s">
        <v>1226</v>
      </c>
      <c r="F17" s="85" t="s">
        <v>1227</v>
      </c>
    </row>
    <row r="18" customFormat="false" ht="23.85" hidden="false" customHeight="false" outlineLevel="0" collapsed="false">
      <c r="A18" s="83" t="n">
        <v>14</v>
      </c>
      <c r="B18" s="87" t="s">
        <v>1228</v>
      </c>
      <c r="C18" s="85" t="s">
        <v>1229</v>
      </c>
      <c r="D18" s="85" t="s">
        <v>1230</v>
      </c>
      <c r="E18" s="85" t="s">
        <v>1231</v>
      </c>
      <c r="F18" s="85" t="s">
        <v>1232</v>
      </c>
    </row>
    <row r="19" customFormat="false" ht="23.85" hidden="false" customHeight="false" outlineLevel="0" collapsed="false">
      <c r="A19" s="83" t="n">
        <v>15</v>
      </c>
      <c r="B19" s="87" t="s">
        <v>1228</v>
      </c>
      <c r="C19" s="85" t="s">
        <v>1233</v>
      </c>
      <c r="D19" s="85" t="s">
        <v>1234</v>
      </c>
      <c r="E19" s="85" t="s">
        <v>1235</v>
      </c>
      <c r="F19" s="85" t="s">
        <v>1236</v>
      </c>
    </row>
    <row r="20" customFormat="false" ht="35.05" hidden="false" customHeight="false" outlineLevel="0" collapsed="false">
      <c r="A20" s="83" t="n">
        <v>16</v>
      </c>
      <c r="B20" s="88" t="s">
        <v>1237</v>
      </c>
      <c r="C20" s="85" t="s">
        <v>1238</v>
      </c>
      <c r="D20" s="85" t="s">
        <v>1239</v>
      </c>
      <c r="E20" s="85" t="s">
        <v>1240</v>
      </c>
      <c r="F20" s="85" t="s">
        <v>1241</v>
      </c>
    </row>
    <row r="21" customFormat="false" ht="23.85" hidden="false" customHeight="false" outlineLevel="0" collapsed="false">
      <c r="A21" s="83" t="n">
        <v>17</v>
      </c>
      <c r="B21" s="87" t="s">
        <v>1228</v>
      </c>
      <c r="C21" s="85" t="s">
        <v>1242</v>
      </c>
      <c r="D21" s="85" t="s">
        <v>1243</v>
      </c>
      <c r="E21" s="85" t="s">
        <v>1244</v>
      </c>
      <c r="F21" s="85" t="s">
        <v>1245</v>
      </c>
    </row>
    <row r="22" customFormat="false" ht="23.85" hidden="false" customHeight="false" outlineLevel="0" collapsed="false">
      <c r="A22" s="83" t="n">
        <v>18</v>
      </c>
      <c r="B22" s="87" t="s">
        <v>1228</v>
      </c>
      <c r="C22" s="85" t="s">
        <v>1246</v>
      </c>
      <c r="D22" s="85" t="s">
        <v>1247</v>
      </c>
      <c r="E22" s="85" t="s">
        <v>1248</v>
      </c>
      <c r="F22" s="85" t="s">
        <v>1249</v>
      </c>
    </row>
    <row r="25" customFormat="false" ht="15" hidden="false" customHeight="false" outlineLevel="0" collapsed="false">
      <c r="B25" s="3" t="s">
        <v>1250</v>
      </c>
    </row>
    <row r="26" customFormat="false" ht="30" hidden="false" customHeight="true" outlineLevel="0" collapsed="false">
      <c r="B26" s="89" t="n">
        <v>1</v>
      </c>
      <c r="C26" s="90" t="s">
        <v>1251</v>
      </c>
      <c r="D26" s="90"/>
      <c r="E26" s="90"/>
      <c r="F26" s="90"/>
    </row>
    <row r="27" customFormat="false" ht="30" hidden="false" customHeight="true" outlineLevel="0" collapsed="false">
      <c r="B27" s="89" t="n">
        <v>2</v>
      </c>
      <c r="C27" s="90" t="s">
        <v>1252</v>
      </c>
      <c r="D27" s="90"/>
      <c r="E27" s="90"/>
      <c r="F27" s="90"/>
    </row>
    <row r="28" customFormat="false" ht="30" hidden="false" customHeight="true" outlineLevel="0" collapsed="false">
      <c r="B28" s="89" t="n">
        <v>3</v>
      </c>
      <c r="C28" s="90" t="s">
        <v>1253</v>
      </c>
      <c r="D28" s="90"/>
      <c r="E28" s="90"/>
      <c r="F28" s="90"/>
    </row>
    <row r="29" customFormat="false" ht="30" hidden="false" customHeight="true" outlineLevel="0" collapsed="false">
      <c r="B29" s="89" t="n">
        <v>4</v>
      </c>
      <c r="C29" s="90" t="s">
        <v>1254</v>
      </c>
      <c r="D29" s="90"/>
      <c r="E29" s="90"/>
      <c r="F29" s="90"/>
    </row>
    <row r="30" customFormat="false" ht="30" hidden="false" customHeight="true" outlineLevel="0" collapsed="false">
      <c r="B30" s="89" t="n">
        <v>5</v>
      </c>
      <c r="C30" s="90" t="s">
        <v>1255</v>
      </c>
      <c r="D30" s="90"/>
      <c r="E30" s="90"/>
      <c r="F30" s="90"/>
    </row>
    <row r="32" customFormat="false" ht="15" hidden="false" customHeight="false" outlineLevel="0" collapsed="false">
      <c r="B32" s="3" t="s">
        <v>1256</v>
      </c>
    </row>
    <row r="33" customFormat="false" ht="30" hidden="false" customHeight="true" outlineLevel="0" collapsed="false">
      <c r="B33" s="91" t="s">
        <v>1237</v>
      </c>
      <c r="C33" s="90" t="s">
        <v>1257</v>
      </c>
      <c r="D33" s="90"/>
      <c r="E33" s="90"/>
      <c r="F33" s="90"/>
    </row>
    <row r="34" customFormat="false" ht="30" hidden="false" customHeight="true" outlineLevel="0" collapsed="false">
      <c r="B34" s="91" t="s">
        <v>1237</v>
      </c>
      <c r="C34" s="90" t="s">
        <v>1258</v>
      </c>
      <c r="D34" s="90"/>
      <c r="E34" s="90"/>
      <c r="F34" s="90"/>
    </row>
    <row r="35" customFormat="false" ht="30" hidden="false" customHeight="true" outlineLevel="0" collapsed="false">
      <c r="B35" s="91" t="s">
        <v>1237</v>
      </c>
      <c r="C35" s="90" t="s">
        <v>1259</v>
      </c>
      <c r="D35" s="90"/>
      <c r="E35" s="90"/>
      <c r="F35" s="90"/>
    </row>
    <row r="36" customFormat="false" ht="30" hidden="false" customHeight="true" outlineLevel="0" collapsed="false">
      <c r="B36" s="91" t="s">
        <v>1237</v>
      </c>
      <c r="C36" s="90" t="s">
        <v>1260</v>
      </c>
      <c r="D36" s="90"/>
      <c r="E36" s="90"/>
      <c r="F36" s="90"/>
    </row>
    <row r="37" customFormat="false" ht="30" hidden="false" customHeight="true" outlineLevel="0" collapsed="false">
      <c r="B37" s="91" t="s">
        <v>1237</v>
      </c>
      <c r="C37" s="90" t="s">
        <v>1261</v>
      </c>
      <c r="D37" s="90"/>
      <c r="E37" s="90"/>
      <c r="F37" s="90"/>
    </row>
    <row r="38" customFormat="false" ht="30" hidden="false" customHeight="true" outlineLevel="0" collapsed="false">
      <c r="B38" s="91" t="s">
        <v>1237</v>
      </c>
      <c r="C38" s="90" t="s">
        <v>1262</v>
      </c>
      <c r="D38" s="90"/>
      <c r="E38" s="90"/>
      <c r="F38" s="90"/>
    </row>
  </sheetData>
  <mergeCells count="11">
    <mergeCell ref="C26:F26"/>
    <mergeCell ref="C27:F27"/>
    <mergeCell ref="C28:F28"/>
    <mergeCell ref="C29:F29"/>
    <mergeCell ref="C30:F30"/>
    <mergeCell ref="C33:F33"/>
    <mergeCell ref="C34:F34"/>
    <mergeCell ref="C35:F35"/>
    <mergeCell ref="C36:F36"/>
    <mergeCell ref="C37:F37"/>
    <mergeCell ref="C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2026-10-06T20:04:14Z</dcterms:created>
  <dc:creator>openpyxl</dc:creator>
  <dc:description/>
  <dc:language>en-US</dc:language>
  <cp:lastModifiedBy/>
  <dcterms:modified xsi:type="dcterms:W3CDTF">2026-10-06T20:04:15Z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