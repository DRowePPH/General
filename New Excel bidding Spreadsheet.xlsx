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 ME" sheetId="1" state="visible" r:id="rId3"/>
    <sheet name="INPUTS" sheetId="2" state="visible" r:id="rId4"/>
    <sheet name="LABOUR RATES" sheetId="3" state="visible" r:id="rId5"/>
    <sheet name="PLUMBING EST" sheetId="4" state="visible" r:id="rId6"/>
    <sheet name="HVAC EST" sheetId="5" state="visible" r:id="rId7"/>
    <sheet name="SUBS &amp; GC" sheetId="6" state="visible" r:id="rId8"/>
    <sheet name="CRM ACTUALS" sheetId="7" state="visible" r:id="rId9"/>
    <sheet name="BID SUMMARY" sheetId="8" state="visible" r:id="rId10"/>
    <sheet name="BUDGET" sheetId="9" state="visible" r:id="rId11"/>
    <sheet name="SCHEDULE OF VALUES" sheetId="10" state="visible" r:id="rId12"/>
    <sheet name="AUDIT NOTES" sheetId="11" state="visible" r:id="rId13"/>
  </sheets>
  <definedNames>
    <definedName function="false" hidden="true" localSheetId="4" name="_xlnm._FilterDatabase" vbProcedure="false">'HVAC EST'!$A$6:$S$156</definedName>
    <definedName function="false" hidden="true" localSheetId="3" name="_xlnm._FilterDatabase" vbProcedure="false">'PLUMBING EST'!$A$6:$S$156</definedName>
    <definedName function="false" hidden="true" localSheetId="9" name="_xlnm._FilterDatabase" vbProcedure="false">'SCHEDULE OF VALUES'!$A$8:$H$152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Sum of units from the LEVELS table below.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Item Code links this line to CRM ACTUALS. Use the same code in your Knowify cost codes.</t>
        </r>
      </text>
    </comment>
    <comment ref="E24" authorId="0">
      <text>
        <r>
          <rPr>
            <sz val="10"/>
            <rFont val="Arial"/>
            <family val="2"/>
          </rPr>
          <t xml:space="preserve">EXAMPLE quantity: 123 units from PRJ INFO, $800 ea and 12 hrs ea from the original 'Insuite Piping - $800 ea @ 12 HRS ea' label. Replace with your takeoff.</t>
        </r>
      </text>
    </comment>
    <comment ref="H6" authorId="0">
      <text>
        <r>
          <rPr>
            <sz val="10"/>
            <rFont val="Arial"/>
            <family val="2"/>
          </rPr>
          <t xml:space="preserve">Labour hours per unit. Compare to CRM Hrs/Unit (actuals from Knowify). Cells more than 15% off history turn red.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Item Code links this line to CRM ACTUALS. Use the same code in your Knowify cost codes.</t>
        </r>
      </text>
    </comment>
    <comment ref="H6" authorId="0">
      <text>
        <r>
          <rPr>
            <sz val="10"/>
            <rFont val="Arial"/>
            <family val="2"/>
          </rPr>
          <t xml:space="preserve">Labour hours per unit. Compare to CRM Hrs/Unit (actuals from Knowify). Cells more than 15% off history turn red.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6" authorId="0">
      <text>
        <r>
          <rPr>
            <sz val="10"/>
            <rFont val="Arial"/>
            <family val="2"/>
          </rPr>
          <t xml:space="preserve">Confirmed: field supervision here is separate from the Foreman &amp; PM share of the crew mix, so it is not a double count.</t>
        </r>
      </text>
    </comment>
    <comment ref="G40" authorId="0">
      <text>
        <r>
          <rPr>
            <sz val="10"/>
            <rFont val="Arial"/>
            <family val="2"/>
          </rPr>
          <t xml:space="preserve">$7,500/month from original PRJ INFO D53. The original charged this 100% to Plumbing; here it auto-splits by direct cost. Confirmed: the $22/hr overhead covers salaried staff company wide; this line is the PM assigned to this job, so it is not a double count.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Must match the Item Code on PLUMBING EST / HVAC EST. Set the same codes up as Knowify cost codes.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9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45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81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  <comment ref="J117" authorId="0">
      <text>
        <r>
          <rPr>
            <sz val="10"/>
            <rFont val="Arial"/>
            <family val="2"/>
          </rPr>
          <t xml:space="preserve">Contract for this division / sum of its phase costs. Spreads margin and allowances evenly.</t>
        </r>
      </text>
    </comment>
  </commentList>
</comments>
</file>

<file path=xl/sharedStrings.xml><?xml version="1.0" encoding="utf-8"?>
<sst xmlns="http://schemas.openxmlformats.org/spreadsheetml/2006/main" count="1527" uniqueCount="739">
  <si>
    <t xml:space="preserve">New Excel Bidding Spreadsheet: How It Works</t>
  </si>
  <si>
    <t xml:space="preserve">Rebuilt from 'Template-Empty - WORK IN PROGRESS.xlsm'. Full transparent cost first, margin added on top.</t>
  </si>
  <si>
    <t xml:space="preserve">FLOW</t>
  </si>
  <si>
    <t xml:space="preserve">1. INPUTS</t>
  </si>
  <si>
    <t xml:space="preserve">Project info, durations, PST, consumables, contingency, target margin per division, level weights, your typical COGS %.</t>
  </si>
  <si>
    <t xml:space="preserve">2. LABOUR RATES</t>
  </si>
  <si>
    <t xml:space="preserve">Crew mix per trade (same layout as the original PRJ INFO rates block). Weighted burdened wage + overhead $/hr = fully loaded rate.</t>
  </si>
  <si>
    <t xml:space="preserve">3. PLUMBING EST / HVAC EST</t>
  </si>
  <si>
    <t xml:space="preserve">One row per item: Qty x Material $/unit and Qty x Hrs/unit. Same columns on both sheets so HVAC ties back exactly like Plumbing.</t>
  </si>
  <si>
    <t xml:space="preserve">4. SUBS &amp; GC</t>
  </si>
  <si>
    <t xml:space="preserve">Subtrade quotes and general conditions. Allocate by % to each division, or leave % blank to auto-split by direct cost.</t>
  </si>
  <si>
    <t xml:space="preserve">5. CRM ACTUALS</t>
  </si>
  <si>
    <t xml:space="preserve">Paste item-level actuals and job-level COGS from Knowify. Estimates show your historical hrs/unit and $/unit beside each line.</t>
  </si>
  <si>
    <t xml:space="preserve">6. BID SUMMARY</t>
  </si>
  <si>
    <t xml:space="preserve">Cost by type and division, then margin. Shows COGS % vs CRM history and vs your typical %. Holds every tie-out check.</t>
  </si>
  <si>
    <t xml:space="preserve">7. BUDGET</t>
  </si>
  <si>
    <t xml:space="preserve">Cost budget per division and phase. This is what the field is held to (no margin in the phase lines).</t>
  </si>
  <si>
    <t xml:space="preserve">8. SCHEDULE OF VALUES</t>
  </si>
  <si>
    <t xml:space="preserve">Contract value split by division, phase, and level (rough-in and finishing by floor). Totals tie to the contract.</t>
  </si>
  <si>
    <t xml:space="preserve">9. AUDIT NOTES</t>
  </si>
  <si>
    <t xml:space="preserve">Formula problems found in the original template, their dollar impact, and how this workbook handles them.</t>
  </si>
  <si>
    <t xml:space="preserve">COLOUR LEGEND</t>
  </si>
  <si>
    <t xml:space="preserve">Blue text, light yellow fill</t>
  </si>
  <si>
    <t xml:space="preserve">Input. Type here.</t>
  </si>
  <si>
    <t xml:space="preserve">Bright yellow fill</t>
  </si>
  <si>
    <t xml:space="preserve">Key assumption. Review on every bid.</t>
  </si>
  <si>
    <t xml:space="preserve">Black text</t>
  </si>
  <si>
    <t xml:space="preserve">Formula. Do not type over.</t>
  </si>
  <si>
    <t xml:space="preserve">Green text</t>
  </si>
  <si>
    <t xml:space="preserve">Link from another tab.</t>
  </si>
  <si>
    <t xml:space="preserve">Grey italic row</t>
  </si>
  <si>
    <t xml:space="preserve">Example row showing the expected format. Not counted.</t>
  </si>
  <si>
    <t xml:space="preserve">MARGIN vs MARKUP</t>
  </si>
  <si>
    <t xml:space="preserve">This workbook prices with MARGIN: Contract = Total Cost / (1 - Margin %).</t>
  </si>
  <si>
    <t xml:space="preserve">Example: cost $100,000 at 15% margin = $117,647 contract, $17,647 gross profit (17.6% markup).</t>
  </si>
  <si>
    <t xml:space="preserve">The original template used 15% MARKUP: $100,000 x 1.15 = $115,000, which is only a 13.0% margin.</t>
  </si>
  <si>
    <t xml:space="preserve">INPUTS shows the equivalent markup next to each margin so both views are visible.</t>
  </si>
  <si>
    <t xml:space="preserve">STEP BY STEP</t>
  </si>
  <si>
    <t xml:space="preserve">1. Fill INPUTS (project info, durations, margin). Check level units and weights.</t>
  </si>
  <si>
    <t xml:space="preserve">2. Confirm LABOUR RATES: burdened wage per classification, crew mix (must total 100%), overhead $/hr.</t>
  </si>
  <si>
    <t xml:space="preserve">3. Enter quantities on PLUMBING EST and HVAC EST. Use the Add columns for lump adjustments (negatives allowed).</t>
  </si>
  <si>
    <t xml:space="preserve">4. Compare your Hrs/Unit to the CRM Hrs/Unit column. Cells over +/-15% are highlighted.</t>
  </si>
  <si>
    <t xml:space="preserve">5. Enter sub quotes and GC items on SUBS &amp; GC. Make sure every Check cell reads OK.</t>
  </si>
  <si>
    <t xml:space="preserve">6. Review BID SUMMARY: every check in the CHECKS block must read OK before the number goes out.</t>
  </si>
  <si>
    <t xml:space="preserve">7. BUDGET and SCHEDULE OF VALUES update automatically. Enter progress billing on the SOV each month.</t>
  </si>
  <si>
    <t xml:space="preserve">INPUTS</t>
  </si>
  <si>
    <t xml:space="preserve">Blue cells are inputs. Bright yellow = key assumption to review on every bid.</t>
  </si>
  <si>
    <t xml:space="preserve">PROJECT INFORMATION</t>
  </si>
  <si>
    <t xml:space="preserve">Project Name</t>
  </si>
  <si>
    <t xml:space="preserve">Quote Number</t>
  </si>
  <si>
    <t xml:space="preserve">Project Type</t>
  </si>
  <si>
    <t xml:space="preserve">Multi-Family</t>
  </si>
  <si>
    <t xml:space="preserve">Owner</t>
  </si>
  <si>
    <t xml:space="preserve">General Contractor</t>
  </si>
  <si>
    <t xml:space="preserve">Architect</t>
  </si>
  <si>
    <t xml:space="preserve">Mech. Engineer</t>
  </si>
  <si>
    <t xml:space="preserve">Site Address</t>
  </si>
  <si>
    <t xml:space="preserve">2650 East 41st Ave</t>
  </si>
  <si>
    <t xml:space="preserve">City</t>
  </si>
  <si>
    <t xml:space="preserve">Vancouver</t>
  </si>
  <si>
    <t xml:space="preserve">Proposal Date</t>
  </si>
  <si>
    <t xml:space="preserve">Proposal Rev</t>
  </si>
  <si>
    <t xml:space="preserve">Prepared By</t>
  </si>
  <si>
    <t xml:space="preserve">Paris Mechanical Ltd</t>
  </si>
  <si>
    <t xml:space="preserve">Drawings</t>
  </si>
  <si>
    <t xml:space="preserve">Issued For Tender</t>
  </si>
  <si>
    <t xml:space="preserve">Gross Floor Area (sq ft)</t>
  </si>
  <si>
    <t xml:space="preserve">Number of Units</t>
  </si>
  <si>
    <t xml:space="preserve">KEY ASSUMPTIONS</t>
  </si>
  <si>
    <t xml:space="preserve">P&amp;H project duration (months)</t>
  </si>
  <si>
    <t xml:space="preserve">From original PRJ INFO H34.</t>
  </si>
  <si>
    <t xml:space="preserve">HVAC project duration (months)</t>
  </si>
  <si>
    <t xml:space="preserve">From original PRJ INFO H43.</t>
  </si>
  <si>
    <t xml:space="preserve">PST on materials</t>
  </si>
  <si>
    <t xml:space="preserve">BC PST 7%. From original PRJ INFO H52. Applied to material rows marked Y.</t>
  </si>
  <si>
    <t xml:space="preserve">GST (shown on proposal only, not a cost)</t>
  </si>
  <si>
    <t xml:space="preserve">From original PRJ INFO H51. GST is recoverable, so it is not in cost.</t>
  </si>
  <si>
    <t xml:space="preserve">Consumables (% of material)</t>
  </si>
  <si>
    <t xml:space="preserve">Original used 2% of material (P&amp;H SUMMARY H46, HVAC SUMMARY D30).</t>
  </si>
  <si>
    <t xml:space="preserve">Contingency (% of direct cost)</t>
  </si>
  <si>
    <t xml:space="preserve">Optional risk allowance. Kept as its own line so it stays visible.</t>
  </si>
  <si>
    <t xml:space="preserve">Warranty reserve (% of equipment &amp; fixture material)</t>
  </si>
  <si>
    <t xml:space="preserve">Original: 2 years x 1% of equipment+fixtures (PRJ SUMMARY rows 75-78).</t>
  </si>
  <si>
    <t xml:space="preserve">Contract rounding (round up to nearest $)</t>
  </si>
  <si>
    <t xml:space="preserve">Original rounded each division up to the nearest $100.</t>
  </si>
  <si>
    <t xml:space="preserve">Holdback (BC Builders Lien Act)</t>
  </si>
  <si>
    <t xml:space="preserve">Used on the SOV for progress billing.</t>
  </si>
  <si>
    <t xml:space="preserve">TARGET MARGIN BY DIVISION</t>
  </si>
  <si>
    <t xml:space="preserve">Division</t>
  </si>
  <si>
    <t xml:space="preserve">Code</t>
  </si>
  <si>
    <t xml:space="preserve">Target Margin %</t>
  </si>
  <si>
    <t xml:space="preserve">Equivalent Markup %</t>
  </si>
  <si>
    <t xml:space="preserve">Crew</t>
  </si>
  <si>
    <t xml:space="preserve">Plumbing</t>
  </si>
  <si>
    <t xml:space="preserve">P</t>
  </si>
  <si>
    <t xml:space="preserve">P&amp;H</t>
  </si>
  <si>
    <t xml:space="preserve">Margin = profit / contract. 15% is a placeholder: set your real target.</t>
  </si>
  <si>
    <t xml:space="preserve">Hydronic</t>
  </si>
  <si>
    <t xml:space="preserve">H</t>
  </si>
  <si>
    <t xml:space="preserve">Ventilation</t>
  </si>
  <si>
    <t xml:space="preserve">V</t>
  </si>
  <si>
    <t xml:space="preserve">HVAC</t>
  </si>
  <si>
    <t xml:space="preserve">Air Conditioning</t>
  </si>
  <si>
    <t xml:space="preserve">AC</t>
  </si>
  <si>
    <t xml:space="preserve">LEVELS (used to split rough-in and finishing by floor on the SOV)</t>
  </si>
  <si>
    <t xml:space="preserve">Tag</t>
  </si>
  <si>
    <t xml:space="preserve">Floor</t>
  </si>
  <si>
    <t xml:space="preserve">Units</t>
  </si>
  <si>
    <t xml:space="preserve">SOV Weight %</t>
  </si>
  <si>
    <t xml:space="preserve">U/G</t>
  </si>
  <si>
    <t xml:space="preserve">Ground Work</t>
  </si>
  <si>
    <t xml:space="preserve">Units per level from original PRJ INFO C6:C10.</t>
  </si>
  <si>
    <t xml:space="preserve">P-02</t>
  </si>
  <si>
    <t xml:space="preserve">Parking 2</t>
  </si>
  <si>
    <t xml:space="preserve">Weight defaults to units share. Type over it to give parking,</t>
  </si>
  <si>
    <t xml:space="preserve">PRKG</t>
  </si>
  <si>
    <t xml:space="preserve">Parking 1</t>
  </si>
  <si>
    <t xml:space="preserve">U/G or roof a share. Weights must total 100%.</t>
  </si>
  <si>
    <t xml:space="preserve">L-01</t>
  </si>
  <si>
    <t xml:space="preserve">Level 1</t>
  </si>
  <si>
    <t xml:space="preserve">L-02</t>
  </si>
  <si>
    <t xml:space="preserve">Level 2</t>
  </si>
  <si>
    <t xml:space="preserve">L-03</t>
  </si>
  <si>
    <t xml:space="preserve">Level 3</t>
  </si>
  <si>
    <t xml:space="preserve">L-04</t>
  </si>
  <si>
    <t xml:space="preserve">Level 4</t>
  </si>
  <si>
    <t xml:space="preserve">L-05</t>
  </si>
  <si>
    <t xml:space="preserve">Level 5</t>
  </si>
  <si>
    <t xml:space="preserve">L-06</t>
  </si>
  <si>
    <t xml:space="preserve">Level 6</t>
  </si>
  <si>
    <t xml:space="preserve">L-07</t>
  </si>
  <si>
    <t xml:space="preserve">Level 7</t>
  </si>
  <si>
    <t xml:space="preserve">L-08</t>
  </si>
  <si>
    <t xml:space="preserve">Level 8</t>
  </si>
  <si>
    <t xml:space="preserve">L-09</t>
  </si>
  <si>
    <t xml:space="preserve">Level 9</t>
  </si>
  <si>
    <t xml:space="preserve">L-10</t>
  </si>
  <si>
    <t xml:space="preserve">Level 10</t>
  </si>
  <si>
    <t xml:space="preserve">ROOF</t>
  </si>
  <si>
    <t xml:space="preserve">Roof</t>
  </si>
  <si>
    <t xml:space="preserve">TOTAL</t>
  </si>
  <si>
    <t xml:space="preserve">PHASES (drop-down list used on every tab)</t>
  </si>
  <si>
    <t xml:space="preserve">01 Mobilization &amp; Submittals</t>
  </si>
  <si>
    <t xml:space="preserve">Rename freely, but keep 8 rows. 03 and 04 are split by level on the SOV.</t>
  </si>
  <si>
    <t xml:space="preserve">02 Underground</t>
  </si>
  <si>
    <t xml:space="preserve">03 Rough-in</t>
  </si>
  <si>
    <t xml:space="preserve">04 Finishing</t>
  </si>
  <si>
    <t xml:space="preserve">05 Equipment &amp; Fixtures</t>
  </si>
  <si>
    <t xml:space="preserve">06 Testing, Balancing &amp; Commissioning</t>
  </si>
  <si>
    <t xml:space="preserve">07 Closeout &amp; Warranty</t>
  </si>
  <si>
    <t xml:space="preserve">08 General Conditions</t>
  </si>
  <si>
    <t xml:space="preserve">YOUR TYPICAL COST OF GOODS (% of contract)</t>
  </si>
  <si>
    <t xml:space="preserve">Cost Type</t>
  </si>
  <si>
    <t xml:space="preserve">Typical % of Contract</t>
  </si>
  <si>
    <t xml:space="preserve">Labour (wage + burden)</t>
  </si>
  <si>
    <t xml:space="preserve">Enter your typical project COGS split here. BID SUMMARY compares this bid to it.</t>
  </si>
  <si>
    <t xml:space="preserve">Overhead</t>
  </si>
  <si>
    <t xml:space="preserve">Material (incl. PST + consumables)</t>
  </si>
  <si>
    <t xml:space="preserve">Subtrades</t>
  </si>
  <si>
    <t xml:space="preserve">General Conditions</t>
  </si>
  <si>
    <t xml:space="preserve">Contingency</t>
  </si>
  <si>
    <t xml:space="preserve">Gross Profit</t>
  </si>
  <si>
    <t xml:space="preserve">LABOUR RATES (crew mix)</t>
  </si>
  <si>
    <t xml:space="preserve">Same layout as the original PRJ INFO rates block. Both trades now tie back the same way.</t>
  </si>
  <si>
    <t xml:space="preserve">UPDATED 2026-06-29</t>
  </si>
  <si>
    <t xml:space="preserve">PLUMBING &amp; HYDRONIC CREW</t>
  </si>
  <si>
    <t xml:space="preserve">Classification</t>
  </si>
  <si>
    <t xml:space="preserve">Burdened Rate $/hr</t>
  </si>
  <si>
    <t xml:space="preserve">Crew Mix %</t>
  </si>
  <si>
    <t xml:space="preserve">Weighted $/hr</t>
  </si>
  <si>
    <t xml:space="preserve">Hours</t>
  </si>
  <si>
    <t xml:space="preserve">Cost by Wage Breakdown</t>
  </si>
  <si>
    <t xml:space="preserve">Apprentice Lvl 1-2</t>
  </si>
  <si>
    <t xml:space="preserve">Rates are fully burdened (confirmed): from original PRJ INFO D36:D40.</t>
  </si>
  <si>
    <t xml:space="preserve">Apprentice Lvl 3-6</t>
  </si>
  <si>
    <t xml:space="preserve">Crew mix from original PRJ INFO E36:E40.</t>
  </si>
  <si>
    <t xml:space="preserve">Apprentice Lvl 7-8</t>
  </si>
  <si>
    <t xml:space="preserve">Overhead $22/hr from original PRJ INFO H35/H44.</t>
  </si>
  <si>
    <t xml:space="preserve">Journeyman Lvl 1-2</t>
  </si>
  <si>
    <t xml:space="preserve">Hours x mix x rate = the 'Cost by wage breakdown' column</t>
  </si>
  <si>
    <t xml:space="preserve">Foreman &amp; PM</t>
  </si>
  <si>
    <t xml:space="preserve">in your screenshot, so it reconciles to the estimate labour $.</t>
  </si>
  <si>
    <t xml:space="preserve">Weighted average burdened wage</t>
  </si>
  <si>
    <t xml:space="preserve">Overhead $/hr (shop, office, vehicles, insurance)</t>
  </si>
  <si>
    <t xml:space="preserve">FULLY LOADED RATE $/hr</t>
  </si>
  <si>
    <t xml:space="preserve">Crew mix = 100% and hours x rate ties to breakdown</t>
  </si>
  <si>
    <t xml:space="preserve">Estimated hours (from estimate tabs)</t>
  </si>
  <si>
    <t xml:space="preserve">HVAC CREW (ventilation &amp; A/C)</t>
  </si>
  <si>
    <t xml:space="preserve">WHY THIS MATTERS: rate the original template used vs true loaded rate</t>
  </si>
  <si>
    <t xml:space="preserve">Rate Basis</t>
  </si>
  <si>
    <t xml:space="preserve">$/hr</t>
  </si>
  <si>
    <t xml:space="preserve">P&amp;H Hours</t>
  </si>
  <si>
    <t xml:space="preserve">Labour + OH Cost</t>
  </si>
  <si>
    <t xml:space="preserve">Original line items (Apprentice 1-2 only)</t>
  </si>
  <si>
    <t xml:space="preserve">At 20,800 hrs the original bid labour at $70.20 = $1,460,160.</t>
  </si>
  <si>
    <t xml:space="preserve">Original summary 'Budget with' (simple average)</t>
  </si>
  <si>
    <t xml:space="preserve">True loaded cost at $86.75 = $1,804,296. Gap: $344,136 before margin.</t>
  </si>
  <si>
    <t xml:space="preserve">Crew-mix weighted burdened wage</t>
  </si>
  <si>
    <t xml:space="preserve">Fully loaded (weighted wage + overhead)</t>
  </si>
  <si>
    <t xml:space="preserve">PLUMBING EST</t>
  </si>
  <si>
    <t xml:space="preserve">Plumbing (P) and Hydronic (H). Seed unit costs and hours from the original EQUIPMENT sheet.</t>
  </si>
  <si>
    <t xml:space="preserve">TOTALS</t>
  </si>
  <si>
    <t xml:space="preserve">Labour $ = Hours x crew-mix weighted burdened wage. Overhead $ = Hours x overhead $/hr. P/H rows use the P&amp;H crew, V/AC rows use the HVAC crew (LABOUR RATES).</t>
  </si>
  <si>
    <t xml:space="preserve">Item Code</t>
  </si>
  <si>
    <t xml:space="preserve">Div</t>
  </si>
  <si>
    <t xml:space="preserve">Phase</t>
  </si>
  <si>
    <t xml:space="preserve">Description</t>
  </si>
  <si>
    <t xml:space="preserve">Qty</t>
  </si>
  <si>
    <t xml:space="preserve">Unit</t>
  </si>
  <si>
    <t xml:space="preserve">Material $/Unit</t>
  </si>
  <si>
    <t xml:space="preserve">Hrs/Unit</t>
  </si>
  <si>
    <t xml:space="preserve">Add Material $</t>
  </si>
  <si>
    <t xml:space="preserve">Add Hrs</t>
  </si>
  <si>
    <t xml:space="preserve">PST? (Y/N)</t>
  </si>
  <si>
    <t xml:space="preserve">Material $ (incl PST)</t>
  </si>
  <si>
    <t xml:space="preserve">Labour $ (wage+burden)</t>
  </si>
  <si>
    <t xml:space="preserve">Overhead $</t>
  </si>
  <si>
    <t xml:space="preserve">TOTAL COST $</t>
  </si>
  <si>
    <t xml:space="preserve">CRM Hrs/Unit</t>
  </si>
  <si>
    <t xml:space="preserve">CRM Mat $/Unit</t>
  </si>
  <si>
    <t xml:space="preserve">Hrs/Unit vs CRM</t>
  </si>
  <si>
    <t xml:space="preserve">P-UG-SUMP</t>
  </si>
  <si>
    <t xml:space="preserve">Sumps &amp; Interceptors</t>
  </si>
  <si>
    <t xml:space="preserve">ea</t>
  </si>
  <si>
    <t xml:space="preserve">Y</t>
  </si>
  <si>
    <t xml:space="preserve">P-UG-STRM</t>
  </si>
  <si>
    <t xml:space="preserve">Storm Water &amp; Drain Tile</t>
  </si>
  <si>
    <t xml:space="preserve">lf</t>
  </si>
  <si>
    <t xml:space="preserve">P-UG-SAN</t>
  </si>
  <si>
    <t xml:space="preserve">Sanitary (underground)</t>
  </si>
  <si>
    <t xml:space="preserve">P-UG-DW</t>
  </si>
  <si>
    <t xml:space="preserve">Domestic Water (underground)</t>
  </si>
  <si>
    <t xml:space="preserve">P-RI-STRM</t>
  </si>
  <si>
    <t xml:space="preserve">DWV Storm Water</t>
  </si>
  <si>
    <t xml:space="preserve">P-RI-SAN</t>
  </si>
  <si>
    <t xml:space="preserve">DWV Sanitary (Drainage/Vents)</t>
  </si>
  <si>
    <t xml:space="preserve">P-RI-WR2</t>
  </si>
  <si>
    <t xml:space="preserve">2-Piece Bathroom (WC, LAV)</t>
  </si>
  <si>
    <t xml:space="preserve">P-RI-WR3T</t>
  </si>
  <si>
    <t xml:space="preserve">3-Piece Bathroom (WC, LAV, TUB)</t>
  </si>
  <si>
    <t xml:space="preserve">P-RI-WR3S</t>
  </si>
  <si>
    <t xml:space="preserve">3-Piece Bathroom (WC, LAV, SH)</t>
  </si>
  <si>
    <t xml:space="preserve">P-RI-WR4T</t>
  </si>
  <si>
    <t xml:space="preserve">4-Piece Bathroom (WC, 2LAV, TUB)</t>
  </si>
  <si>
    <t xml:space="preserve">P-RI-WR4S</t>
  </si>
  <si>
    <t xml:space="preserve">4-Piece Bathroom (WC, 2LAV, SH)</t>
  </si>
  <si>
    <t xml:space="preserve">P-RI-WR4TS</t>
  </si>
  <si>
    <t xml:space="preserve">4-Piece Bathroom (WC, LAV, TUB &amp; SH)</t>
  </si>
  <si>
    <t xml:space="preserve">P-RI-WR5</t>
  </si>
  <si>
    <t xml:space="preserve">5-Piece Bathroom (WC, 2LAV, TUB &amp; SH)</t>
  </si>
  <si>
    <t xml:space="preserve">P-RI-LAUN</t>
  </si>
  <si>
    <t xml:space="preserve">Laundry - 4" Wet Vent</t>
  </si>
  <si>
    <t xml:space="preserve">P-RI-KS3</t>
  </si>
  <si>
    <t xml:space="preserve">Kitchen Sink - 3" Vent</t>
  </si>
  <si>
    <t xml:space="preserve">P-RI-KS4</t>
  </si>
  <si>
    <t xml:space="preserve">Kitchen Sink - 4" Vent</t>
  </si>
  <si>
    <t xml:space="preserve">P-RI-DWD</t>
  </si>
  <si>
    <t xml:space="preserve">Domestic Water Distribution Piping</t>
  </si>
  <si>
    <t xml:space="preserve">P-RI-DWS</t>
  </si>
  <si>
    <t xml:space="preserve">Domestic Water Insuite Piping</t>
  </si>
  <si>
    <t xml:space="preserve">suite</t>
  </si>
  <si>
    <t xml:space="preserve">P-RI-IRR</t>
  </si>
  <si>
    <t xml:space="preserve">Irrigation</t>
  </si>
  <si>
    <t xml:space="preserve">LS</t>
  </si>
  <si>
    <t xml:space="preserve">P-RI-COND</t>
  </si>
  <si>
    <t xml:space="preserve">Condensate Drains (if by Plumbing)</t>
  </si>
  <si>
    <t xml:space="preserve">P-RI-GAS</t>
  </si>
  <si>
    <t xml:space="preserve">Gas &amp; Boiler Vents</t>
  </si>
  <si>
    <t xml:space="preserve">P-RI-DRN</t>
  </si>
  <si>
    <t xml:space="preserve">Drains &amp; Hose Bibs (rough-in)</t>
  </si>
  <si>
    <t xml:space="preserve">P-RI-WER</t>
  </si>
  <si>
    <t xml:space="preserve">Water Entry Room</t>
  </si>
  <si>
    <t xml:space="preserve">P-RI-FLSH</t>
  </si>
  <si>
    <t xml:space="preserve">Roof Flashings</t>
  </si>
  <si>
    <t xml:space="preserve">P-RI-CAN</t>
  </si>
  <si>
    <t xml:space="preserve">Canning / Cutting / Layout</t>
  </si>
  <si>
    <t xml:space="preserve">P-RI-CLN</t>
  </si>
  <si>
    <t xml:space="preserve">Clean-up</t>
  </si>
  <si>
    <t xml:space="preserve">P-FN-FIX</t>
  </si>
  <si>
    <t xml:space="preserve">Set Plumbing Fixtures</t>
  </si>
  <si>
    <t xml:space="preserve">P-FN-AP</t>
  </si>
  <si>
    <t xml:space="preserve">Access Panels</t>
  </si>
  <si>
    <t xml:space="preserve">P-FN-LBL</t>
  </si>
  <si>
    <t xml:space="preserve">Pipe Labelling</t>
  </si>
  <si>
    <t xml:space="preserve">P-EQ-FIX</t>
  </si>
  <si>
    <t xml:space="preserve">Plumbing Fixtures Supply (WC, LAV, KS, SH, BT)</t>
  </si>
  <si>
    <t xml:space="preserve">P-EQ-DRN</t>
  </si>
  <si>
    <t xml:space="preserve">Drains Supply (FD, AD, RD, HB, TD, TP)</t>
  </si>
  <si>
    <t xml:space="preserve">P-EQ-EQP</t>
  </si>
  <si>
    <t xml:space="preserve">Plumbing Equipment (DHW, pumps, tanks)</t>
  </si>
  <si>
    <t xml:space="preserve">P-TS-TEST</t>
  </si>
  <si>
    <t xml:space="preserve">Testing</t>
  </si>
  <si>
    <t xml:space="preserve">P-CL-DOCS</t>
  </si>
  <si>
    <t xml:space="preserve">As-builts, O&amp;M, Closeout</t>
  </si>
  <si>
    <t xml:space="preserve">H-UG-PIPE</t>
  </si>
  <si>
    <t xml:space="preserve">Hydronic U/G Piping</t>
  </si>
  <si>
    <t xml:space="preserve">H-RI-DIST</t>
  </si>
  <si>
    <t xml:space="preserve">Heating Distribution Piping</t>
  </si>
  <si>
    <t xml:space="preserve">H-RI-MAN</t>
  </si>
  <si>
    <t xml:space="preserve">Manifolds</t>
  </si>
  <si>
    <t xml:space="preserve">H-RI-SUITE</t>
  </si>
  <si>
    <t xml:space="preserve">Hydronic Insuite Piping</t>
  </si>
  <si>
    <t xml:space="preserve">H-RI-GLY</t>
  </si>
  <si>
    <t xml:space="preserve">Glycol Loop</t>
  </si>
  <si>
    <t xml:space="preserve">H-RI-CAN</t>
  </si>
  <si>
    <t xml:space="preserve">H-RI-CLN</t>
  </si>
  <si>
    <t xml:space="preserve">H-FN-AP</t>
  </si>
  <si>
    <t xml:space="preserve">H-FN-LBL</t>
  </si>
  <si>
    <t xml:space="preserve">H-EQ-MECH</t>
  </si>
  <si>
    <t xml:space="preserve">Mechanical Room</t>
  </si>
  <si>
    <t xml:space="preserve">H-EQ-EQP</t>
  </si>
  <si>
    <t xml:space="preserve">Hydronic Equipment (boilers, pumps, HX)</t>
  </si>
  <si>
    <t xml:space="preserve">H-TS-TEST</t>
  </si>
  <si>
    <t xml:space="preserve">HVAC EST</t>
  </si>
  <si>
    <t xml:space="preserve">Ventilation (V) and Air Conditioning (AC). Identical columns and formulas to PLUMBING EST.</t>
  </si>
  <si>
    <t xml:space="preserve">V-RI-DUCT</t>
  </si>
  <si>
    <t xml:space="preserve">Distribution Ductwork</t>
  </si>
  <si>
    <t xml:space="preserve">lb</t>
  </si>
  <si>
    <t xml:space="preserve">V-RI-SUITE</t>
  </si>
  <si>
    <t xml:space="preserve">Insuite Ductwork</t>
  </si>
  <si>
    <t xml:space="preserve">V-RI-COND</t>
  </si>
  <si>
    <t xml:space="preserve">Condensate Drains (if by HVAC)</t>
  </si>
  <si>
    <t xml:space="preserve">V-RI-INS</t>
  </si>
  <si>
    <t xml:space="preserve">Thermal Insulation (in-house)</t>
  </si>
  <si>
    <t xml:space="preserve">V-RI-CAN</t>
  </si>
  <si>
    <t xml:space="preserve">V-RI-CLN</t>
  </si>
  <si>
    <t xml:space="preserve">V-FN-GRL</t>
  </si>
  <si>
    <t xml:space="preserve">Grilles &amp; Ventilation Terminations</t>
  </si>
  <si>
    <t xml:space="preserve">V-FN-AP</t>
  </si>
  <si>
    <t xml:space="preserve">V-FN-LBL</t>
  </si>
  <si>
    <t xml:space="preserve">Duct Labelling</t>
  </si>
  <si>
    <t xml:space="preserve">V-EQ-FAN</t>
  </si>
  <si>
    <t xml:space="preserve">Fans &amp; ERVs</t>
  </si>
  <si>
    <t xml:space="preserve">V-TS-TEST</t>
  </si>
  <si>
    <t xml:space="preserve">AC-RI-DUCT</t>
  </si>
  <si>
    <t xml:space="preserve">AC-RI-SUITE</t>
  </si>
  <si>
    <t xml:space="preserve">AC-RI-COND</t>
  </si>
  <si>
    <t xml:space="preserve">AC-RI-LINE</t>
  </si>
  <si>
    <t xml:space="preserve">Refrigeration Linesets</t>
  </si>
  <si>
    <t xml:space="preserve">AC-RI-PTAC</t>
  </si>
  <si>
    <t xml:space="preserve">PTAC Rough-in</t>
  </si>
  <si>
    <t xml:space="preserve">AC-RI-LS12</t>
  </si>
  <si>
    <t xml:space="preserve">AC-1.1/2 Lineset</t>
  </si>
  <si>
    <t xml:space="preserve">AC-RI-CAN</t>
  </si>
  <si>
    <t xml:space="preserve">AC-RI-CLN</t>
  </si>
  <si>
    <t xml:space="preserve">AC-FN-GRL</t>
  </si>
  <si>
    <t xml:space="preserve">Diffusers &amp; Registers</t>
  </si>
  <si>
    <t xml:space="preserve">AC-FN-AP</t>
  </si>
  <si>
    <t xml:space="preserve">AC-EQ-AHU</t>
  </si>
  <si>
    <t xml:space="preserve">AHUs &amp; Heat Pumps</t>
  </si>
  <si>
    <t xml:space="preserve">AC-TS-TEST</t>
  </si>
  <si>
    <t xml:space="preserve">SUBTRADES &amp; GENERAL CONDITIONS</t>
  </si>
  <si>
    <t xml:space="preserve">Allocation %: enter a split per division, or leave all four blank to auto-split by direct cost.</t>
  </si>
  <si>
    <t xml:space="preserve">Direct cost by division</t>
  </si>
  <si>
    <t xml:space="preserve">Auto split share</t>
  </si>
  <si>
    <t xml:space="preserve">SUBTRADES (enter quotes as received, before margin)</t>
  </si>
  <si>
    <t xml:space="preserve">#</t>
  </si>
  <si>
    <t xml:space="preserve">Item</t>
  </si>
  <si>
    <t xml:space="preserve">Company / Basis</t>
  </si>
  <si>
    <t xml:space="preserve">Rate $</t>
  </si>
  <si>
    <t xml:space="preserve">Amount $</t>
  </si>
  <si>
    <t xml:space="preserve">% P</t>
  </si>
  <si>
    <t xml:space="preserve">% H</t>
  </si>
  <si>
    <t xml:space="preserve">% V</t>
  </si>
  <si>
    <t xml:space="preserve">% AC</t>
  </si>
  <si>
    <t xml:space="preserve">Plumbing $</t>
  </si>
  <si>
    <t xml:space="preserve">Hydronic $</t>
  </si>
  <si>
    <t xml:space="preserve">Ventilation $</t>
  </si>
  <si>
    <t xml:space="preserve">A/C $</t>
  </si>
  <si>
    <t xml:space="preserve">Check</t>
  </si>
  <si>
    <t xml:space="preserve">Pipe Insulation &amp; Heat Trace</t>
  </si>
  <si>
    <t xml:space="preserve">Adler</t>
  </si>
  <si>
    <t xml:space="preserve">Duct Insulation</t>
  </si>
  <si>
    <t xml:space="preserve">P&amp;H Controls</t>
  </si>
  <si>
    <t xml:space="preserve">HVAC Controls</t>
  </si>
  <si>
    <t xml:space="preserve">Olympic Controls</t>
  </si>
  <si>
    <t xml:space="preserve">TAB (Test, Adjust, Balance)</t>
  </si>
  <si>
    <t xml:space="preserve">Western Mechanical</t>
  </si>
  <si>
    <t xml:space="preserve">Commissioning</t>
  </si>
  <si>
    <t xml:space="preserve">Canning / Piping Plans</t>
  </si>
  <si>
    <t xml:space="preserve">Paris Mechanical</t>
  </si>
  <si>
    <t xml:space="preserve">Coring / Scanning</t>
  </si>
  <si>
    <t xml:space="preserve">Fixtures Caulking</t>
  </si>
  <si>
    <t xml:space="preserve">Water Balancing</t>
  </si>
  <si>
    <t xml:space="preserve">Sump Pumps</t>
  </si>
  <si>
    <t xml:space="preserve">Chemical Treatment</t>
  </si>
  <si>
    <t xml:space="preserve">P&amp;H Seismic / Schedule</t>
  </si>
  <si>
    <t xml:space="preserve">HVAC Seismic / Schedule</t>
  </si>
  <si>
    <t xml:space="preserve">As-built Drawings</t>
  </si>
  <si>
    <t xml:space="preserve">O&amp;M Manuals</t>
  </si>
  <si>
    <t xml:space="preserve">Plumbing Bond</t>
  </si>
  <si>
    <t xml:space="preserve">HVAC Bond</t>
  </si>
  <si>
    <t xml:space="preserve">Welding</t>
  </si>
  <si>
    <t xml:space="preserve">Gas Service / Sprinklers / Other</t>
  </si>
  <si>
    <t xml:space="preserve">SUBTRADES TOTAL</t>
  </si>
  <si>
    <t xml:space="preserve">GENERAL CONDITIONS (Qty x Rate)</t>
  </si>
  <si>
    <t xml:space="preserve">Supervision - Plumbing</t>
  </si>
  <si>
    <t xml:space="preserve">months</t>
  </si>
  <si>
    <t xml:space="preserve">Supervision - Hydronic</t>
  </si>
  <si>
    <t xml:space="preserve">Supervision - Ventilation</t>
  </si>
  <si>
    <t xml:space="preserve">Supervision - A/C</t>
  </si>
  <si>
    <t xml:space="preserve">Office Project Manager (dedicated to this job)</t>
  </si>
  <si>
    <t xml:space="preserve">Dedicated office PM, per month</t>
  </si>
  <si>
    <t xml:space="preserve">Bonus - Plumbing</t>
  </si>
  <si>
    <t xml:space="preserve">Bonus - Hydronic</t>
  </si>
  <si>
    <t xml:space="preserve">Bonus - Ventilation</t>
  </si>
  <si>
    <t xml:space="preserve">Bonus - A/C</t>
  </si>
  <si>
    <t xml:space="preserve">Bonus - Office</t>
  </si>
  <si>
    <t xml:space="preserve">Shop Drawings</t>
  </si>
  <si>
    <t xml:space="preserve">Plumbing &amp; Gas Permit</t>
  </si>
  <si>
    <t xml:space="preserve">Prints</t>
  </si>
  <si>
    <t xml:space="preserve">Rentals</t>
  </si>
  <si>
    <t xml:space="preserve">Trailer</t>
  </si>
  <si>
    <t xml:space="preserve">Legal Fees</t>
  </si>
  <si>
    <t xml:space="preserve">Freight</t>
  </si>
  <si>
    <t xml:space="preserve">Safety</t>
  </si>
  <si>
    <t xml:space="preserve">Warranty Reserve - Plumbing</t>
  </si>
  <si>
    <t xml:space="preserve">Warranty Reserve - Hydronic</t>
  </si>
  <si>
    <t xml:space="preserve">Warranty Reserve - Ventilation</t>
  </si>
  <si>
    <t xml:space="preserve">Warranty Reserve - Air Conditioning</t>
  </si>
  <si>
    <t xml:space="preserve">GENERAL CONDITIONS TOTAL</t>
  </si>
  <si>
    <t xml:space="preserve">CRM ACTUALS (Knowify)</t>
  </si>
  <si>
    <t xml:space="preserve">Paste exported actuals from row 7 down. Grey row 5 is a format example and is NOT counted.</t>
  </si>
  <si>
    <t xml:space="preserve">ITEM-LEVEL PRODUCTION (feeds CRM Hrs/Unit and CRM Mat $/Unit on the estimate tabs)</t>
  </si>
  <si>
    <t xml:space="preserve">JOB-LEVEL COST OF GOODS HISTORY (feeds BID SUMMARY comparison)</t>
  </si>
  <si>
    <t xml:space="preserve">EXAMPLE</t>
  </si>
  <si>
    <t xml:space="preserve">Example job (not counted)</t>
  </si>
  <si>
    <t xml:space="preserve">Format example only</t>
  </si>
  <si>
    <t xml:space="preserve">Job #</t>
  </si>
  <si>
    <t xml:space="preserve">Job Name</t>
  </si>
  <si>
    <t xml:space="preserve">Year</t>
  </si>
  <si>
    <t xml:space="preserve">Qty Installed</t>
  </si>
  <si>
    <t xml:space="preserve">Actual Hours</t>
  </si>
  <si>
    <t xml:space="preserve">Actual Labour $</t>
  </si>
  <si>
    <t xml:space="preserve">Actual Material $</t>
  </si>
  <si>
    <t xml:space="preserve">Notes</t>
  </si>
  <si>
    <t xml:space="preserve">Contract $</t>
  </si>
  <si>
    <t xml:space="preserve">Labour $</t>
  </si>
  <si>
    <t xml:space="preserve">Material $</t>
  </si>
  <si>
    <t xml:space="preserve">Subtrades $</t>
  </si>
  <si>
    <t xml:space="preserve">Gen. Cond. $</t>
  </si>
  <si>
    <t xml:space="preserve">Total Cost $</t>
  </si>
  <si>
    <t xml:space="preserve">GP %</t>
  </si>
  <si>
    <t xml:space="preserve">BID SUMMARY: full cost, then margin</t>
  </si>
  <si>
    <t xml:space="preserve">Bid status:</t>
  </si>
  <si>
    <t xml:space="preserve">Consumables $</t>
  </si>
  <si>
    <t xml:space="preserve">Contingency $</t>
  </si>
  <si>
    <t xml:space="preserve">Target Margin</t>
  </si>
  <si>
    <t xml:space="preserve">Sell Price $</t>
  </si>
  <si>
    <t xml:space="preserve">CONTRACT $ (rounded)</t>
  </si>
  <si>
    <t xml:space="preserve">Gross Profit $</t>
  </si>
  <si>
    <t xml:space="preserve">Actual Margin</t>
  </si>
  <si>
    <t xml:space="preserve">Markup on Cost</t>
  </si>
  <si>
    <t xml:space="preserve">Per Unit $</t>
  </si>
  <si>
    <t xml:space="preserve">Per Sq Ft $</t>
  </si>
  <si>
    <t xml:space="preserve">Hrs / Unit</t>
  </si>
  <si>
    <t xml:space="preserve">TOTAL MECHANICAL</t>
  </si>
  <si>
    <t xml:space="preserve">GST (not in contract cost)</t>
  </si>
  <si>
    <t xml:space="preserve">Contract + GST</t>
  </si>
  <si>
    <t xml:space="preserve">COST OF GOODS MIX (whole job)</t>
  </si>
  <si>
    <t xml:space="preserve">This Bid $</t>
  </si>
  <si>
    <t xml:space="preserve">% of Contract</t>
  </si>
  <si>
    <t xml:space="preserve">CRM History %</t>
  </si>
  <si>
    <t xml:space="preserve">Your Typical %</t>
  </si>
  <si>
    <t xml:space="preserve">Bid vs Typical</t>
  </si>
  <si>
    <t xml:space="preserve">Rounding adds a few dollars of profit, so 'This Bid $' total equals the contract.</t>
  </si>
  <si>
    <t xml:space="preserve">Material (incl PST + consumables)</t>
  </si>
  <si>
    <t xml:space="preserve">CHECKS (all must read OK before the bid goes out)</t>
  </si>
  <si>
    <t xml:space="preserve">P&amp;H crew mix = 100% and labour ties to wage breakdown</t>
  </si>
  <si>
    <t xml:space="preserve">HVAC crew mix = 100% and labour ties to wage breakdown</t>
  </si>
  <si>
    <t xml:space="preserve">P+H labour $ = LABOUR RATES P&amp;H cost by wage breakdown</t>
  </si>
  <si>
    <t xml:space="preserve">V+AC labour $ = LABOUR RATES HVAC cost by wage breakdown</t>
  </si>
  <si>
    <t xml:space="preserve">Every estimate row has a valid Div and Phase</t>
  </si>
  <si>
    <t xml:space="preserve">Subtrades fully allocated to divisions</t>
  </si>
  <si>
    <t xml:space="preserve">General conditions fully allocated to divisions</t>
  </si>
  <si>
    <t xml:space="preserve">Level weights total 100%</t>
  </si>
  <si>
    <t xml:space="preserve">BUDGET total cost = BID SUMMARY total cost</t>
  </si>
  <si>
    <t xml:space="preserve">SCHEDULE OF VALUES total = contract</t>
  </si>
  <si>
    <t xml:space="preserve">OVERALL</t>
  </si>
  <si>
    <t xml:space="preserve">PROJECT BUDGET (cost, by division and phase)</t>
  </si>
  <si>
    <t xml:space="preserve">PROJECT ROLL-UP</t>
  </si>
  <si>
    <t xml:space="preserve">Material $ (incl consumables)</t>
  </si>
  <si>
    <t xml:space="preserve">Margin $</t>
  </si>
  <si>
    <t xml:space="preserve">CONTRACT $</t>
  </si>
  <si>
    <t xml:space="preserve">Total cost rebuilt from phase detail below (must equal J10)</t>
  </si>
  <si>
    <t xml:space="preserve">PLUMBING (P)</t>
  </si>
  <si>
    <t xml:space="preserve">TOTAL BUDGET $</t>
  </si>
  <si>
    <t xml:space="preserve">% of Division</t>
  </si>
  <si>
    <t xml:space="preserve">Consumables allowance</t>
  </si>
  <si>
    <t xml:space="preserve">TOTAL COST BUDGET</t>
  </si>
  <si>
    <t xml:space="preserve">Margin (fee)</t>
  </si>
  <si>
    <t xml:space="preserve">CONTRACT VALUE</t>
  </si>
  <si>
    <t xml:space="preserve">HYDRONIC (H)</t>
  </si>
  <si>
    <t xml:space="preserve">VENTILATION (V)</t>
  </si>
  <si>
    <t xml:space="preserve">AIR CONDITIONING (AC)</t>
  </si>
  <si>
    <t xml:space="preserve">SCHEDULE OF VALUES</t>
  </si>
  <si>
    <t xml:space="preserve">Contract value (from BID SUMMARY)</t>
  </si>
  <si>
    <t xml:space="preserve">Total of schedule below</t>
  </si>
  <si>
    <t xml:space="preserve">Margin, consumables and contingency are spread across each division's lines in proportion to cost.</t>
  </si>
  <si>
    <t xml:space="preserve">Item #</t>
  </si>
  <si>
    <t xml:space="preserve">Scheduled Value $</t>
  </si>
  <si>
    <t xml:space="preserve">Completed to Date $</t>
  </si>
  <si>
    <t xml:space="preserve">% Complete</t>
  </si>
  <si>
    <t xml:space="preserve">Balance to Finish $</t>
  </si>
  <si>
    <t xml:space="preserve">Holdback $</t>
  </si>
  <si>
    <t xml:space="preserve">Div factor</t>
  </si>
  <si>
    <t xml:space="preserve">PLUMBING</t>
  </si>
  <si>
    <t xml:space="preserve">P-01</t>
  </si>
  <si>
    <t xml:space="preserve">P-03-01</t>
  </si>
  <si>
    <t xml:space="preserve">P-03-02</t>
  </si>
  <si>
    <t xml:space="preserve">P-03-03</t>
  </si>
  <si>
    <t xml:space="preserve">P-03-04</t>
  </si>
  <si>
    <t xml:space="preserve">P-03-05</t>
  </si>
  <si>
    <t xml:space="preserve">P-03-06</t>
  </si>
  <si>
    <t xml:space="preserve">P-03-07</t>
  </si>
  <si>
    <t xml:space="preserve">P-03-08</t>
  </si>
  <si>
    <t xml:space="preserve">P-03-09</t>
  </si>
  <si>
    <t xml:space="preserve">P-03-10</t>
  </si>
  <si>
    <t xml:space="preserve">P-03-11</t>
  </si>
  <si>
    <t xml:space="preserve">P-03-12</t>
  </si>
  <si>
    <t xml:space="preserve">P-03-13</t>
  </si>
  <si>
    <t xml:space="preserve">P-03-14</t>
  </si>
  <si>
    <t xml:space="preserve">P-04-01</t>
  </si>
  <si>
    <t xml:space="preserve">P-04-02</t>
  </si>
  <si>
    <t xml:space="preserve">P-04-03</t>
  </si>
  <si>
    <t xml:space="preserve">P-04-04</t>
  </si>
  <si>
    <t xml:space="preserve">P-04-05</t>
  </si>
  <si>
    <t xml:space="preserve">P-04-06</t>
  </si>
  <si>
    <t xml:space="preserve">P-04-07</t>
  </si>
  <si>
    <t xml:space="preserve">P-04-08</t>
  </si>
  <si>
    <t xml:space="preserve">P-04-09</t>
  </si>
  <si>
    <t xml:space="preserve">P-04-10</t>
  </si>
  <si>
    <t xml:space="preserve">P-04-11</t>
  </si>
  <si>
    <t xml:space="preserve">P-04-12</t>
  </si>
  <si>
    <t xml:space="preserve">P-04-13</t>
  </si>
  <si>
    <t xml:space="preserve">P-04-14</t>
  </si>
  <si>
    <t xml:space="preserve">P-05</t>
  </si>
  <si>
    <t xml:space="preserve">P-06</t>
  </si>
  <si>
    <t xml:space="preserve">P-07</t>
  </si>
  <si>
    <t xml:space="preserve">P-08</t>
  </si>
  <si>
    <t xml:space="preserve">HYDRONIC</t>
  </si>
  <si>
    <t xml:space="preserve">H-01</t>
  </si>
  <si>
    <t xml:space="preserve">H-02</t>
  </si>
  <si>
    <t xml:space="preserve">H-03-01</t>
  </si>
  <si>
    <t xml:space="preserve">H-03-02</t>
  </si>
  <si>
    <t xml:space="preserve">H-03-03</t>
  </si>
  <si>
    <t xml:space="preserve">H-03-04</t>
  </si>
  <si>
    <t xml:space="preserve">H-03-05</t>
  </si>
  <si>
    <t xml:space="preserve">H-03-06</t>
  </si>
  <si>
    <t xml:space="preserve">H-03-07</t>
  </si>
  <si>
    <t xml:space="preserve">H-03-08</t>
  </si>
  <si>
    <t xml:space="preserve">H-03-09</t>
  </si>
  <si>
    <t xml:space="preserve">H-03-10</t>
  </si>
  <si>
    <t xml:space="preserve">H-03-11</t>
  </si>
  <si>
    <t xml:space="preserve">H-03-12</t>
  </si>
  <si>
    <t xml:space="preserve">H-03-13</t>
  </si>
  <si>
    <t xml:space="preserve">H-03-14</t>
  </si>
  <si>
    <t xml:space="preserve">H-04-01</t>
  </si>
  <si>
    <t xml:space="preserve">H-04-02</t>
  </si>
  <si>
    <t xml:space="preserve">H-04-03</t>
  </si>
  <si>
    <t xml:space="preserve">H-04-04</t>
  </si>
  <si>
    <t xml:space="preserve">H-04-05</t>
  </si>
  <si>
    <t xml:space="preserve">H-04-06</t>
  </si>
  <si>
    <t xml:space="preserve">H-04-07</t>
  </si>
  <si>
    <t xml:space="preserve">H-04-08</t>
  </si>
  <si>
    <t xml:space="preserve">H-04-09</t>
  </si>
  <si>
    <t xml:space="preserve">H-04-10</t>
  </si>
  <si>
    <t xml:space="preserve">H-04-11</t>
  </si>
  <si>
    <t xml:space="preserve">H-04-12</t>
  </si>
  <si>
    <t xml:space="preserve">H-04-13</t>
  </si>
  <si>
    <t xml:space="preserve">H-04-14</t>
  </si>
  <si>
    <t xml:space="preserve">H-05</t>
  </si>
  <si>
    <t xml:space="preserve">H-06</t>
  </si>
  <si>
    <t xml:space="preserve">H-07</t>
  </si>
  <si>
    <t xml:space="preserve">H-08</t>
  </si>
  <si>
    <t xml:space="preserve">VENTILATION</t>
  </si>
  <si>
    <t xml:space="preserve">V-01</t>
  </si>
  <si>
    <t xml:space="preserve">V-02</t>
  </si>
  <si>
    <t xml:space="preserve">V-03-01</t>
  </si>
  <si>
    <t xml:space="preserve">V-03-02</t>
  </si>
  <si>
    <t xml:space="preserve">V-03-03</t>
  </si>
  <si>
    <t xml:space="preserve">V-03-04</t>
  </si>
  <si>
    <t xml:space="preserve">V-03-05</t>
  </si>
  <si>
    <t xml:space="preserve">V-03-06</t>
  </si>
  <si>
    <t xml:space="preserve">V-03-07</t>
  </si>
  <si>
    <t xml:space="preserve">V-03-08</t>
  </si>
  <si>
    <t xml:space="preserve">V-03-09</t>
  </si>
  <si>
    <t xml:space="preserve">V-03-10</t>
  </si>
  <si>
    <t xml:space="preserve">V-03-11</t>
  </si>
  <si>
    <t xml:space="preserve">V-03-12</t>
  </si>
  <si>
    <t xml:space="preserve">V-03-13</t>
  </si>
  <si>
    <t xml:space="preserve">V-03-14</t>
  </si>
  <si>
    <t xml:space="preserve">V-04-01</t>
  </si>
  <si>
    <t xml:space="preserve">V-04-02</t>
  </si>
  <si>
    <t xml:space="preserve">V-04-03</t>
  </si>
  <si>
    <t xml:space="preserve">V-04-04</t>
  </si>
  <si>
    <t xml:space="preserve">V-04-05</t>
  </si>
  <si>
    <t xml:space="preserve">V-04-06</t>
  </si>
  <si>
    <t xml:space="preserve">V-04-07</t>
  </si>
  <si>
    <t xml:space="preserve">V-04-08</t>
  </si>
  <si>
    <t xml:space="preserve">V-04-09</t>
  </si>
  <si>
    <t xml:space="preserve">V-04-10</t>
  </si>
  <si>
    <t xml:space="preserve">V-04-11</t>
  </si>
  <si>
    <t xml:space="preserve">V-04-12</t>
  </si>
  <si>
    <t xml:space="preserve">V-04-13</t>
  </si>
  <si>
    <t xml:space="preserve">V-04-14</t>
  </si>
  <si>
    <t xml:space="preserve">V-05</t>
  </si>
  <si>
    <t xml:space="preserve">V-06</t>
  </si>
  <si>
    <t xml:space="preserve">V-07</t>
  </si>
  <si>
    <t xml:space="preserve">V-08</t>
  </si>
  <si>
    <t xml:space="preserve">AIR CONDITIONING</t>
  </si>
  <si>
    <t xml:space="preserve">AC-01</t>
  </si>
  <si>
    <t xml:space="preserve">AC-02</t>
  </si>
  <si>
    <t xml:space="preserve">AC-03-01</t>
  </si>
  <si>
    <t xml:space="preserve">AC-03-02</t>
  </si>
  <si>
    <t xml:space="preserve">AC-03-03</t>
  </si>
  <si>
    <t xml:space="preserve">AC-03-04</t>
  </si>
  <si>
    <t xml:space="preserve">AC-03-05</t>
  </si>
  <si>
    <t xml:space="preserve">AC-03-06</t>
  </si>
  <si>
    <t xml:space="preserve">AC-03-07</t>
  </si>
  <si>
    <t xml:space="preserve">AC-03-08</t>
  </si>
  <si>
    <t xml:space="preserve">AC-03-09</t>
  </si>
  <si>
    <t xml:space="preserve">AC-03-10</t>
  </si>
  <si>
    <t xml:space="preserve">AC-03-11</t>
  </si>
  <si>
    <t xml:space="preserve">AC-03-12</t>
  </si>
  <si>
    <t xml:space="preserve">AC-03-13</t>
  </si>
  <si>
    <t xml:space="preserve">AC-03-14</t>
  </si>
  <si>
    <t xml:space="preserve">AC-04-01</t>
  </si>
  <si>
    <t xml:space="preserve">AC-04-02</t>
  </si>
  <si>
    <t xml:space="preserve">AC-04-03</t>
  </si>
  <si>
    <t xml:space="preserve">AC-04-04</t>
  </si>
  <si>
    <t xml:space="preserve">AC-04-05</t>
  </si>
  <si>
    <t xml:space="preserve">AC-04-06</t>
  </si>
  <si>
    <t xml:space="preserve">AC-04-07</t>
  </si>
  <si>
    <t xml:space="preserve">AC-04-08</t>
  </si>
  <si>
    <t xml:space="preserve">AC-04-09</t>
  </si>
  <si>
    <t xml:space="preserve">AC-04-10</t>
  </si>
  <si>
    <t xml:space="preserve">AC-04-11</t>
  </si>
  <si>
    <t xml:space="preserve">AC-04-12</t>
  </si>
  <si>
    <t xml:space="preserve">AC-04-13</t>
  </si>
  <si>
    <t xml:space="preserve">AC-04-14</t>
  </si>
  <si>
    <t xml:space="preserve">AC-05</t>
  </si>
  <si>
    <t xml:space="preserve">AC-06</t>
  </si>
  <si>
    <t xml:space="preserve">AC-07</t>
  </si>
  <si>
    <t xml:space="preserve">AC-08</t>
  </si>
  <si>
    <t xml:space="preserve">TOTAL CONTRACT</t>
  </si>
  <si>
    <t xml:space="preserve">AUDIT NOTES: formula review of 'Template-Empty - WORK IN PROGRESS.xlsm'</t>
  </si>
  <si>
    <t xml:space="preserve">Values quoted are what the original file currently calculates (20,800 plumbing hours entered, no HVAC).</t>
  </si>
  <si>
    <t xml:space="preserve">Severity</t>
  </si>
  <si>
    <t xml:space="preserve">Where (original)</t>
  </si>
  <si>
    <t xml:space="preserve">What happens now</t>
  </si>
  <si>
    <t xml:space="preserve">Why it matters / $ impact</t>
  </si>
  <si>
    <t xml:space="preserve">How the new workbook handles it</t>
  </si>
  <si>
    <t xml:space="preserve">HIGH</t>
  </si>
  <si>
    <t xml:space="preserve">PRJ SUMMARY D12 via P&amp;H SUMMARY L2 (rate = PRJ INFO D42)</t>
  </si>
  <si>
    <t xml:space="preserve">Bid labour = hours x $70.20, which is a simple average of the 5 rates (D42 = SUM(D36:D40)/5). Crew mix % is ignored.</t>
  </si>
  <si>
    <t xml:space="preserve">Crew-mix weighted rate is $64.75. On 20,800 hrs the bid carries $1,460,160 vs $1,346,696 from the crew mix (+$113,464).</t>
  </si>
  <si>
    <t xml:space="preserve">Labour $ = hours x SUMPRODUCT(rate, mix) on LABOUR RATES. One rate, used everywhere.</t>
  </si>
  <si>
    <t xml:space="preserve">PRJ INFO H35 / H44 ($22/hr overhead)</t>
  </si>
  <si>
    <t xml:space="preserve">Overhead per hour is entered but never added to cost. The only formulas that touch H35 are PRJ SUMMARY C57:C58, by mistake.</t>
  </si>
  <si>
    <t xml:space="preserve">20,800 hrs x $22 = $457,600 of overhead not in the cost. Net of item 1, labour + OH is under-costed by $344,136 before markup.</t>
  </si>
  <si>
    <t xml:space="preserve">Overhead $ is its own column on every estimate line and its own column on BID SUMMARY.</t>
  </si>
  <si>
    <t xml:space="preserve">P&amp;H SUMMARY L11:L68 (rate = PRJ INFO H36)</t>
  </si>
  <si>
    <t xml:space="preserve">Every plumbing line item prices labour at $53/hr (Apprentice Lvl 1-2 only), while the summary row uses $70.20.</t>
  </si>
  <si>
    <t xml:space="preserve">Line items total $1,102,400; the bid total uses $1,460,160. BUDGET PLAN and the KNOWIFY export pull the $53 lines, so the field budget is $357,760 lower than what was bid. S.O.V column Y 'ADJST' plugs the gap ($411,440).</t>
  </si>
  <si>
    <t xml:space="preserve">Line labour and summary labour use the same rate, so BUDGET, BID SUMMARY and SOV tie with no plug.</t>
  </si>
  <si>
    <t xml:space="preserve">HVAC SUMMARY H29 and H54 (= PRJ INFO H53)</t>
  </si>
  <si>
    <t xml:space="preserve">PRJ INFO H53 is an empty cell, so every HVAC line item shows $0 labour.</t>
  </si>
  <si>
    <t xml:space="preserve">Any HVAC budget built from line items would have zero labour dollars.</t>
  </si>
  <si>
    <t xml:space="preserve">HVAC EST uses the HVAC crew rate from LABOUR RATES, same formula as PLUMBING EST.</t>
  </si>
  <si>
    <t xml:space="preserve">PRJ INFO J46:J49</t>
  </si>
  <si>
    <t xml:space="preserve">HVAC 'Cost by wage breakdown' multiplies I45 (Apprentice 1-2 hours) by each rate instead of its own row's hours.</t>
  </si>
  <si>
    <t xml:space="preserve">HVAC wage breakdown is wrong as soon as HVAC hours exist (it would show 5 x the apprentice hours).</t>
  </si>
  <si>
    <t xml:space="preserve">Each row: Hours x Rate on its own row, plus a tie-out check.</t>
  </si>
  <si>
    <t xml:space="preserve">MED</t>
  </si>
  <si>
    <t xml:space="preserve">PRJ INFO H45:H49</t>
  </si>
  <si>
    <t xml:space="preserve">HVAC rate column links to the plumbing rates D36:D40 (and is labelled 'P&amp;H'), not the HVAC table D45:D49.</t>
  </si>
  <si>
    <t xml:space="preserve">Changing an HVAC rate in D45:D49 has no effect on HVAC labels; easy to misread.</t>
  </si>
  <si>
    <t xml:space="preserve">Separate HVAC crew table with its own rates and mix.</t>
  </si>
  <si>
    <t xml:space="preserve">PRJ INFO I37</t>
  </si>
  <si>
    <t xml:space="preserve">Apprentice 3-6 hours use PRJ SUMMARY C11 (material-row hours only); the other four rows use C10 (all plumbing hours).</t>
  </si>
  <si>
    <t xml:space="preserve">Once equipment or fixture hours exist, the crew mix no longer totals 100% of hours.</t>
  </si>
  <si>
    <t xml:space="preserve">All rows use the same total-hours cell.</t>
  </si>
  <si>
    <t xml:space="preserve">PRJ SUMMARY C57, C58</t>
  </si>
  <si>
    <t xml:space="preserve">Supervision months for Ventilation and A/C point to PRJ INFO H35 (the $22 overhead) instead of H43 (HVAC duration).</t>
  </si>
  <si>
    <t xml:space="preserve">Supervision would be charged for 22 months instead of 24 (or whatever the overhead rate is).</t>
  </si>
  <si>
    <t xml:space="preserve">Supervision qty links to INPUTS HVAC duration.</t>
  </si>
  <si>
    <t xml:space="preserve">PRJ SUMMARY row 59 (Supervision - Office)</t>
  </si>
  <si>
    <t xml:space="preserve">$7,500/month x 24 months = $180,000 (+15% = $207,000) is allocated 100% to Plumbing, using the HVAC duration.</t>
  </si>
  <si>
    <t xml:space="preserve">Plumbing looks $207,000 more expensive than it is; HVAC looks cheaper. Confirmed this is a real job cost (dedicated PM), separate from the $22/hr overhead.</t>
  </si>
  <si>
    <t xml:space="preserve">Kept as 'Office Project Manager'. Auto-splits by direct cost across divisions (or set your own %).</t>
  </si>
  <si>
    <t xml:space="preserve">PRJ SUMMARY M55:T79 ("50-50 Div's" split)</t>
  </si>
  <si>
    <t xml:space="preserve">GC split formulas divide by C4+C5 with no IFERROR. With no HVAC entered they return a divide-by-zero (DIV/0) error.</t>
  </si>
  <si>
    <t xml:space="preserve">PRJ SUMMARY F6, G6, J6, W6 and J7 all show DIV/0 errors, so the grand total breaks on any plumbing-only job.</t>
  </si>
  <si>
    <t xml:space="preserve">Allocation uses % inputs or an IFERROR-guarded direct-cost share. No divide-by-zero.</t>
  </si>
  <si>
    <t xml:space="preserve">S.O.V B1, AC1, M2:M6, rows 4-5; KNOWIFY F1</t>
  </si>
  <si>
    <t xml:space="preserve">Broken references (REF errors from deleted cells) in the S.O.V; the Knowify 'ALL GOOD' indicator therefore shows a REF error.</t>
  </si>
  <si>
    <t xml:space="preserve">The SOV check light can never go green, so it cannot be trusted.</t>
  </si>
  <si>
    <t xml:space="preserve">New SCHEDULE OF VALUES built from BUDGET with a contract tie-out check.</t>
  </si>
  <si>
    <t xml:space="preserve">PRJ SUMMARY V2 / W2</t>
  </si>
  <si>
    <t xml:space="preserve">Contract = ROUNDUP(total, -2) + V2, where V2 is a hardcoded $1,200 'ROLL-UP'.</t>
  </si>
  <si>
    <t xml:space="preserve">An unexplained $1,200 is added to the plumbing contract.</t>
  </si>
  <si>
    <t xml:space="preserve">Removed. Rounding is a visible input on INPUTS.</t>
  </si>
  <si>
    <t xml:space="preserve">PRJ SUMMARY E11:E26 (15%)</t>
  </si>
  <si>
    <t xml:space="preserve">Markup on cost is applied, not margin. 15% markup = 13.0% margin.</t>
  </si>
  <si>
    <t xml:space="preserve">If the company target is 15% margin, every bid is about 2 points short.</t>
  </si>
  <si>
    <t xml:space="preserve">Margin entered per division; equivalent markup shown beside it.</t>
  </si>
  <si>
    <t xml:space="preserve">LOW</t>
  </si>
  <si>
    <t xml:space="preserve">P&amp;H SUMMARY M45; HVAC SUMMARY J29, J54</t>
  </si>
  <si>
    <t xml:space="preserve">Total-hours boxes leave out Finishing Misc hours (J37, J21, J46).</t>
  </si>
  <si>
    <t xml:space="preserve">The cost box on those tabs under-reports if finishing misc hours are used (summary row 2 is fine).</t>
  </si>
  <si>
    <t xml:space="preserve">Single hours column summed across every row.</t>
  </si>
  <si>
    <t xml:space="preserve">P&amp;H SUMMARY row 26 and HVAC SUMMARY rows 13 / 37</t>
  </si>
  <si>
    <t xml:space="preserve">Condensate drains appear in both Plumbing and HVAC.</t>
  </si>
  <si>
    <t xml:space="preserve">Risk of pricing the same scope twice.</t>
  </si>
  <si>
    <t xml:space="preserve">Kept on both tabs, labelled 'if by Plumbing' / 'if by HVAC'. Use only one.</t>
  </si>
  <si>
    <t xml:space="preserve">OK</t>
  </si>
  <si>
    <t xml:space="preserve">PRJ INFO E40 (Foreman &amp; PM 14%) and PRJ SUMMARY rows 55-58</t>
  </si>
  <si>
    <t xml:space="preserve">Foreman &amp; PM time is in the crew mix and supervision is also a GC line.</t>
  </si>
  <si>
    <t xml:space="preserve">Reviewed with estimator: these are separate costs, not a double count.</t>
  </si>
  <si>
    <t xml:space="preserve">Both kept: crew mix on LABOUR RATES, supervision on SUBS &amp; GC.</t>
  </si>
  <si>
    <t xml:space="preserve">BUDGET PLAN J1</t>
  </si>
  <si>
    <t xml:space="preserve">Supervision/PM wage hardcoded at $50/hr, a fourth labour rate in the file.</t>
  </si>
  <si>
    <t xml:space="preserve">Budget supervision hours do not match the bid.</t>
  </si>
  <si>
    <t xml:space="preserve">One rate source: LABOUR RATES.</t>
  </si>
  <si>
    <t xml:space="preserve">PRJ SUMMARY X1 / Z1</t>
  </si>
  <si>
    <t xml:space="preserve">'PRJ DAYS' = hours / 8 is really man-days; 'MAN DAYS' = man-days / crew is really duration in days.</t>
  </si>
  <si>
    <t xml:space="preserve">Labels swapped; easy to misread schedule.</t>
  </si>
  <si>
    <t xml:space="preserve">Not carried over. Hours per unit shown on BID SUMMARY.</t>
  </si>
  <si>
    <t xml:space="preserve">OPEN QUESTIONS FOR YOU</t>
  </si>
  <si>
    <t xml:space="preserve">Target margin per division (placeholder is 15%). Do subs carry a lower margin than self-perform work?</t>
  </si>
  <si>
    <t xml:space="preserve">Your typical COGS % (labour, material, subs, GC, profit) to fill INPUTS rows 69-75.</t>
  </si>
  <si>
    <t xml:space="preserve">What does a Knowify job cost export look like (column names)? Item Codes on the estimate can match your Knowify cost codes.</t>
  </si>
  <si>
    <t xml:space="preserve">Should the SOV split rough-in and finishing by floor (current), or by phase only?</t>
  </si>
  <si>
    <t xml:space="preserve">Do the price-list and takeoff tabs (P&amp;H MATERIAL, HVAC MATERIAL, EQUIPMENT) need to come across, or will takeoff totals be typed in as Qty x unit cost?</t>
  </si>
  <si>
    <t xml:space="preserve">ANSWERED (decisions built into this workbook)</t>
  </si>
  <si>
    <t xml:space="preserve">$22/hr overhead covers all salaried staff company wide. A dedicated office project manager per job is a separate monthly cost, so the Office Project Manager GC line stays.</t>
  </si>
  <si>
    <t xml:space="preserve">Field supervision GC lines are not double counted with the Foreman &amp; PM share of the crew mix. Both stay.</t>
  </si>
  <si>
    <t xml:space="preserve">Labour rates on LABOUR RATES are fully burdened (CPP, EI, WCB, vacation, benefits). No extra burden % is added.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</si>
</sst>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;\(#,##0\);\-"/>
    <numFmt numFmtId="167" formatCode="0.0%;\(0.0%\);\-"/>
    <numFmt numFmtId="168" formatCode="\$#,##0;&quot;($&quot;#,##0\);\-"/>
    <numFmt numFmtId="169" formatCode="\$#,##0.00;&quot;($&quot;#,##0.00\);\-"/>
    <numFmt numFmtId="170" formatCode="#,##0.0;\(#,##0.0\);\-"/>
    <numFmt numFmtId="171" formatCode="0.00;\(0.00\);\-"/>
    <numFmt numFmtId="172" formatCode="0.00"/>
    <numFmt numFmtId="173" formatCode="0%;;&quot;&quot;"/>
    <numFmt numFmtId="174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65911"/>
      <rgbColor rgb="FF595959"/>
      <rgbColor rgb="FF70AD47"/>
      <rgbColor rgb="FF1F3864"/>
      <rgbColor rgb="FF339966"/>
      <rgbColor rgb="FF0061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23.85" hidden="false" customHeight="false" outlineLevel="0" collapsed="false">
      <c r="B6" s="4" t="s">
        <v>5</v>
      </c>
      <c r="C6" s="5" t="s">
        <v>6</v>
      </c>
    </row>
    <row r="7" customFormat="false" ht="23.8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23.85" hidden="false" customHeight="false" outlineLevel="0" collapsed="false">
      <c r="B9" s="4" t="s">
        <v>11</v>
      </c>
      <c r="C9" s="5" t="s">
        <v>12</v>
      </c>
    </row>
    <row r="10" customFormat="false" ht="15" hidden="false" customHeight="false" outlineLevel="0" collapsed="false">
      <c r="B10" s="4" t="s">
        <v>13</v>
      </c>
      <c r="C10" s="5" t="s">
        <v>14</v>
      </c>
    </row>
    <row r="11" customFormat="false" ht="1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5" t="s">
        <v>18</v>
      </c>
    </row>
    <row r="13" customFormat="false" ht="15" hidden="false" customHeight="false" outlineLevel="0" collapsed="false">
      <c r="B13" s="4" t="s">
        <v>19</v>
      </c>
      <c r="C13" s="5" t="s">
        <v>20</v>
      </c>
    </row>
    <row r="15" customFormat="false" ht="15" hidden="false" customHeight="false" outlineLevel="0" collapsed="false">
      <c r="B15" s="3" t="s">
        <v>21</v>
      </c>
    </row>
    <row r="16" customFormat="false" ht="15" hidden="false" customHeight="false" outlineLevel="0" collapsed="false">
      <c r="B16" s="6" t="s">
        <v>22</v>
      </c>
      <c r="C16" s="7" t="s">
        <v>23</v>
      </c>
    </row>
    <row r="17" customFormat="false" ht="15" hidden="false" customHeight="false" outlineLevel="0" collapsed="false">
      <c r="B17" s="8" t="s">
        <v>24</v>
      </c>
      <c r="C17" s="7" t="s">
        <v>25</v>
      </c>
    </row>
    <row r="18" customFormat="false" ht="15" hidden="false" customHeight="false" outlineLevel="0" collapsed="false">
      <c r="B18" s="7" t="s">
        <v>26</v>
      </c>
      <c r="C18" s="7" t="s">
        <v>27</v>
      </c>
    </row>
    <row r="19" customFormat="false" ht="15" hidden="false" customHeight="false" outlineLevel="0" collapsed="false">
      <c r="B19" s="9" t="s">
        <v>28</v>
      </c>
      <c r="C19" s="7" t="s">
        <v>29</v>
      </c>
    </row>
    <row r="20" customFormat="false" ht="15" hidden="false" customHeight="false" outlineLevel="0" collapsed="false">
      <c r="B20" s="10" t="s">
        <v>30</v>
      </c>
      <c r="C20" s="7" t="s">
        <v>31</v>
      </c>
    </row>
    <row r="22" customFormat="false" ht="15" hidden="false" customHeight="false" outlineLevel="0" collapsed="false">
      <c r="B22" s="3" t="s">
        <v>32</v>
      </c>
    </row>
    <row r="23" customFormat="false" ht="15" hidden="false" customHeight="false" outlineLevel="0" collapsed="false">
      <c r="C23" s="7" t="s">
        <v>33</v>
      </c>
    </row>
    <row r="24" customFormat="false" ht="15" hidden="false" customHeight="false" outlineLevel="0" collapsed="false">
      <c r="C24" s="7" t="s">
        <v>34</v>
      </c>
    </row>
    <row r="25" customFormat="false" ht="15" hidden="false" customHeight="false" outlineLevel="0" collapsed="false">
      <c r="C25" s="7" t="s">
        <v>35</v>
      </c>
    </row>
    <row r="26" customFormat="false" ht="15" hidden="false" customHeight="false" outlineLevel="0" collapsed="false">
      <c r="C26" s="7" t="s">
        <v>36</v>
      </c>
    </row>
    <row r="28" customFormat="false" ht="15" hidden="false" customHeight="false" outlineLevel="0" collapsed="false">
      <c r="B28" s="3" t="s">
        <v>37</v>
      </c>
    </row>
    <row r="29" customFormat="false" ht="15" hidden="false" customHeight="false" outlineLevel="0" collapsed="false">
      <c r="C29" s="7" t="s">
        <v>38</v>
      </c>
    </row>
    <row r="30" customFormat="false" ht="15" hidden="false" customHeight="false" outlineLevel="0" collapsed="false">
      <c r="C30" s="7" t="s">
        <v>39</v>
      </c>
    </row>
    <row r="31" customFormat="false" ht="15" hidden="false" customHeight="false" outlineLevel="0" collapsed="false">
      <c r="C31" s="7" t="s">
        <v>40</v>
      </c>
    </row>
    <row r="32" customFormat="false" ht="15" hidden="false" customHeight="false" outlineLevel="0" collapsed="false">
      <c r="C32" s="7" t="s">
        <v>41</v>
      </c>
    </row>
    <row r="33" customFormat="false" ht="15" hidden="false" customHeight="false" outlineLevel="0" collapsed="false">
      <c r="C33" s="7" t="s">
        <v>42</v>
      </c>
    </row>
    <row r="34" customFormat="false" ht="15" hidden="false" customHeight="false" outlineLevel="0" collapsed="false">
      <c r="C34" s="7" t="s">
        <v>43</v>
      </c>
    </row>
    <row r="35" customFormat="false" ht="15" hidden="false" customHeight="false" outlineLevel="0" collapsed="false">
      <c r="C35" s="7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3" customFormat="false" ht="15" hidden="false" customHeight="false" outlineLevel="0" collapsed="false">
      <c r="B3" s="3" t="s">
        <v>47</v>
      </c>
    </row>
    <row r="4" customFormat="false" ht="15" hidden="false" customHeight="false" outlineLevel="0" collapsed="false">
      <c r="B4" s="7" t="s">
        <v>48</v>
      </c>
      <c r="C4" s="11"/>
    </row>
    <row r="5" customFormat="false" ht="15" hidden="false" customHeight="false" outlineLevel="0" collapsed="false">
      <c r="B5" s="7" t="s">
        <v>49</v>
      </c>
      <c r="C5" s="11"/>
    </row>
    <row r="6" customFormat="false" ht="15" hidden="false" customHeight="false" outlineLevel="0" collapsed="false">
      <c r="B6" s="7" t="s">
        <v>50</v>
      </c>
      <c r="C6" s="11" t="s">
        <v>51</v>
      </c>
    </row>
    <row r="7" customFormat="false" ht="15" hidden="false" customHeight="false" outlineLevel="0" collapsed="false">
      <c r="B7" s="7" t="s">
        <v>52</v>
      </c>
      <c r="C7" s="11"/>
    </row>
    <row r="8" customFormat="false" ht="15" hidden="false" customHeight="false" outlineLevel="0" collapsed="false">
      <c r="B8" s="7" t="s">
        <v>53</v>
      </c>
      <c r="C8" s="11"/>
    </row>
    <row r="9" customFormat="false" ht="15" hidden="false" customHeight="false" outlineLevel="0" collapsed="false">
      <c r="B9" s="7" t="s">
        <v>54</v>
      </c>
      <c r="C9" s="11"/>
    </row>
    <row r="10" customFormat="false" ht="15" hidden="false" customHeight="false" outlineLevel="0" collapsed="false">
      <c r="B10" s="7" t="s">
        <v>55</v>
      </c>
      <c r="C10" s="11"/>
    </row>
    <row r="11" customFormat="false" ht="15" hidden="false" customHeight="false" outlineLevel="0" collapsed="false">
      <c r="B11" s="7" t="s">
        <v>56</v>
      </c>
      <c r="C11" s="11" t="s">
        <v>57</v>
      </c>
    </row>
    <row r="12" customFormat="false" ht="15" hidden="false" customHeight="false" outlineLevel="0" collapsed="false">
      <c r="B12" s="7" t="s">
        <v>58</v>
      </c>
      <c r="C12" s="11" t="s">
        <v>59</v>
      </c>
    </row>
    <row r="13" customFormat="false" ht="15" hidden="false" customHeight="false" outlineLevel="0" collapsed="false">
      <c r="B13" s="7" t="s">
        <v>60</v>
      </c>
      <c r="C13" s="12"/>
    </row>
    <row r="14" customFormat="false" ht="15" hidden="false" customHeight="false" outlineLevel="0" collapsed="false">
      <c r="B14" s="7" t="s">
        <v>61</v>
      </c>
      <c r="C14" s="11"/>
    </row>
    <row r="15" customFormat="false" ht="15" hidden="false" customHeight="false" outlineLevel="0" collapsed="false">
      <c r="B15" s="7" t="s">
        <v>62</v>
      </c>
      <c r="C15" s="11" t="s">
        <v>63</v>
      </c>
    </row>
    <row r="16" customFormat="false" ht="15" hidden="false" customHeight="false" outlineLevel="0" collapsed="false">
      <c r="B16" s="7" t="s">
        <v>64</v>
      </c>
      <c r="C16" s="11" t="s">
        <v>65</v>
      </c>
    </row>
    <row r="17" customFormat="false" ht="15" hidden="false" customHeight="false" outlineLevel="0" collapsed="false">
      <c r="B17" s="7" t="s">
        <v>66</v>
      </c>
      <c r="C17" s="13"/>
    </row>
    <row r="18" customFormat="false" ht="15" hidden="false" customHeight="false" outlineLevel="0" collapsed="false">
      <c r="B18" s="7" t="s">
        <v>67</v>
      </c>
      <c r="C18" s="14" t="n">
        <f aca="false">D55</f>
        <v>123</v>
      </c>
    </row>
    <row r="20" customFormat="false" ht="15" hidden="false" customHeight="false" outlineLevel="0" collapsed="false">
      <c r="B20" s="3" t="s">
        <v>68</v>
      </c>
    </row>
    <row r="21" customFormat="false" ht="15" hidden="false" customHeight="false" outlineLevel="0" collapsed="false">
      <c r="B21" s="7" t="s">
        <v>69</v>
      </c>
      <c r="C21" s="15" t="n">
        <v>24</v>
      </c>
      <c r="G21" s="2" t="s">
        <v>70</v>
      </c>
    </row>
    <row r="22" customFormat="false" ht="15" hidden="false" customHeight="false" outlineLevel="0" collapsed="false">
      <c r="B22" s="7" t="s">
        <v>71</v>
      </c>
      <c r="C22" s="15" t="n">
        <v>24</v>
      </c>
      <c r="G22" s="2" t="s">
        <v>72</v>
      </c>
    </row>
    <row r="23" customFormat="false" ht="15" hidden="false" customHeight="false" outlineLevel="0" collapsed="false">
      <c r="B23" s="7" t="s">
        <v>73</v>
      </c>
      <c r="C23" s="16" t="n">
        <v>0.07</v>
      </c>
      <c r="G23" s="2" t="s">
        <v>74</v>
      </c>
    </row>
    <row r="24" customFormat="false" ht="15" hidden="false" customHeight="false" outlineLevel="0" collapsed="false">
      <c r="B24" s="7" t="s">
        <v>75</v>
      </c>
      <c r="C24" s="16" t="n">
        <v>0.05</v>
      </c>
      <c r="G24" s="2" t="s">
        <v>76</v>
      </c>
    </row>
    <row r="25" customFormat="false" ht="15" hidden="false" customHeight="false" outlineLevel="0" collapsed="false">
      <c r="B25" s="7" t="s">
        <v>77</v>
      </c>
      <c r="C25" s="16" t="n">
        <v>0.02</v>
      </c>
      <c r="G25" s="2" t="s">
        <v>78</v>
      </c>
    </row>
    <row r="26" customFormat="false" ht="15" hidden="false" customHeight="false" outlineLevel="0" collapsed="false">
      <c r="B26" s="7" t="s">
        <v>79</v>
      </c>
      <c r="C26" s="16" t="n">
        <v>0</v>
      </c>
      <c r="G26" s="2" t="s">
        <v>80</v>
      </c>
    </row>
    <row r="27" customFormat="false" ht="15" hidden="false" customHeight="false" outlineLevel="0" collapsed="false">
      <c r="B27" s="7" t="s">
        <v>81</v>
      </c>
      <c r="C27" s="16" t="n">
        <v>0.02</v>
      </c>
      <c r="G27" s="2" t="s">
        <v>82</v>
      </c>
    </row>
    <row r="28" customFormat="false" ht="15" hidden="false" customHeight="false" outlineLevel="0" collapsed="false">
      <c r="B28" s="7" t="s">
        <v>83</v>
      </c>
      <c r="C28" s="17" t="n">
        <v>100</v>
      </c>
      <c r="G28" s="2" t="s">
        <v>84</v>
      </c>
    </row>
    <row r="29" customFormat="false" ht="15" hidden="false" customHeight="false" outlineLevel="0" collapsed="false">
      <c r="B29" s="7" t="s">
        <v>85</v>
      </c>
      <c r="C29" s="16" t="n">
        <v>0.1</v>
      </c>
      <c r="G29" s="2" t="s">
        <v>86</v>
      </c>
    </row>
    <row r="31" customFormat="false" ht="15" hidden="false" customHeight="false" outlineLevel="0" collapsed="false">
      <c r="B31" s="3" t="s">
        <v>87</v>
      </c>
    </row>
    <row r="32" customFormat="false" ht="30" hidden="false" customHeight="true" outlineLevel="0" collapsed="false">
      <c r="B32" s="18" t="s">
        <v>88</v>
      </c>
      <c r="C32" s="18" t="s">
        <v>89</v>
      </c>
      <c r="D32" s="18" t="s">
        <v>90</v>
      </c>
      <c r="E32" s="18" t="s">
        <v>91</v>
      </c>
      <c r="F32" s="18" t="s">
        <v>92</v>
      </c>
    </row>
    <row r="33" customFormat="false" ht="15" hidden="false" customHeight="false" outlineLevel="0" collapsed="false">
      <c r="B33" s="19" t="s">
        <v>93</v>
      </c>
      <c r="C33" s="20" t="s">
        <v>94</v>
      </c>
      <c r="D33" s="16" t="n">
        <v>0.15</v>
      </c>
      <c r="E33" s="21" t="n">
        <f aca="false">IFERROR(D33/(1-D33),0)</f>
        <v>0.176470588235294</v>
      </c>
      <c r="F33" s="20" t="s">
        <v>95</v>
      </c>
      <c r="G33" s="2" t="s">
        <v>96</v>
      </c>
    </row>
    <row r="34" customFormat="false" ht="15" hidden="false" customHeight="false" outlineLevel="0" collapsed="false">
      <c r="B34" s="19" t="s">
        <v>97</v>
      </c>
      <c r="C34" s="20" t="s">
        <v>98</v>
      </c>
      <c r="D34" s="16" t="n">
        <v>0.15</v>
      </c>
      <c r="E34" s="21" t="n">
        <f aca="false">IFERROR(D34/(1-D34),0)</f>
        <v>0.176470588235294</v>
      </c>
      <c r="F34" s="20" t="s">
        <v>95</v>
      </c>
    </row>
    <row r="35" customFormat="false" ht="15" hidden="false" customHeight="false" outlineLevel="0" collapsed="false">
      <c r="B35" s="19" t="s">
        <v>99</v>
      </c>
      <c r="C35" s="20" t="s">
        <v>100</v>
      </c>
      <c r="D35" s="16" t="n">
        <v>0.15</v>
      </c>
      <c r="E35" s="21" t="n">
        <f aca="false">IFERROR(D35/(1-D35),0)</f>
        <v>0.176470588235294</v>
      </c>
      <c r="F35" s="20" t="s">
        <v>101</v>
      </c>
    </row>
    <row r="36" customFormat="false" ht="15" hidden="false" customHeight="false" outlineLevel="0" collapsed="false">
      <c r="B36" s="19" t="s">
        <v>102</v>
      </c>
      <c r="C36" s="20" t="s">
        <v>103</v>
      </c>
      <c r="D36" s="16" t="n">
        <v>0.15</v>
      </c>
      <c r="E36" s="21" t="n">
        <f aca="false">IFERROR(D36/(1-D36),0)</f>
        <v>0.176470588235294</v>
      </c>
      <c r="F36" s="20" t="s">
        <v>101</v>
      </c>
    </row>
    <row r="38" customFormat="false" ht="15" hidden="false" customHeight="false" outlineLevel="0" collapsed="false">
      <c r="B38" s="3" t="s">
        <v>104</v>
      </c>
    </row>
    <row r="39" customFormat="false" ht="30" hidden="false" customHeight="true" outlineLevel="0" collapsed="false">
      <c r="B39" s="18" t="s">
        <v>105</v>
      </c>
      <c r="C39" s="18" t="s">
        <v>106</v>
      </c>
      <c r="D39" s="18" t="s">
        <v>107</v>
      </c>
      <c r="E39" s="18" t="s">
        <v>108</v>
      </c>
    </row>
    <row r="40" customFormat="false" ht="15" hidden="false" customHeight="false" outlineLevel="0" collapsed="false">
      <c r="B40" s="11" t="s">
        <v>109</v>
      </c>
      <c r="C40" s="11" t="s">
        <v>110</v>
      </c>
      <c r="D40" s="13"/>
      <c r="E40" s="22" t="n">
        <f aca="false">IFERROR(D40/$D$55,0)</f>
        <v>0</v>
      </c>
      <c r="G40" s="2" t="s">
        <v>111</v>
      </c>
    </row>
    <row r="41" customFormat="false" ht="15" hidden="false" customHeight="false" outlineLevel="0" collapsed="false">
      <c r="B41" s="11" t="s">
        <v>112</v>
      </c>
      <c r="C41" s="11" t="s">
        <v>113</v>
      </c>
      <c r="D41" s="13"/>
      <c r="E41" s="22" t="n">
        <f aca="false">IFERROR(D41/$D$55,0)</f>
        <v>0</v>
      </c>
      <c r="G41" s="2" t="s">
        <v>114</v>
      </c>
    </row>
    <row r="42" customFormat="false" ht="15" hidden="false" customHeight="false" outlineLevel="0" collapsed="false">
      <c r="B42" s="11" t="s">
        <v>115</v>
      </c>
      <c r="C42" s="11" t="s">
        <v>116</v>
      </c>
      <c r="D42" s="13"/>
      <c r="E42" s="22" t="n">
        <f aca="false">IFERROR(D42/$D$55,0)</f>
        <v>0</v>
      </c>
      <c r="G42" s="2" t="s">
        <v>117</v>
      </c>
    </row>
    <row r="43" customFormat="false" ht="15" hidden="false" customHeight="false" outlineLevel="0" collapsed="false">
      <c r="B43" s="11" t="s">
        <v>118</v>
      </c>
      <c r="C43" s="11" t="s">
        <v>119</v>
      </c>
      <c r="D43" s="13" t="n">
        <v>24</v>
      </c>
      <c r="E43" s="22" t="n">
        <f aca="false">IFERROR(D43/$D$55,0)</f>
        <v>0.195121951219512</v>
      </c>
    </row>
    <row r="44" customFormat="false" ht="15" hidden="false" customHeight="false" outlineLevel="0" collapsed="false">
      <c r="B44" s="11" t="s">
        <v>120</v>
      </c>
      <c r="C44" s="11" t="s">
        <v>121</v>
      </c>
      <c r="D44" s="13" t="n">
        <v>25</v>
      </c>
      <c r="E44" s="22" t="n">
        <f aca="false">IFERROR(D44/$D$55,0)</f>
        <v>0.203252032520325</v>
      </c>
    </row>
    <row r="45" customFormat="false" ht="15" hidden="false" customHeight="false" outlineLevel="0" collapsed="false">
      <c r="B45" s="11" t="s">
        <v>122</v>
      </c>
      <c r="C45" s="11" t="s">
        <v>123</v>
      </c>
      <c r="D45" s="13" t="n">
        <v>25</v>
      </c>
      <c r="E45" s="22" t="n">
        <f aca="false">IFERROR(D45/$D$55,0)</f>
        <v>0.203252032520325</v>
      </c>
    </row>
    <row r="46" customFormat="false" ht="15" hidden="false" customHeight="false" outlineLevel="0" collapsed="false">
      <c r="B46" s="11" t="s">
        <v>124</v>
      </c>
      <c r="C46" s="11" t="s">
        <v>125</v>
      </c>
      <c r="D46" s="13" t="n">
        <v>25</v>
      </c>
      <c r="E46" s="22" t="n">
        <f aca="false">IFERROR(D46/$D$55,0)</f>
        <v>0.203252032520325</v>
      </c>
    </row>
    <row r="47" customFormat="false" ht="15" hidden="false" customHeight="false" outlineLevel="0" collapsed="false">
      <c r="B47" s="11" t="s">
        <v>126</v>
      </c>
      <c r="C47" s="11" t="s">
        <v>127</v>
      </c>
      <c r="D47" s="13" t="n">
        <v>24</v>
      </c>
      <c r="E47" s="22" t="n">
        <f aca="false">IFERROR(D47/$D$55,0)</f>
        <v>0.195121951219512</v>
      </c>
    </row>
    <row r="48" customFormat="false" ht="15" hidden="false" customHeight="false" outlineLevel="0" collapsed="false">
      <c r="B48" s="11" t="s">
        <v>128</v>
      </c>
      <c r="C48" s="11" t="s">
        <v>129</v>
      </c>
      <c r="D48" s="13"/>
      <c r="E48" s="22" t="n">
        <f aca="false">IFERROR(D48/$D$55,0)</f>
        <v>0</v>
      </c>
    </row>
    <row r="49" customFormat="false" ht="15" hidden="false" customHeight="false" outlineLevel="0" collapsed="false">
      <c r="B49" s="11" t="s">
        <v>130</v>
      </c>
      <c r="C49" s="11" t="s">
        <v>131</v>
      </c>
      <c r="D49" s="13"/>
      <c r="E49" s="22" t="n">
        <f aca="false">IFERROR(D49/$D$55,0)</f>
        <v>0</v>
      </c>
    </row>
    <row r="50" customFormat="false" ht="15" hidden="false" customHeight="false" outlineLevel="0" collapsed="false">
      <c r="B50" s="11" t="s">
        <v>132</v>
      </c>
      <c r="C50" s="11" t="s">
        <v>133</v>
      </c>
      <c r="D50" s="13"/>
      <c r="E50" s="22" t="n">
        <f aca="false">IFERROR(D50/$D$55,0)</f>
        <v>0</v>
      </c>
    </row>
    <row r="51" customFormat="false" ht="15" hidden="false" customHeight="false" outlineLevel="0" collapsed="false">
      <c r="B51" s="11" t="s">
        <v>134</v>
      </c>
      <c r="C51" s="11" t="s">
        <v>135</v>
      </c>
      <c r="D51" s="13"/>
      <c r="E51" s="22" t="n">
        <f aca="false">IFERROR(D51/$D$55,0)</f>
        <v>0</v>
      </c>
    </row>
    <row r="52" customFormat="false" ht="15" hidden="false" customHeight="false" outlineLevel="0" collapsed="false">
      <c r="B52" s="11" t="s">
        <v>136</v>
      </c>
      <c r="C52" s="11" t="s">
        <v>137</v>
      </c>
      <c r="D52" s="13"/>
      <c r="E52" s="22" t="n">
        <f aca="false">IFERROR(D52/$D$55,0)</f>
        <v>0</v>
      </c>
    </row>
    <row r="53" customFormat="false" ht="15" hidden="false" customHeight="false" outlineLevel="0" collapsed="false">
      <c r="B53" s="11" t="s">
        <v>138</v>
      </c>
      <c r="C53" s="11" t="s">
        <v>139</v>
      </c>
      <c r="D53" s="13"/>
      <c r="E53" s="22" t="n">
        <f aca="false">IFERROR(D53/$D$55,0)</f>
        <v>0</v>
      </c>
    </row>
    <row r="55" customFormat="false" ht="15" hidden="false" customHeight="false" outlineLevel="0" collapsed="false">
      <c r="B55" s="4" t="s">
        <v>140</v>
      </c>
      <c r="D55" s="23" t="n">
        <f aca="false">SUM(D40:D53)</f>
        <v>123</v>
      </c>
      <c r="E55" s="24" t="n">
        <f aca="false">SUM(E40:E53)</f>
        <v>1</v>
      </c>
      <c r="F55" s="25" t="str">
        <f aca="false">IF(ABS(E55-1)&lt;0.0001,"OK","CHECK")</f>
        <v>OK</v>
      </c>
    </row>
    <row r="57" customFormat="false" ht="15" hidden="false" customHeight="false" outlineLevel="0" collapsed="false">
      <c r="B57" s="3" t="s">
        <v>141</v>
      </c>
    </row>
    <row r="58" customFormat="false" ht="15" hidden="false" customHeight="false" outlineLevel="0" collapsed="false">
      <c r="B58" s="11" t="s">
        <v>142</v>
      </c>
      <c r="G58" s="2" t="s">
        <v>143</v>
      </c>
    </row>
    <row r="59" customFormat="false" ht="15" hidden="false" customHeight="false" outlineLevel="0" collapsed="false">
      <c r="B59" s="11" t="s">
        <v>144</v>
      </c>
    </row>
    <row r="60" customFormat="false" ht="15" hidden="false" customHeight="false" outlineLevel="0" collapsed="false">
      <c r="B60" s="11" t="s">
        <v>145</v>
      </c>
    </row>
    <row r="61" customFormat="false" ht="15" hidden="false" customHeight="false" outlineLevel="0" collapsed="false">
      <c r="B61" s="11" t="s">
        <v>146</v>
      </c>
    </row>
    <row r="62" customFormat="false" ht="15" hidden="false" customHeight="false" outlineLevel="0" collapsed="false">
      <c r="B62" s="11" t="s">
        <v>147</v>
      </c>
    </row>
    <row r="63" customFormat="false" ht="15" hidden="false" customHeight="false" outlineLevel="0" collapsed="false">
      <c r="B63" s="11" t="s">
        <v>148</v>
      </c>
    </row>
    <row r="64" customFormat="false" ht="15" hidden="false" customHeight="false" outlineLevel="0" collapsed="false">
      <c r="B64" s="11" t="s">
        <v>149</v>
      </c>
    </row>
    <row r="65" customFormat="false" ht="15" hidden="false" customHeight="false" outlineLevel="0" collapsed="false">
      <c r="B65" s="11" t="s">
        <v>150</v>
      </c>
    </row>
    <row r="67" customFormat="false" ht="15" hidden="false" customHeight="false" outlineLevel="0" collapsed="false">
      <c r="B67" s="3" t="s">
        <v>151</v>
      </c>
    </row>
    <row r="68" customFormat="false" ht="30" hidden="false" customHeight="true" outlineLevel="0" collapsed="false">
      <c r="B68" s="18" t="s">
        <v>152</v>
      </c>
      <c r="C68" s="18" t="s">
        <v>153</v>
      </c>
    </row>
    <row r="69" customFormat="false" ht="15" hidden="false" customHeight="false" outlineLevel="0" collapsed="false">
      <c r="B69" s="19" t="s">
        <v>154</v>
      </c>
      <c r="C69" s="22"/>
      <c r="G69" s="2" t="s">
        <v>155</v>
      </c>
    </row>
    <row r="70" customFormat="false" ht="15" hidden="false" customHeight="false" outlineLevel="0" collapsed="false">
      <c r="B70" s="19" t="s">
        <v>156</v>
      </c>
      <c r="C70" s="22"/>
    </row>
    <row r="71" customFormat="false" ht="15" hidden="false" customHeight="false" outlineLevel="0" collapsed="false">
      <c r="B71" s="19" t="s">
        <v>157</v>
      </c>
      <c r="C71" s="22"/>
    </row>
    <row r="72" customFormat="false" ht="15" hidden="false" customHeight="false" outlineLevel="0" collapsed="false">
      <c r="B72" s="19" t="s">
        <v>158</v>
      </c>
      <c r="C72" s="22"/>
    </row>
    <row r="73" customFormat="false" ht="15" hidden="false" customHeight="false" outlineLevel="0" collapsed="false">
      <c r="B73" s="19" t="s">
        <v>159</v>
      </c>
      <c r="C73" s="22"/>
    </row>
    <row r="74" customFormat="false" ht="15" hidden="false" customHeight="false" outlineLevel="0" collapsed="false">
      <c r="B74" s="19" t="s">
        <v>160</v>
      </c>
      <c r="C74" s="22"/>
    </row>
    <row r="75" customFormat="false" ht="15" hidden="false" customHeight="false" outlineLevel="0" collapsed="false">
      <c r="B75" s="19" t="s">
        <v>161</v>
      </c>
      <c r="C75" s="22"/>
    </row>
    <row r="76" customFormat="false" ht="15" hidden="false" customHeight="false" outlineLevel="0" collapsed="false">
      <c r="B76" s="4" t="s">
        <v>140</v>
      </c>
      <c r="C76" s="24" t="n">
        <f aca="false">SUM(C69:C75)</f>
        <v>0</v>
      </c>
      <c r="D76" s="25" t="str">
        <f aca="false">IF(C76=0,"",IF(ABS(C76-1)&lt;0.0001,"OK","CHECK"))</f>
        <v/>
      </c>
    </row>
  </sheetData>
  <conditionalFormatting sqref="F5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D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  <c r="B2" s="26" t="s">
        <v>164</v>
      </c>
    </row>
    <row r="4" customFormat="false" ht="15" hidden="false" customHeight="false" outlineLevel="0" collapsed="false">
      <c r="B4" s="3" t="s">
        <v>165</v>
      </c>
    </row>
    <row r="5" customFormat="false" ht="30" hidden="false" customHeight="true" outlineLevel="0" collapsed="false">
      <c r="B5" s="18" t="s">
        <v>166</v>
      </c>
      <c r="C5" s="18" t="s">
        <v>167</v>
      </c>
      <c r="D5" s="18" t="s">
        <v>168</v>
      </c>
      <c r="E5" s="18" t="s">
        <v>169</v>
      </c>
      <c r="F5" s="18" t="s">
        <v>170</v>
      </c>
      <c r="G5" s="18" t="s">
        <v>171</v>
      </c>
    </row>
    <row r="6" customFormat="false" ht="15" hidden="false" customHeight="false" outlineLevel="0" collapsed="false">
      <c r="B6" s="11" t="s">
        <v>172</v>
      </c>
      <c r="C6" s="27" t="n">
        <v>53</v>
      </c>
      <c r="D6" s="16" t="n">
        <v>0.4</v>
      </c>
      <c r="E6" s="28" t="n">
        <f aca="false">C6*D6</f>
        <v>21.2</v>
      </c>
      <c r="F6" s="14" t="n">
        <f aca="false">$C$15*D6</f>
        <v>590.4</v>
      </c>
      <c r="G6" s="29" t="n">
        <f aca="false">F6*C6</f>
        <v>31291.2</v>
      </c>
      <c r="I6" s="2" t="s">
        <v>173</v>
      </c>
    </row>
    <row r="7" customFormat="false" ht="15" hidden="false" customHeight="false" outlineLevel="0" collapsed="false">
      <c r="B7" s="11" t="s">
        <v>174</v>
      </c>
      <c r="C7" s="27" t="n">
        <v>62.5</v>
      </c>
      <c r="D7" s="16" t="n">
        <v>0.3</v>
      </c>
      <c r="E7" s="28" t="n">
        <f aca="false">C7*D7</f>
        <v>18.75</v>
      </c>
      <c r="F7" s="14" t="n">
        <f aca="false">$C$15*D7</f>
        <v>442.8</v>
      </c>
      <c r="G7" s="29" t="n">
        <f aca="false">F7*C7</f>
        <v>27675</v>
      </c>
      <c r="I7" s="2" t="s">
        <v>175</v>
      </c>
    </row>
    <row r="8" customFormat="false" ht="15" hidden="false" customHeight="false" outlineLevel="0" collapsed="false">
      <c r="B8" s="11" t="s">
        <v>176</v>
      </c>
      <c r="C8" s="27" t="n">
        <v>66.5</v>
      </c>
      <c r="D8" s="16" t="n">
        <v>0.05</v>
      </c>
      <c r="E8" s="28" t="n">
        <f aca="false">C8*D8</f>
        <v>3.325</v>
      </c>
      <c r="F8" s="14" t="n">
        <f aca="false">$C$15*D8</f>
        <v>73.8</v>
      </c>
      <c r="G8" s="29" t="n">
        <f aca="false">F8*C8</f>
        <v>4907.7</v>
      </c>
      <c r="I8" s="2" t="s">
        <v>177</v>
      </c>
    </row>
    <row r="9" customFormat="false" ht="15" hidden="false" customHeight="false" outlineLevel="0" collapsed="false">
      <c r="B9" s="11" t="s">
        <v>178</v>
      </c>
      <c r="C9" s="27" t="n">
        <v>73</v>
      </c>
      <c r="D9" s="16" t="n">
        <v>0.11</v>
      </c>
      <c r="E9" s="28" t="n">
        <f aca="false">C9*D9</f>
        <v>8.03</v>
      </c>
      <c r="F9" s="14" t="n">
        <f aca="false">$C$15*D9</f>
        <v>162.36</v>
      </c>
      <c r="G9" s="29" t="n">
        <f aca="false">F9*C9</f>
        <v>11852.28</v>
      </c>
      <c r="I9" s="2" t="s">
        <v>179</v>
      </c>
    </row>
    <row r="10" customFormat="false" ht="15" hidden="false" customHeight="false" outlineLevel="0" collapsed="false">
      <c r="B10" s="11" t="s">
        <v>180</v>
      </c>
      <c r="C10" s="27" t="n">
        <v>96</v>
      </c>
      <c r="D10" s="16" t="n">
        <v>0.14</v>
      </c>
      <c r="E10" s="28" t="n">
        <f aca="false">C10*D10</f>
        <v>13.44</v>
      </c>
      <c r="F10" s="14" t="n">
        <f aca="false">$C$15*D10</f>
        <v>206.64</v>
      </c>
      <c r="G10" s="29" t="n">
        <f aca="false">F10*C10</f>
        <v>19837.44</v>
      </c>
      <c r="I10" s="2" t="s">
        <v>181</v>
      </c>
    </row>
    <row r="11" customFormat="false" ht="15" hidden="false" customHeight="false" outlineLevel="0" collapsed="false">
      <c r="B11" s="4" t="s">
        <v>182</v>
      </c>
      <c r="D11" s="24" t="n">
        <f aca="false">SUM(D6:D10)</f>
        <v>1</v>
      </c>
      <c r="E11" s="30" t="n">
        <f aca="false">SUM(E6:E10)</f>
        <v>64.745</v>
      </c>
      <c r="F11" s="23" t="n">
        <f aca="false">SUM(F6:F10)</f>
        <v>1476</v>
      </c>
      <c r="G11" s="31" t="n">
        <f aca="false">SUM(G6:G10)</f>
        <v>95563.62</v>
      </c>
    </row>
    <row r="12" customFormat="false" ht="15" hidden="false" customHeight="false" outlineLevel="0" collapsed="false">
      <c r="B12" s="7" t="s">
        <v>183</v>
      </c>
      <c r="C12" s="27" t="n">
        <v>22</v>
      </c>
    </row>
    <row r="13" customFormat="false" ht="15" hidden="false" customHeight="false" outlineLevel="0" collapsed="false">
      <c r="B13" s="4" t="s">
        <v>184</v>
      </c>
      <c r="C13" s="32" t="n">
        <f aca="false">E11+C12</f>
        <v>86.745</v>
      </c>
    </row>
    <row r="14" customFormat="false" ht="15" hidden="false" customHeight="false" outlineLevel="0" collapsed="false">
      <c r="B14" s="7" t="s">
        <v>185</v>
      </c>
      <c r="C14" s="25" t="str">
        <f aca="false">IF(AND(ABS(D11-1)&lt;0.0001,ABS(G11-F11*E11)&lt;1),"OK","CHECK")</f>
        <v>OK</v>
      </c>
    </row>
    <row r="15" customFormat="false" ht="15" hidden="false" customHeight="false" outlineLevel="0" collapsed="false">
      <c r="B15" s="7" t="s">
        <v>186</v>
      </c>
      <c r="C15" s="33" t="n">
        <f aca="false">SUMIFS('PLUMBING EST'!$M$7:$M$156,'PLUMBING EST'!$B$7:$B$156,"P")+SUMIFS('HVAC EST'!$M$7:$M$156,'HVAC EST'!$B$7:$B$156,"P")+SUMIFS('PLUMBING EST'!$M$7:$M$156,'PLUMBING EST'!$B$7:$B$156,"H")+SUMIFS('HVAC EST'!$M$7:$M$156,'HVAC EST'!$B$7:$B$156,"H")</f>
        <v>1476</v>
      </c>
    </row>
    <row r="19" customFormat="false" ht="15" hidden="false" customHeight="false" outlineLevel="0" collapsed="false">
      <c r="B19" s="3" t="s">
        <v>187</v>
      </c>
    </row>
    <row r="20" customFormat="false" ht="30" hidden="false" customHeight="true" outlineLevel="0" collapsed="false">
      <c r="B20" s="18" t="s">
        <v>166</v>
      </c>
      <c r="C20" s="18" t="s">
        <v>167</v>
      </c>
      <c r="D20" s="18" t="s">
        <v>168</v>
      </c>
      <c r="E20" s="18" t="s">
        <v>169</v>
      </c>
      <c r="F20" s="18" t="s">
        <v>170</v>
      </c>
      <c r="G20" s="18" t="s">
        <v>171</v>
      </c>
    </row>
    <row r="21" customFormat="false" ht="15" hidden="false" customHeight="false" outlineLevel="0" collapsed="false">
      <c r="B21" s="11" t="s">
        <v>172</v>
      </c>
      <c r="C21" s="27" t="n">
        <v>53</v>
      </c>
      <c r="D21" s="16" t="n">
        <v>0.4</v>
      </c>
      <c r="E21" s="28" t="n">
        <f aca="false">C21*D21</f>
        <v>21.2</v>
      </c>
      <c r="F21" s="14" t="n">
        <f aca="false">$C$30*D21</f>
        <v>0</v>
      </c>
      <c r="G21" s="29" t="n">
        <f aca="false">F21*C21</f>
        <v>0</v>
      </c>
      <c r="I21" s="2" t="s">
        <v>173</v>
      </c>
    </row>
    <row r="22" customFormat="false" ht="15" hidden="false" customHeight="false" outlineLevel="0" collapsed="false">
      <c r="B22" s="11" t="s">
        <v>174</v>
      </c>
      <c r="C22" s="27" t="n">
        <v>62.5</v>
      </c>
      <c r="D22" s="16" t="n">
        <v>0.3</v>
      </c>
      <c r="E22" s="28" t="n">
        <f aca="false">C22*D22</f>
        <v>18.75</v>
      </c>
      <c r="F22" s="14" t="n">
        <f aca="false">$C$30*D22</f>
        <v>0</v>
      </c>
      <c r="G22" s="29" t="n">
        <f aca="false">F22*C22</f>
        <v>0</v>
      </c>
      <c r="I22" s="2" t="s">
        <v>175</v>
      </c>
    </row>
    <row r="23" customFormat="false" ht="15" hidden="false" customHeight="false" outlineLevel="0" collapsed="false">
      <c r="B23" s="11" t="s">
        <v>176</v>
      </c>
      <c r="C23" s="27" t="n">
        <v>66.5</v>
      </c>
      <c r="D23" s="16" t="n">
        <v>0.05</v>
      </c>
      <c r="E23" s="28" t="n">
        <f aca="false">C23*D23</f>
        <v>3.325</v>
      </c>
      <c r="F23" s="14" t="n">
        <f aca="false">$C$30*D23</f>
        <v>0</v>
      </c>
      <c r="G23" s="29" t="n">
        <f aca="false">F23*C23</f>
        <v>0</v>
      </c>
      <c r="I23" s="2" t="s">
        <v>177</v>
      </c>
    </row>
    <row r="24" customFormat="false" ht="15" hidden="false" customHeight="false" outlineLevel="0" collapsed="false">
      <c r="B24" s="11" t="s">
        <v>178</v>
      </c>
      <c r="C24" s="27" t="n">
        <v>73</v>
      </c>
      <c r="D24" s="16" t="n">
        <v>0.11</v>
      </c>
      <c r="E24" s="28" t="n">
        <f aca="false">C24*D24</f>
        <v>8.03</v>
      </c>
      <c r="F24" s="14" t="n">
        <f aca="false">$C$30*D24</f>
        <v>0</v>
      </c>
      <c r="G24" s="29" t="n">
        <f aca="false">F24*C24</f>
        <v>0</v>
      </c>
      <c r="I24" s="2" t="s">
        <v>179</v>
      </c>
    </row>
    <row r="25" customFormat="false" ht="15" hidden="false" customHeight="false" outlineLevel="0" collapsed="false">
      <c r="B25" s="11" t="s">
        <v>180</v>
      </c>
      <c r="C25" s="27" t="n">
        <v>96</v>
      </c>
      <c r="D25" s="16" t="n">
        <v>0.14</v>
      </c>
      <c r="E25" s="28" t="n">
        <f aca="false">C25*D25</f>
        <v>13.44</v>
      </c>
      <c r="F25" s="14" t="n">
        <f aca="false">$C$30*D25</f>
        <v>0</v>
      </c>
      <c r="G25" s="29" t="n">
        <f aca="false">F25*C25</f>
        <v>0</v>
      </c>
      <c r="I25" s="2" t="s">
        <v>181</v>
      </c>
    </row>
    <row r="26" customFormat="false" ht="15" hidden="false" customHeight="false" outlineLevel="0" collapsed="false">
      <c r="B26" s="4" t="s">
        <v>182</v>
      </c>
      <c r="D26" s="24" t="n">
        <f aca="false">SUM(D21:D25)</f>
        <v>1</v>
      </c>
      <c r="E26" s="30" t="n">
        <f aca="false">SUM(E21:E25)</f>
        <v>64.745</v>
      </c>
      <c r="F26" s="23" t="n">
        <f aca="false">SUM(F21:F25)</f>
        <v>0</v>
      </c>
      <c r="G26" s="31" t="n">
        <f aca="false">SUM(G21:G25)</f>
        <v>0</v>
      </c>
    </row>
    <row r="27" customFormat="false" ht="15" hidden="false" customHeight="false" outlineLevel="0" collapsed="false">
      <c r="B27" s="7" t="s">
        <v>183</v>
      </c>
      <c r="C27" s="27" t="n">
        <v>22</v>
      </c>
    </row>
    <row r="28" customFormat="false" ht="15" hidden="false" customHeight="false" outlineLevel="0" collapsed="false">
      <c r="B28" s="4" t="s">
        <v>184</v>
      </c>
      <c r="C28" s="32" t="n">
        <f aca="false">E26+C27</f>
        <v>86.745</v>
      </c>
    </row>
    <row r="29" customFormat="false" ht="15" hidden="false" customHeight="false" outlineLevel="0" collapsed="false">
      <c r="B29" s="7" t="s">
        <v>185</v>
      </c>
      <c r="C29" s="25" t="str">
        <f aca="false">IF(AND(ABS(D26-1)&lt;0.0001,ABS(G26-F26*E26)&lt;1),"OK","CHECK")</f>
        <v>OK</v>
      </c>
    </row>
    <row r="30" customFormat="false" ht="15" hidden="false" customHeight="false" outlineLevel="0" collapsed="false">
      <c r="B30" s="7" t="s">
        <v>186</v>
      </c>
      <c r="C30" s="33" t="n">
        <f aca="false">SUMIFS('PLUMBING EST'!$M$7:$M$156,'PLUMBING EST'!$B$7:$B$156,"V")+SUMIFS('HVAC EST'!$M$7:$M$156,'HVAC EST'!$B$7:$B$156,"V")+SUMIFS('PLUMBING EST'!$M$7:$M$156,'PLUMBING EST'!$B$7:$B$156,"AC")+SUMIFS('HVAC EST'!$M$7:$M$156,'HVAC EST'!$B$7:$B$156,"AC")</f>
        <v>0</v>
      </c>
    </row>
    <row r="33" customFormat="false" ht="15" hidden="false" customHeight="false" outlineLevel="0" collapsed="false">
      <c r="B33" s="3" t="s">
        <v>188</v>
      </c>
    </row>
    <row r="34" customFormat="false" ht="30" hidden="false" customHeight="true" outlineLevel="0" collapsed="false">
      <c r="B34" s="18" t="s">
        <v>189</v>
      </c>
      <c r="C34" s="18" t="s">
        <v>190</v>
      </c>
      <c r="D34" s="18"/>
      <c r="E34" s="18"/>
      <c r="F34" s="18" t="s">
        <v>191</v>
      </c>
      <c r="G34" s="18" t="s">
        <v>192</v>
      </c>
    </row>
    <row r="35" customFormat="false" ht="15" hidden="false" customHeight="false" outlineLevel="0" collapsed="false">
      <c r="B35" s="19" t="s">
        <v>193</v>
      </c>
      <c r="C35" s="28" t="n">
        <f aca="false">C6</f>
        <v>53</v>
      </c>
      <c r="F35" s="14" t="n">
        <f aca="false">$C$15</f>
        <v>1476</v>
      </c>
      <c r="G35" s="29" t="n">
        <f aca="false">C35*F35</f>
        <v>78228</v>
      </c>
      <c r="I35" s="2" t="s">
        <v>194</v>
      </c>
    </row>
    <row r="36" customFormat="false" ht="15" hidden="false" customHeight="false" outlineLevel="0" collapsed="false">
      <c r="B36" s="19" t="s">
        <v>195</v>
      </c>
      <c r="C36" s="28" t="n">
        <f aca="false">AVERAGE(C6:C10)</f>
        <v>70.2</v>
      </c>
      <c r="F36" s="14" t="n">
        <f aca="false">$C$15</f>
        <v>1476</v>
      </c>
      <c r="G36" s="29" t="n">
        <f aca="false">C36*F36</f>
        <v>103615.2</v>
      </c>
      <c r="I36" s="2" t="s">
        <v>196</v>
      </c>
    </row>
    <row r="37" customFormat="false" ht="15" hidden="false" customHeight="false" outlineLevel="0" collapsed="false">
      <c r="B37" s="19" t="s">
        <v>197</v>
      </c>
      <c r="C37" s="28" t="n">
        <f aca="false">E11</f>
        <v>64.745</v>
      </c>
      <c r="F37" s="14" t="n">
        <f aca="false">$C$15</f>
        <v>1476</v>
      </c>
      <c r="G37" s="29" t="n">
        <f aca="false">C37*F37</f>
        <v>95563.62</v>
      </c>
    </row>
    <row r="38" customFormat="false" ht="15" hidden="false" customHeight="false" outlineLevel="0" collapsed="false">
      <c r="B38" s="19" t="s">
        <v>198</v>
      </c>
      <c r="C38" s="28" t="n">
        <f aca="false">C13</f>
        <v>86.745</v>
      </c>
      <c r="F38" s="14" t="n">
        <f aca="false">$C$15</f>
        <v>1476</v>
      </c>
      <c r="G38" s="29" t="n">
        <f aca="false">C38*F38</f>
        <v>128035.62</v>
      </c>
    </row>
  </sheetData>
  <conditionalFormatting sqref="C1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C29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19" min="19" style="0" width="11"/>
  </cols>
  <sheetData>
    <row r="1" customFormat="false" ht="17.3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</row>
    <row r="3" customFormat="false" ht="15" hidden="false" customHeight="false" outlineLevel="0" collapsed="false">
      <c r="A3" s="4" t="s">
        <v>201</v>
      </c>
      <c r="L3" s="34" t="n">
        <f aca="false">SUM(L7:L156)</f>
        <v>105288</v>
      </c>
      <c r="M3" s="35" t="n">
        <f aca="false">SUM(M7:M156)</f>
        <v>1476</v>
      </c>
      <c r="N3" s="34" t="n">
        <f aca="false">SUM(N7:N156)</f>
        <v>95563.62</v>
      </c>
      <c r="O3" s="34" t="n">
        <f aca="false">SUM(O7:O156)</f>
        <v>32472</v>
      </c>
      <c r="P3" s="34" t="n">
        <f aca="false">SUM(P7:P156)</f>
        <v>233323.62</v>
      </c>
    </row>
    <row r="4" customFormat="false" ht="15" hidden="false" customHeight="false" outlineLevel="0" collapsed="false">
      <c r="A4" s="2" t="s">
        <v>202</v>
      </c>
    </row>
    <row r="6" customFormat="false" ht="30" hidden="false" customHeight="true" outlineLevel="0" collapsed="false">
      <c r="A6" s="18" t="s">
        <v>203</v>
      </c>
      <c r="B6" s="18" t="s">
        <v>204</v>
      </c>
      <c r="C6" s="18" t="s">
        <v>205</v>
      </c>
      <c r="D6" s="18" t="s">
        <v>206</v>
      </c>
      <c r="E6" s="18" t="s">
        <v>207</v>
      </c>
      <c r="F6" s="18" t="s">
        <v>208</v>
      </c>
      <c r="G6" s="18" t="s">
        <v>209</v>
      </c>
      <c r="H6" s="18" t="s">
        <v>210</v>
      </c>
      <c r="I6" s="18" t="s">
        <v>211</v>
      </c>
      <c r="J6" s="18" t="s">
        <v>212</v>
      </c>
      <c r="K6" s="18" t="s">
        <v>213</v>
      </c>
      <c r="L6" s="18" t="s">
        <v>214</v>
      </c>
      <c r="M6" s="18" t="s">
        <v>170</v>
      </c>
      <c r="N6" s="18" t="s">
        <v>215</v>
      </c>
      <c r="O6" s="18" t="s">
        <v>216</v>
      </c>
      <c r="P6" s="18" t="s">
        <v>217</v>
      </c>
      <c r="Q6" s="18" t="s">
        <v>218</v>
      </c>
      <c r="R6" s="18" t="s">
        <v>219</v>
      </c>
      <c r="S6" s="18" t="s">
        <v>220</v>
      </c>
    </row>
    <row r="7" customFormat="false" ht="15" hidden="false" customHeight="false" outlineLevel="0" collapsed="false">
      <c r="A7" s="11" t="s">
        <v>221</v>
      </c>
      <c r="B7" s="11" t="s">
        <v>94</v>
      </c>
      <c r="C7" s="11" t="s">
        <v>144</v>
      </c>
      <c r="D7" s="11" t="s">
        <v>222</v>
      </c>
      <c r="E7" s="36"/>
      <c r="F7" s="11" t="s">
        <v>223</v>
      </c>
      <c r="G7" s="37"/>
      <c r="H7" s="38"/>
      <c r="I7" s="37"/>
      <c r="J7" s="36"/>
      <c r="K7" s="11" t="s">
        <v>224</v>
      </c>
      <c r="L7" s="29" t="n">
        <f aca="false">($E7*$G7+$I7)*(1+IF($K7="N",0,INPUTS!$C$23))</f>
        <v>0</v>
      </c>
      <c r="M7" s="39" t="n">
        <f aca="false">$E7*$H7+$J7</f>
        <v>0</v>
      </c>
      <c r="N7" s="29" t="n">
        <f aca="false">$M7*IF(OR($B7="V",$B7="AC"),'LABOUR RATES'!$E$26,'LABOUR RATES'!$E$11)</f>
        <v>0</v>
      </c>
      <c r="O7" s="29" t="n">
        <f aca="false">$M7*IF(OR($B7="V",$B7="AC"),'LABOUR RATES'!$C$27,'LABOUR RATES'!$C$12)</f>
        <v>0</v>
      </c>
      <c r="P7" s="40" t="n">
        <f aca="false">$L7+$N7+$O7</f>
        <v>0</v>
      </c>
      <c r="Q7" s="41" t="str">
        <f aca="false">IF($A7="","",IFERROR(SUMIFS('CRM ACTUALS'!$H$7:$H$2006,'CRM ACTUALS'!$D$7:$D$2006,$A7)/SUMIFS('CRM ACTUALS'!$F$7:$F$2006,'CRM ACTUALS'!$D$7:$D$2006,$A7),""))</f>
        <v/>
      </c>
      <c r="R7" s="28" t="str">
        <f aca="false">IF($A7="","",IFERROR(SUMIFS('CRM ACTUALS'!$J$7:$J$2006,'CRM ACTUALS'!$D$7:$D$2006,$A7)/SUMIFS('CRM ACTUALS'!$F$7:$F$2006,'CRM ACTUALS'!$D$7:$D$2006,$A7),""))</f>
        <v/>
      </c>
      <c r="S7" s="21" t="str">
        <f aca="false">IF(OR($Q7="",N($H7)=0),"",$H7/$Q7-1)</f>
        <v/>
      </c>
    </row>
    <row r="8" customFormat="false" ht="15" hidden="false" customHeight="false" outlineLevel="0" collapsed="false">
      <c r="A8" s="11" t="s">
        <v>225</v>
      </c>
      <c r="B8" s="11" t="s">
        <v>94</v>
      </c>
      <c r="C8" s="11" t="s">
        <v>144</v>
      </c>
      <c r="D8" s="11" t="s">
        <v>226</v>
      </c>
      <c r="E8" s="36"/>
      <c r="F8" s="11" t="s">
        <v>227</v>
      </c>
      <c r="G8" s="37"/>
      <c r="H8" s="38"/>
      <c r="I8" s="37"/>
      <c r="J8" s="36"/>
      <c r="K8" s="11" t="s">
        <v>224</v>
      </c>
      <c r="L8" s="29" t="n">
        <f aca="false">($E8*$G8+$I8)*(1+IF($K8="N",0,INPUTS!$C$23))</f>
        <v>0</v>
      </c>
      <c r="M8" s="39" t="n">
        <f aca="false">$E8*$H8+$J8</f>
        <v>0</v>
      </c>
      <c r="N8" s="29" t="n">
        <f aca="false">$M8*IF(OR($B8="V",$B8="AC"),'LABOUR RATES'!$E$26,'LABOUR RATES'!$E$11)</f>
        <v>0</v>
      </c>
      <c r="O8" s="29" t="n">
        <f aca="false">$M8*IF(OR($B8="V",$B8="AC"),'LABOUR RATES'!$C$27,'LABOUR RATES'!$C$12)</f>
        <v>0</v>
      </c>
      <c r="P8" s="40" t="n">
        <f aca="false">$L8+$N8+$O8</f>
        <v>0</v>
      </c>
      <c r="Q8" s="41" t="str">
        <f aca="false">IF($A8="","",IFERROR(SUMIFS('CRM ACTUALS'!$H$7:$H$2006,'CRM ACTUALS'!$D$7:$D$2006,$A8)/SUMIFS('CRM ACTUALS'!$F$7:$F$2006,'CRM ACTUALS'!$D$7:$D$2006,$A8),""))</f>
        <v/>
      </c>
      <c r="R8" s="28" t="str">
        <f aca="false">IF($A8="","",IFERROR(SUMIFS('CRM ACTUALS'!$J$7:$J$2006,'CRM ACTUALS'!$D$7:$D$2006,$A8)/SUMIFS('CRM ACTUALS'!$F$7:$F$2006,'CRM ACTUALS'!$D$7:$D$2006,$A8),""))</f>
        <v/>
      </c>
      <c r="S8" s="21" t="str">
        <f aca="false">IF(OR($Q8="",N($H8)=0),"",$H8/$Q8-1)</f>
        <v/>
      </c>
    </row>
    <row r="9" customFormat="false" ht="15" hidden="false" customHeight="false" outlineLevel="0" collapsed="false">
      <c r="A9" s="11" t="s">
        <v>228</v>
      </c>
      <c r="B9" s="11" t="s">
        <v>94</v>
      </c>
      <c r="C9" s="11" t="s">
        <v>144</v>
      </c>
      <c r="D9" s="11" t="s">
        <v>229</v>
      </c>
      <c r="E9" s="36"/>
      <c r="F9" s="11" t="s">
        <v>227</v>
      </c>
      <c r="G9" s="37"/>
      <c r="H9" s="38"/>
      <c r="I9" s="37"/>
      <c r="J9" s="36"/>
      <c r="K9" s="11" t="s">
        <v>224</v>
      </c>
      <c r="L9" s="29" t="n">
        <f aca="false">($E9*$G9+$I9)*(1+IF($K9="N",0,INPUTS!$C$23))</f>
        <v>0</v>
      </c>
      <c r="M9" s="39" t="n">
        <f aca="false">$E9*$H9+$J9</f>
        <v>0</v>
      </c>
      <c r="N9" s="29" t="n">
        <f aca="false">$M9*IF(OR($B9="V",$B9="AC"),'LABOUR RATES'!$E$26,'LABOUR RATES'!$E$11)</f>
        <v>0</v>
      </c>
      <c r="O9" s="29" t="n">
        <f aca="false">$M9*IF(OR($B9="V",$B9="AC"),'LABOUR RATES'!$C$27,'LABOUR RATES'!$C$12)</f>
        <v>0</v>
      </c>
      <c r="P9" s="40" t="n">
        <f aca="false">$L9+$N9+$O9</f>
        <v>0</v>
      </c>
      <c r="Q9" s="41" t="str">
        <f aca="false">IF($A9="","",IFERROR(SUMIFS('CRM ACTUALS'!$H$7:$H$2006,'CRM ACTUALS'!$D$7:$D$2006,$A9)/SUMIFS('CRM ACTUALS'!$F$7:$F$2006,'CRM ACTUALS'!$D$7:$D$2006,$A9),""))</f>
        <v/>
      </c>
      <c r="R9" s="28" t="str">
        <f aca="false">IF($A9="","",IFERROR(SUMIFS('CRM ACTUALS'!$J$7:$J$2006,'CRM ACTUALS'!$D$7:$D$2006,$A9)/SUMIFS('CRM ACTUALS'!$F$7:$F$2006,'CRM ACTUALS'!$D$7:$D$2006,$A9),""))</f>
        <v/>
      </c>
      <c r="S9" s="21" t="str">
        <f aca="false">IF(OR($Q9="",N($H9)=0),"",$H9/$Q9-1)</f>
        <v/>
      </c>
    </row>
    <row r="10" customFormat="false" ht="15" hidden="false" customHeight="false" outlineLevel="0" collapsed="false">
      <c r="A10" s="11" t="s">
        <v>230</v>
      </c>
      <c r="B10" s="11" t="s">
        <v>94</v>
      </c>
      <c r="C10" s="11" t="s">
        <v>144</v>
      </c>
      <c r="D10" s="11" t="s">
        <v>231</v>
      </c>
      <c r="E10" s="36"/>
      <c r="F10" s="11" t="s">
        <v>227</v>
      </c>
      <c r="G10" s="37"/>
      <c r="H10" s="38"/>
      <c r="I10" s="37"/>
      <c r="J10" s="36"/>
      <c r="K10" s="11" t="s">
        <v>224</v>
      </c>
      <c r="L10" s="29" t="n">
        <f aca="false">($E10*$G10+$I10)*(1+IF($K10="N",0,INPUTS!$C$23))</f>
        <v>0</v>
      </c>
      <c r="M10" s="39" t="n">
        <f aca="false">$E10*$H10+$J10</f>
        <v>0</v>
      </c>
      <c r="N10" s="29" t="n">
        <f aca="false">$M10*IF(OR($B10="V",$B10="AC"),'LABOUR RATES'!$E$26,'LABOUR RATES'!$E$11)</f>
        <v>0</v>
      </c>
      <c r="O10" s="29" t="n">
        <f aca="false">$M10*IF(OR($B10="V",$B10="AC"),'LABOUR RATES'!$C$27,'LABOUR RATES'!$C$12)</f>
        <v>0</v>
      </c>
      <c r="P10" s="40" t="n">
        <f aca="false">$L10+$N10+$O10</f>
        <v>0</v>
      </c>
      <c r="Q10" s="41" t="str">
        <f aca="false">IF($A10="","",IFERROR(SUMIFS('CRM ACTUALS'!$H$7:$H$2006,'CRM ACTUALS'!$D$7:$D$2006,$A10)/SUMIFS('CRM ACTUALS'!$F$7:$F$2006,'CRM ACTUALS'!$D$7:$D$2006,$A10),""))</f>
        <v/>
      </c>
      <c r="R10" s="28" t="str">
        <f aca="false">IF($A10="","",IFERROR(SUMIFS('CRM ACTUALS'!$J$7:$J$2006,'CRM ACTUALS'!$D$7:$D$2006,$A10)/SUMIFS('CRM ACTUALS'!$F$7:$F$2006,'CRM ACTUALS'!$D$7:$D$2006,$A10),""))</f>
        <v/>
      </c>
      <c r="S10" s="21" t="str">
        <f aca="false">IF(OR($Q10="",N($H10)=0),"",$H10/$Q10-1)</f>
        <v/>
      </c>
    </row>
    <row r="11" customFormat="false" ht="15" hidden="false" customHeight="false" outlineLevel="0" collapsed="false">
      <c r="A11" s="11" t="s">
        <v>232</v>
      </c>
      <c r="B11" s="11" t="s">
        <v>94</v>
      </c>
      <c r="C11" s="11" t="s">
        <v>145</v>
      </c>
      <c r="D11" s="11" t="s">
        <v>233</v>
      </c>
      <c r="E11" s="36"/>
      <c r="F11" s="11" t="s">
        <v>227</v>
      </c>
      <c r="G11" s="37"/>
      <c r="H11" s="38"/>
      <c r="I11" s="37"/>
      <c r="J11" s="36"/>
      <c r="K11" s="11" t="s">
        <v>224</v>
      </c>
      <c r="L11" s="29" t="n">
        <f aca="false">($E11*$G11+$I11)*(1+IF($K11="N",0,INPUTS!$C$23))</f>
        <v>0</v>
      </c>
      <c r="M11" s="39" t="n">
        <f aca="false">$E11*$H11+$J11</f>
        <v>0</v>
      </c>
      <c r="N11" s="29" t="n">
        <f aca="false">$M11*IF(OR($B11="V",$B11="AC"),'LABOUR RATES'!$E$26,'LABOUR RATES'!$E$11)</f>
        <v>0</v>
      </c>
      <c r="O11" s="29" t="n">
        <f aca="false">$M11*IF(OR($B11="V",$B11="AC"),'LABOUR RATES'!$C$27,'LABOUR RATES'!$C$12)</f>
        <v>0</v>
      </c>
      <c r="P11" s="40" t="n">
        <f aca="false">$L11+$N11+$O11</f>
        <v>0</v>
      </c>
      <c r="Q11" s="41" t="str">
        <f aca="false">IF($A11="","",IFERROR(SUMIFS('CRM ACTUALS'!$H$7:$H$2006,'CRM ACTUALS'!$D$7:$D$2006,$A11)/SUMIFS('CRM ACTUALS'!$F$7:$F$2006,'CRM ACTUALS'!$D$7:$D$2006,$A11),""))</f>
        <v/>
      </c>
      <c r="R11" s="28" t="str">
        <f aca="false">IF($A11="","",IFERROR(SUMIFS('CRM ACTUALS'!$J$7:$J$2006,'CRM ACTUALS'!$D$7:$D$2006,$A11)/SUMIFS('CRM ACTUALS'!$F$7:$F$2006,'CRM ACTUALS'!$D$7:$D$2006,$A11),""))</f>
        <v/>
      </c>
      <c r="S11" s="21" t="str">
        <f aca="false">IF(OR($Q11="",N($H11)=0),"",$H11/$Q11-1)</f>
        <v/>
      </c>
    </row>
    <row r="12" customFormat="false" ht="15" hidden="false" customHeight="false" outlineLevel="0" collapsed="false">
      <c r="A12" s="11" t="s">
        <v>234</v>
      </c>
      <c r="B12" s="11" t="s">
        <v>94</v>
      </c>
      <c r="C12" s="11" t="s">
        <v>145</v>
      </c>
      <c r="D12" s="11" t="s">
        <v>235</v>
      </c>
      <c r="E12" s="36"/>
      <c r="F12" s="11" t="s">
        <v>227</v>
      </c>
      <c r="G12" s="37"/>
      <c r="H12" s="38"/>
      <c r="I12" s="37"/>
      <c r="J12" s="36"/>
      <c r="K12" s="11" t="s">
        <v>224</v>
      </c>
      <c r="L12" s="29" t="n">
        <f aca="false">($E12*$G12+$I12)*(1+IF($K12="N",0,INPUTS!$C$23))</f>
        <v>0</v>
      </c>
      <c r="M12" s="39" t="n">
        <f aca="false">$E12*$H12+$J12</f>
        <v>0</v>
      </c>
      <c r="N12" s="29" t="n">
        <f aca="false">$M12*IF(OR($B12="V",$B12="AC"),'LABOUR RATES'!$E$26,'LABOUR RATES'!$E$11)</f>
        <v>0</v>
      </c>
      <c r="O12" s="29" t="n">
        <f aca="false">$M12*IF(OR($B12="V",$B12="AC"),'LABOUR RATES'!$C$27,'LABOUR RATES'!$C$12)</f>
        <v>0</v>
      </c>
      <c r="P12" s="40" t="n">
        <f aca="false">$L12+$N12+$O12</f>
        <v>0</v>
      </c>
      <c r="Q12" s="41" t="str">
        <f aca="false">IF($A12="","",IFERROR(SUMIFS('CRM ACTUALS'!$H$7:$H$2006,'CRM ACTUALS'!$D$7:$D$2006,$A12)/SUMIFS('CRM ACTUALS'!$F$7:$F$2006,'CRM ACTUALS'!$D$7:$D$2006,$A12),""))</f>
        <v/>
      </c>
      <c r="R12" s="28" t="str">
        <f aca="false">IF($A12="","",IFERROR(SUMIFS('CRM ACTUALS'!$J$7:$J$2006,'CRM ACTUALS'!$D$7:$D$2006,$A12)/SUMIFS('CRM ACTUALS'!$F$7:$F$2006,'CRM ACTUALS'!$D$7:$D$2006,$A12),""))</f>
        <v/>
      </c>
      <c r="S12" s="21" t="str">
        <f aca="false">IF(OR($Q12="",N($H12)=0),"",$H12/$Q12-1)</f>
        <v/>
      </c>
    </row>
    <row r="13" customFormat="false" ht="15" hidden="false" customHeight="false" outlineLevel="0" collapsed="false">
      <c r="A13" s="11" t="s">
        <v>236</v>
      </c>
      <c r="B13" s="11" t="s">
        <v>94</v>
      </c>
      <c r="C13" s="11" t="s">
        <v>145</v>
      </c>
      <c r="D13" s="11" t="s">
        <v>237</v>
      </c>
      <c r="E13" s="36"/>
      <c r="F13" s="11" t="s">
        <v>223</v>
      </c>
      <c r="G13" s="37" t="n">
        <v>550</v>
      </c>
      <c r="H13" s="38" t="n">
        <v>3</v>
      </c>
      <c r="I13" s="37"/>
      <c r="J13" s="36"/>
      <c r="K13" s="11" t="s">
        <v>224</v>
      </c>
      <c r="L13" s="29" t="n">
        <f aca="false">($E13*$G13+$I13)*(1+IF($K13="N",0,INPUTS!$C$23))</f>
        <v>0</v>
      </c>
      <c r="M13" s="39" t="n">
        <f aca="false">$E13*$H13+$J13</f>
        <v>0</v>
      </c>
      <c r="N13" s="29" t="n">
        <f aca="false">$M13*IF(OR($B13="V",$B13="AC"),'LABOUR RATES'!$E$26,'LABOUR RATES'!$E$11)</f>
        <v>0</v>
      </c>
      <c r="O13" s="29" t="n">
        <f aca="false">$M13*IF(OR($B13="V",$B13="AC"),'LABOUR RATES'!$C$27,'LABOUR RATES'!$C$12)</f>
        <v>0</v>
      </c>
      <c r="P13" s="40" t="n">
        <f aca="false">$L13+$N13+$O13</f>
        <v>0</v>
      </c>
      <c r="Q13" s="41" t="str">
        <f aca="false">IF($A13="","",IFERROR(SUMIFS('CRM ACTUALS'!$H$7:$H$2006,'CRM ACTUALS'!$D$7:$D$2006,$A13)/SUMIFS('CRM ACTUALS'!$F$7:$F$2006,'CRM ACTUALS'!$D$7:$D$2006,$A13),""))</f>
        <v/>
      </c>
      <c r="R13" s="28" t="str">
        <f aca="false">IF($A13="","",IFERROR(SUMIFS('CRM ACTUALS'!$J$7:$J$2006,'CRM ACTUALS'!$D$7:$D$2006,$A13)/SUMIFS('CRM ACTUALS'!$F$7:$F$2006,'CRM ACTUALS'!$D$7:$D$2006,$A13),""))</f>
        <v/>
      </c>
      <c r="S13" s="21" t="str">
        <f aca="false">IF(OR($Q13="",N($H13)=0),"",$H13/$Q13-1)</f>
        <v/>
      </c>
    </row>
    <row r="14" customFormat="false" ht="15" hidden="false" customHeight="false" outlineLevel="0" collapsed="false">
      <c r="A14" s="11" t="s">
        <v>238</v>
      </c>
      <c r="B14" s="11" t="s">
        <v>94</v>
      </c>
      <c r="C14" s="11" t="s">
        <v>145</v>
      </c>
      <c r="D14" s="11" t="s">
        <v>239</v>
      </c>
      <c r="E14" s="36"/>
      <c r="F14" s="11" t="s">
        <v>223</v>
      </c>
      <c r="G14" s="37" t="n">
        <v>860</v>
      </c>
      <c r="H14" s="38" t="n">
        <v>5</v>
      </c>
      <c r="I14" s="37"/>
      <c r="J14" s="36"/>
      <c r="K14" s="11" t="s">
        <v>224</v>
      </c>
      <c r="L14" s="29" t="n">
        <f aca="false">($E14*$G14+$I14)*(1+IF($K14="N",0,INPUTS!$C$23))</f>
        <v>0</v>
      </c>
      <c r="M14" s="39" t="n">
        <f aca="false">$E14*$H14+$J14</f>
        <v>0</v>
      </c>
      <c r="N14" s="29" t="n">
        <f aca="false">$M14*IF(OR($B14="V",$B14="AC"),'LABOUR RATES'!$E$26,'LABOUR RATES'!$E$11)</f>
        <v>0</v>
      </c>
      <c r="O14" s="29" t="n">
        <f aca="false">$M14*IF(OR($B14="V",$B14="AC"),'LABOUR RATES'!$C$27,'LABOUR RATES'!$C$12)</f>
        <v>0</v>
      </c>
      <c r="P14" s="40" t="n">
        <f aca="false">$L14+$N14+$O14</f>
        <v>0</v>
      </c>
      <c r="Q14" s="41" t="str">
        <f aca="false">IF($A14="","",IFERROR(SUMIFS('CRM ACTUALS'!$H$7:$H$2006,'CRM ACTUALS'!$D$7:$D$2006,$A14)/SUMIFS('CRM ACTUALS'!$F$7:$F$2006,'CRM ACTUALS'!$D$7:$D$2006,$A14),""))</f>
        <v/>
      </c>
      <c r="R14" s="28" t="str">
        <f aca="false">IF($A14="","",IFERROR(SUMIFS('CRM ACTUALS'!$J$7:$J$2006,'CRM ACTUALS'!$D$7:$D$2006,$A14)/SUMIFS('CRM ACTUALS'!$F$7:$F$2006,'CRM ACTUALS'!$D$7:$D$2006,$A14),""))</f>
        <v/>
      </c>
      <c r="S14" s="21" t="str">
        <f aca="false">IF(OR($Q14="",N($H14)=0),"",$H14/$Q14-1)</f>
        <v/>
      </c>
    </row>
    <row r="15" customFormat="false" ht="15" hidden="false" customHeight="false" outlineLevel="0" collapsed="false">
      <c r="A15" s="11" t="s">
        <v>240</v>
      </c>
      <c r="B15" s="11" t="s">
        <v>94</v>
      </c>
      <c r="C15" s="11" t="s">
        <v>145</v>
      </c>
      <c r="D15" s="11" t="s">
        <v>241</v>
      </c>
      <c r="E15" s="36"/>
      <c r="F15" s="11" t="s">
        <v>223</v>
      </c>
      <c r="G15" s="37" t="n">
        <v>860</v>
      </c>
      <c r="H15" s="38" t="n">
        <v>5</v>
      </c>
      <c r="I15" s="37"/>
      <c r="J15" s="36"/>
      <c r="K15" s="11" t="s">
        <v>224</v>
      </c>
      <c r="L15" s="29" t="n">
        <f aca="false">($E15*$G15+$I15)*(1+IF($K15="N",0,INPUTS!$C$23))</f>
        <v>0</v>
      </c>
      <c r="M15" s="39" t="n">
        <f aca="false">$E15*$H15+$J15</f>
        <v>0</v>
      </c>
      <c r="N15" s="29" t="n">
        <f aca="false">$M15*IF(OR($B15="V",$B15="AC"),'LABOUR RATES'!$E$26,'LABOUR RATES'!$E$11)</f>
        <v>0</v>
      </c>
      <c r="O15" s="29" t="n">
        <f aca="false">$M15*IF(OR($B15="V",$B15="AC"),'LABOUR RATES'!$C$27,'LABOUR RATES'!$C$12)</f>
        <v>0</v>
      </c>
      <c r="P15" s="40" t="n">
        <f aca="false">$L15+$N15+$O15</f>
        <v>0</v>
      </c>
      <c r="Q15" s="41" t="str">
        <f aca="false">IF($A15="","",IFERROR(SUMIFS('CRM ACTUALS'!$H$7:$H$2006,'CRM ACTUALS'!$D$7:$D$2006,$A15)/SUMIFS('CRM ACTUALS'!$F$7:$F$2006,'CRM ACTUALS'!$D$7:$D$2006,$A15),""))</f>
        <v/>
      </c>
      <c r="R15" s="28" t="str">
        <f aca="false">IF($A15="","",IFERROR(SUMIFS('CRM ACTUALS'!$J$7:$J$2006,'CRM ACTUALS'!$D$7:$D$2006,$A15)/SUMIFS('CRM ACTUALS'!$F$7:$F$2006,'CRM ACTUALS'!$D$7:$D$2006,$A15),""))</f>
        <v/>
      </c>
      <c r="S15" s="21" t="str">
        <f aca="false">IF(OR($Q15="",N($H15)=0),"",$H15/$Q15-1)</f>
        <v/>
      </c>
    </row>
    <row r="16" customFormat="false" ht="15" hidden="false" customHeight="false" outlineLevel="0" collapsed="false">
      <c r="A16" s="11" t="s">
        <v>242</v>
      </c>
      <c r="B16" s="11" t="s">
        <v>94</v>
      </c>
      <c r="C16" s="11" t="s">
        <v>145</v>
      </c>
      <c r="D16" s="11" t="s">
        <v>243</v>
      </c>
      <c r="E16" s="36"/>
      <c r="F16" s="11" t="s">
        <v>223</v>
      </c>
      <c r="G16" s="37" t="n">
        <v>990</v>
      </c>
      <c r="H16" s="38" t="n">
        <v>6</v>
      </c>
      <c r="I16" s="37"/>
      <c r="J16" s="36"/>
      <c r="K16" s="11" t="s">
        <v>224</v>
      </c>
      <c r="L16" s="29" t="n">
        <f aca="false">($E16*$G16+$I16)*(1+IF($K16="N",0,INPUTS!$C$23))</f>
        <v>0</v>
      </c>
      <c r="M16" s="39" t="n">
        <f aca="false">$E16*$H16+$J16</f>
        <v>0</v>
      </c>
      <c r="N16" s="29" t="n">
        <f aca="false">$M16*IF(OR($B16="V",$B16="AC"),'LABOUR RATES'!$E$26,'LABOUR RATES'!$E$11)</f>
        <v>0</v>
      </c>
      <c r="O16" s="29" t="n">
        <f aca="false">$M16*IF(OR($B16="V",$B16="AC"),'LABOUR RATES'!$C$27,'LABOUR RATES'!$C$12)</f>
        <v>0</v>
      </c>
      <c r="P16" s="40" t="n">
        <f aca="false">$L16+$N16+$O16</f>
        <v>0</v>
      </c>
      <c r="Q16" s="41" t="str">
        <f aca="false">IF($A16="","",IFERROR(SUMIFS('CRM ACTUALS'!$H$7:$H$2006,'CRM ACTUALS'!$D$7:$D$2006,$A16)/SUMIFS('CRM ACTUALS'!$F$7:$F$2006,'CRM ACTUALS'!$D$7:$D$2006,$A16),""))</f>
        <v/>
      </c>
      <c r="R16" s="28" t="str">
        <f aca="false">IF($A16="","",IFERROR(SUMIFS('CRM ACTUALS'!$J$7:$J$2006,'CRM ACTUALS'!$D$7:$D$2006,$A16)/SUMIFS('CRM ACTUALS'!$F$7:$F$2006,'CRM ACTUALS'!$D$7:$D$2006,$A16),""))</f>
        <v/>
      </c>
      <c r="S16" s="21" t="str">
        <f aca="false">IF(OR($Q16="",N($H16)=0),"",$H16/$Q16-1)</f>
        <v/>
      </c>
    </row>
    <row r="17" customFormat="false" ht="15" hidden="false" customHeight="false" outlineLevel="0" collapsed="false">
      <c r="A17" s="11" t="s">
        <v>244</v>
      </c>
      <c r="B17" s="11" t="s">
        <v>94</v>
      </c>
      <c r="C17" s="11" t="s">
        <v>145</v>
      </c>
      <c r="D17" s="11" t="s">
        <v>245</v>
      </c>
      <c r="E17" s="36"/>
      <c r="F17" s="11" t="s">
        <v>223</v>
      </c>
      <c r="G17" s="37" t="n">
        <v>990</v>
      </c>
      <c r="H17" s="38" t="n">
        <v>6</v>
      </c>
      <c r="I17" s="37"/>
      <c r="J17" s="36"/>
      <c r="K17" s="11" t="s">
        <v>224</v>
      </c>
      <c r="L17" s="29" t="n">
        <f aca="false">($E17*$G17+$I17)*(1+IF($K17="N",0,INPUTS!$C$23))</f>
        <v>0</v>
      </c>
      <c r="M17" s="39" t="n">
        <f aca="false">$E17*$H17+$J17</f>
        <v>0</v>
      </c>
      <c r="N17" s="29" t="n">
        <f aca="false">$M17*IF(OR($B17="V",$B17="AC"),'LABOUR RATES'!$E$26,'LABOUR RATES'!$E$11)</f>
        <v>0</v>
      </c>
      <c r="O17" s="29" t="n">
        <f aca="false">$M17*IF(OR($B17="V",$B17="AC"),'LABOUR RATES'!$C$27,'LABOUR RATES'!$C$12)</f>
        <v>0</v>
      </c>
      <c r="P17" s="40" t="n">
        <f aca="false">$L17+$N17+$O17</f>
        <v>0</v>
      </c>
      <c r="Q17" s="41" t="str">
        <f aca="false">IF($A17="","",IFERROR(SUMIFS('CRM ACTUALS'!$H$7:$H$2006,'CRM ACTUALS'!$D$7:$D$2006,$A17)/SUMIFS('CRM ACTUALS'!$F$7:$F$2006,'CRM ACTUALS'!$D$7:$D$2006,$A17),""))</f>
        <v/>
      </c>
      <c r="R17" s="28" t="str">
        <f aca="false">IF($A17="","",IFERROR(SUMIFS('CRM ACTUALS'!$J$7:$J$2006,'CRM ACTUALS'!$D$7:$D$2006,$A17)/SUMIFS('CRM ACTUALS'!$F$7:$F$2006,'CRM ACTUALS'!$D$7:$D$2006,$A17),""))</f>
        <v/>
      </c>
      <c r="S17" s="21" t="str">
        <f aca="false">IF(OR($Q17="",N($H17)=0),"",$H17/$Q17-1)</f>
        <v/>
      </c>
    </row>
    <row r="18" customFormat="false" ht="15" hidden="false" customHeight="false" outlineLevel="0" collapsed="false">
      <c r="A18" s="11" t="s">
        <v>246</v>
      </c>
      <c r="B18" s="11" t="s">
        <v>94</v>
      </c>
      <c r="C18" s="11" t="s">
        <v>145</v>
      </c>
      <c r="D18" s="11" t="s">
        <v>247</v>
      </c>
      <c r="E18" s="36"/>
      <c r="F18" s="11" t="s">
        <v>223</v>
      </c>
      <c r="G18" s="37" t="n">
        <v>1310</v>
      </c>
      <c r="H18" s="38" t="n">
        <v>6</v>
      </c>
      <c r="I18" s="37"/>
      <c r="J18" s="36"/>
      <c r="K18" s="11" t="s">
        <v>224</v>
      </c>
      <c r="L18" s="29" t="n">
        <f aca="false">($E18*$G18+$I18)*(1+IF($K18="N",0,INPUTS!$C$23))</f>
        <v>0</v>
      </c>
      <c r="M18" s="39" t="n">
        <f aca="false">$E18*$H18+$J18</f>
        <v>0</v>
      </c>
      <c r="N18" s="29" t="n">
        <f aca="false">$M18*IF(OR($B18="V",$B18="AC"),'LABOUR RATES'!$E$26,'LABOUR RATES'!$E$11)</f>
        <v>0</v>
      </c>
      <c r="O18" s="29" t="n">
        <f aca="false">$M18*IF(OR($B18="V",$B18="AC"),'LABOUR RATES'!$C$27,'LABOUR RATES'!$C$12)</f>
        <v>0</v>
      </c>
      <c r="P18" s="40" t="n">
        <f aca="false">$L18+$N18+$O18</f>
        <v>0</v>
      </c>
      <c r="Q18" s="41" t="str">
        <f aca="false">IF($A18="","",IFERROR(SUMIFS('CRM ACTUALS'!$H$7:$H$2006,'CRM ACTUALS'!$D$7:$D$2006,$A18)/SUMIFS('CRM ACTUALS'!$F$7:$F$2006,'CRM ACTUALS'!$D$7:$D$2006,$A18),""))</f>
        <v/>
      </c>
      <c r="R18" s="28" t="str">
        <f aca="false">IF($A18="","",IFERROR(SUMIFS('CRM ACTUALS'!$J$7:$J$2006,'CRM ACTUALS'!$D$7:$D$2006,$A18)/SUMIFS('CRM ACTUALS'!$F$7:$F$2006,'CRM ACTUALS'!$D$7:$D$2006,$A18),""))</f>
        <v/>
      </c>
      <c r="S18" s="21" t="str">
        <f aca="false">IF(OR($Q18="",N($H18)=0),"",$H18/$Q18-1)</f>
        <v/>
      </c>
    </row>
    <row r="19" customFormat="false" ht="15" hidden="false" customHeight="false" outlineLevel="0" collapsed="false">
      <c r="A19" s="11" t="s">
        <v>248</v>
      </c>
      <c r="B19" s="11" t="s">
        <v>94</v>
      </c>
      <c r="C19" s="11" t="s">
        <v>145</v>
      </c>
      <c r="D19" s="11" t="s">
        <v>249</v>
      </c>
      <c r="E19" s="36"/>
      <c r="F19" s="11" t="s">
        <v>223</v>
      </c>
      <c r="G19" s="37" t="n">
        <v>1460</v>
      </c>
      <c r="H19" s="38" t="n">
        <v>6</v>
      </c>
      <c r="I19" s="37"/>
      <c r="J19" s="36"/>
      <c r="K19" s="11" t="s">
        <v>224</v>
      </c>
      <c r="L19" s="29" t="n">
        <f aca="false">($E19*$G19+$I19)*(1+IF($K19="N",0,INPUTS!$C$23))</f>
        <v>0</v>
      </c>
      <c r="M19" s="39" t="n">
        <f aca="false">$E19*$H19+$J19</f>
        <v>0</v>
      </c>
      <c r="N19" s="29" t="n">
        <f aca="false">$M19*IF(OR($B19="V",$B19="AC"),'LABOUR RATES'!$E$26,'LABOUR RATES'!$E$11)</f>
        <v>0</v>
      </c>
      <c r="O19" s="29" t="n">
        <f aca="false">$M19*IF(OR($B19="V",$B19="AC"),'LABOUR RATES'!$C$27,'LABOUR RATES'!$C$12)</f>
        <v>0</v>
      </c>
      <c r="P19" s="40" t="n">
        <f aca="false">$L19+$N19+$O19</f>
        <v>0</v>
      </c>
      <c r="Q19" s="41" t="str">
        <f aca="false">IF($A19="","",IFERROR(SUMIFS('CRM ACTUALS'!$H$7:$H$2006,'CRM ACTUALS'!$D$7:$D$2006,$A19)/SUMIFS('CRM ACTUALS'!$F$7:$F$2006,'CRM ACTUALS'!$D$7:$D$2006,$A19),""))</f>
        <v/>
      </c>
      <c r="R19" s="28" t="str">
        <f aca="false">IF($A19="","",IFERROR(SUMIFS('CRM ACTUALS'!$J$7:$J$2006,'CRM ACTUALS'!$D$7:$D$2006,$A19)/SUMIFS('CRM ACTUALS'!$F$7:$F$2006,'CRM ACTUALS'!$D$7:$D$2006,$A19),""))</f>
        <v/>
      </c>
      <c r="S19" s="21" t="str">
        <f aca="false">IF(OR($Q19="",N($H19)=0),"",$H19/$Q19-1)</f>
        <v/>
      </c>
    </row>
    <row r="20" customFormat="false" ht="15" hidden="false" customHeight="false" outlineLevel="0" collapsed="false">
      <c r="A20" s="11" t="s">
        <v>250</v>
      </c>
      <c r="B20" s="11" t="s">
        <v>94</v>
      </c>
      <c r="C20" s="11" t="s">
        <v>145</v>
      </c>
      <c r="D20" s="11" t="s">
        <v>251</v>
      </c>
      <c r="E20" s="36"/>
      <c r="F20" s="11" t="s">
        <v>223</v>
      </c>
      <c r="G20" s="37" t="n">
        <v>280</v>
      </c>
      <c r="H20" s="38" t="n">
        <v>2</v>
      </c>
      <c r="I20" s="37"/>
      <c r="J20" s="36"/>
      <c r="K20" s="11" t="s">
        <v>224</v>
      </c>
      <c r="L20" s="29" t="n">
        <f aca="false">($E20*$G20+$I20)*(1+IF($K20="N",0,INPUTS!$C$23))</f>
        <v>0</v>
      </c>
      <c r="M20" s="39" t="n">
        <f aca="false">$E20*$H20+$J20</f>
        <v>0</v>
      </c>
      <c r="N20" s="29" t="n">
        <f aca="false">$M20*IF(OR($B20="V",$B20="AC"),'LABOUR RATES'!$E$26,'LABOUR RATES'!$E$11)</f>
        <v>0</v>
      </c>
      <c r="O20" s="29" t="n">
        <f aca="false">$M20*IF(OR($B20="V",$B20="AC"),'LABOUR RATES'!$C$27,'LABOUR RATES'!$C$12)</f>
        <v>0</v>
      </c>
      <c r="P20" s="40" t="n">
        <f aca="false">$L20+$N20+$O20</f>
        <v>0</v>
      </c>
      <c r="Q20" s="41" t="str">
        <f aca="false">IF($A20="","",IFERROR(SUMIFS('CRM ACTUALS'!$H$7:$H$2006,'CRM ACTUALS'!$D$7:$D$2006,$A20)/SUMIFS('CRM ACTUALS'!$F$7:$F$2006,'CRM ACTUALS'!$D$7:$D$2006,$A20),""))</f>
        <v/>
      </c>
      <c r="R20" s="28" t="str">
        <f aca="false">IF($A20="","",IFERROR(SUMIFS('CRM ACTUALS'!$J$7:$J$2006,'CRM ACTUALS'!$D$7:$D$2006,$A20)/SUMIFS('CRM ACTUALS'!$F$7:$F$2006,'CRM ACTUALS'!$D$7:$D$2006,$A20),""))</f>
        <v/>
      </c>
      <c r="S20" s="21" t="str">
        <f aca="false">IF(OR($Q20="",N($H20)=0),"",$H20/$Q20-1)</f>
        <v/>
      </c>
    </row>
    <row r="21" customFormat="false" ht="15" hidden="false" customHeight="false" outlineLevel="0" collapsed="false">
      <c r="A21" s="11" t="s">
        <v>252</v>
      </c>
      <c r="B21" s="11" t="s">
        <v>94</v>
      </c>
      <c r="C21" s="11" t="s">
        <v>145</v>
      </c>
      <c r="D21" s="11" t="s">
        <v>253</v>
      </c>
      <c r="E21" s="36"/>
      <c r="F21" s="11" t="s">
        <v>223</v>
      </c>
      <c r="G21" s="37" t="n">
        <v>240</v>
      </c>
      <c r="H21" s="38" t="n">
        <v>2</v>
      </c>
      <c r="I21" s="37"/>
      <c r="J21" s="36"/>
      <c r="K21" s="11" t="s">
        <v>224</v>
      </c>
      <c r="L21" s="29" t="n">
        <f aca="false">($E21*$G21+$I21)*(1+IF($K21="N",0,INPUTS!$C$23))</f>
        <v>0</v>
      </c>
      <c r="M21" s="39" t="n">
        <f aca="false">$E21*$H21+$J21</f>
        <v>0</v>
      </c>
      <c r="N21" s="29" t="n">
        <f aca="false">$M21*IF(OR($B21="V",$B21="AC"),'LABOUR RATES'!$E$26,'LABOUR RATES'!$E$11)</f>
        <v>0</v>
      </c>
      <c r="O21" s="29" t="n">
        <f aca="false">$M21*IF(OR($B21="V",$B21="AC"),'LABOUR RATES'!$C$27,'LABOUR RATES'!$C$12)</f>
        <v>0</v>
      </c>
      <c r="P21" s="40" t="n">
        <f aca="false">$L21+$N21+$O21</f>
        <v>0</v>
      </c>
      <c r="Q21" s="41" t="str">
        <f aca="false">IF($A21="","",IFERROR(SUMIFS('CRM ACTUALS'!$H$7:$H$2006,'CRM ACTUALS'!$D$7:$D$2006,$A21)/SUMIFS('CRM ACTUALS'!$F$7:$F$2006,'CRM ACTUALS'!$D$7:$D$2006,$A21),""))</f>
        <v/>
      </c>
      <c r="R21" s="28" t="str">
        <f aca="false">IF($A21="","",IFERROR(SUMIFS('CRM ACTUALS'!$J$7:$J$2006,'CRM ACTUALS'!$D$7:$D$2006,$A21)/SUMIFS('CRM ACTUALS'!$F$7:$F$2006,'CRM ACTUALS'!$D$7:$D$2006,$A21),""))</f>
        <v/>
      </c>
      <c r="S21" s="21" t="str">
        <f aca="false">IF(OR($Q21="",N($H21)=0),"",$H21/$Q21-1)</f>
        <v/>
      </c>
    </row>
    <row r="22" customFormat="false" ht="15" hidden="false" customHeight="false" outlineLevel="0" collapsed="false">
      <c r="A22" s="11" t="s">
        <v>254</v>
      </c>
      <c r="B22" s="11" t="s">
        <v>94</v>
      </c>
      <c r="C22" s="11" t="s">
        <v>145</v>
      </c>
      <c r="D22" s="11" t="s">
        <v>255</v>
      </c>
      <c r="E22" s="36"/>
      <c r="F22" s="11" t="s">
        <v>223</v>
      </c>
      <c r="G22" s="37" t="n">
        <v>250</v>
      </c>
      <c r="H22" s="38" t="n">
        <v>2</v>
      </c>
      <c r="I22" s="37"/>
      <c r="J22" s="36"/>
      <c r="K22" s="11" t="s">
        <v>224</v>
      </c>
      <c r="L22" s="29" t="n">
        <f aca="false">($E22*$G22+$I22)*(1+IF($K22="N",0,INPUTS!$C$23))</f>
        <v>0</v>
      </c>
      <c r="M22" s="39" t="n">
        <f aca="false">$E22*$H22+$J22</f>
        <v>0</v>
      </c>
      <c r="N22" s="29" t="n">
        <f aca="false">$M22*IF(OR($B22="V",$B22="AC"),'LABOUR RATES'!$E$26,'LABOUR RATES'!$E$11)</f>
        <v>0</v>
      </c>
      <c r="O22" s="29" t="n">
        <f aca="false">$M22*IF(OR($B22="V",$B22="AC"),'LABOUR RATES'!$C$27,'LABOUR RATES'!$C$12)</f>
        <v>0</v>
      </c>
      <c r="P22" s="40" t="n">
        <f aca="false">$L22+$N22+$O22</f>
        <v>0</v>
      </c>
      <c r="Q22" s="41" t="str">
        <f aca="false">IF($A22="","",IFERROR(SUMIFS('CRM ACTUALS'!$H$7:$H$2006,'CRM ACTUALS'!$D$7:$D$2006,$A22)/SUMIFS('CRM ACTUALS'!$F$7:$F$2006,'CRM ACTUALS'!$D$7:$D$2006,$A22),""))</f>
        <v/>
      </c>
      <c r="R22" s="28" t="str">
        <f aca="false">IF($A22="","",IFERROR(SUMIFS('CRM ACTUALS'!$J$7:$J$2006,'CRM ACTUALS'!$D$7:$D$2006,$A22)/SUMIFS('CRM ACTUALS'!$F$7:$F$2006,'CRM ACTUALS'!$D$7:$D$2006,$A22),""))</f>
        <v/>
      </c>
      <c r="S22" s="21" t="str">
        <f aca="false">IF(OR($Q22="",N($H22)=0),"",$H22/$Q22-1)</f>
        <v/>
      </c>
    </row>
    <row r="23" customFormat="false" ht="15" hidden="false" customHeight="false" outlineLevel="0" collapsed="false">
      <c r="A23" s="11" t="s">
        <v>256</v>
      </c>
      <c r="B23" s="11" t="s">
        <v>94</v>
      </c>
      <c r="C23" s="11" t="s">
        <v>145</v>
      </c>
      <c r="D23" s="11" t="s">
        <v>257</v>
      </c>
      <c r="E23" s="36"/>
      <c r="F23" s="11" t="s">
        <v>227</v>
      </c>
      <c r="G23" s="37"/>
      <c r="H23" s="38"/>
      <c r="I23" s="37"/>
      <c r="J23" s="36"/>
      <c r="K23" s="11" t="s">
        <v>224</v>
      </c>
      <c r="L23" s="29" t="n">
        <f aca="false">($E23*$G23+$I23)*(1+IF($K23="N",0,INPUTS!$C$23))</f>
        <v>0</v>
      </c>
      <c r="M23" s="39" t="n">
        <f aca="false">$E23*$H23+$J23</f>
        <v>0</v>
      </c>
      <c r="N23" s="29" t="n">
        <f aca="false">$M23*IF(OR($B23="V",$B23="AC"),'LABOUR RATES'!$E$26,'LABOUR RATES'!$E$11)</f>
        <v>0</v>
      </c>
      <c r="O23" s="29" t="n">
        <f aca="false">$M23*IF(OR($B23="V",$B23="AC"),'LABOUR RATES'!$C$27,'LABOUR RATES'!$C$12)</f>
        <v>0</v>
      </c>
      <c r="P23" s="40" t="n">
        <f aca="false">$L23+$N23+$O23</f>
        <v>0</v>
      </c>
      <c r="Q23" s="41" t="str">
        <f aca="false">IF($A23="","",IFERROR(SUMIFS('CRM ACTUALS'!$H$7:$H$2006,'CRM ACTUALS'!$D$7:$D$2006,$A23)/SUMIFS('CRM ACTUALS'!$F$7:$F$2006,'CRM ACTUALS'!$D$7:$D$2006,$A23),""))</f>
        <v/>
      </c>
      <c r="R23" s="28" t="str">
        <f aca="false">IF($A23="","",IFERROR(SUMIFS('CRM ACTUALS'!$J$7:$J$2006,'CRM ACTUALS'!$D$7:$D$2006,$A23)/SUMIFS('CRM ACTUALS'!$F$7:$F$2006,'CRM ACTUALS'!$D$7:$D$2006,$A23),""))</f>
        <v/>
      </c>
      <c r="S23" s="21" t="str">
        <f aca="false">IF(OR($Q23="",N($H23)=0),"",$H23/$Q23-1)</f>
        <v/>
      </c>
    </row>
    <row r="24" customFormat="false" ht="15" hidden="false" customHeight="false" outlineLevel="0" collapsed="false">
      <c r="A24" s="11" t="s">
        <v>258</v>
      </c>
      <c r="B24" s="11" t="s">
        <v>94</v>
      </c>
      <c r="C24" s="11" t="s">
        <v>145</v>
      </c>
      <c r="D24" s="11" t="s">
        <v>259</v>
      </c>
      <c r="E24" s="42" t="n">
        <v>123</v>
      </c>
      <c r="F24" s="11" t="s">
        <v>260</v>
      </c>
      <c r="G24" s="27" t="n">
        <v>800</v>
      </c>
      <c r="H24" s="43" t="n">
        <v>12</v>
      </c>
      <c r="I24" s="37"/>
      <c r="J24" s="36"/>
      <c r="K24" s="11" t="s">
        <v>224</v>
      </c>
      <c r="L24" s="29" t="n">
        <f aca="false">($E24*$G24+$I24)*(1+IF($K24="N",0,INPUTS!$C$23))</f>
        <v>105288</v>
      </c>
      <c r="M24" s="39" t="n">
        <f aca="false">$E24*$H24+$J24</f>
        <v>1476</v>
      </c>
      <c r="N24" s="29" t="n">
        <f aca="false">$M24*IF(OR($B24="V",$B24="AC"),'LABOUR RATES'!$E$26,'LABOUR RATES'!$E$11)</f>
        <v>95563.62</v>
      </c>
      <c r="O24" s="29" t="n">
        <f aca="false">$M24*IF(OR($B24="V",$B24="AC"),'LABOUR RATES'!$C$27,'LABOUR RATES'!$C$12)</f>
        <v>32472</v>
      </c>
      <c r="P24" s="40" t="n">
        <f aca="false">$L24+$N24+$O24</f>
        <v>233323.62</v>
      </c>
      <c r="Q24" s="41" t="str">
        <f aca="false">IF($A24="","",IFERROR(SUMIFS('CRM ACTUALS'!$H$7:$H$2006,'CRM ACTUALS'!$D$7:$D$2006,$A24)/SUMIFS('CRM ACTUALS'!$F$7:$F$2006,'CRM ACTUALS'!$D$7:$D$2006,$A24),""))</f>
        <v/>
      </c>
      <c r="R24" s="28" t="str">
        <f aca="false">IF($A24="","",IFERROR(SUMIFS('CRM ACTUALS'!$J$7:$J$2006,'CRM ACTUALS'!$D$7:$D$2006,$A24)/SUMIFS('CRM ACTUALS'!$F$7:$F$2006,'CRM ACTUALS'!$D$7:$D$2006,$A24),""))</f>
        <v/>
      </c>
      <c r="S24" s="21" t="str">
        <f aca="false">IF(OR($Q24="",N($H24)=0),"",$H24/$Q24-1)</f>
        <v/>
      </c>
    </row>
    <row r="25" customFormat="false" ht="15" hidden="false" customHeight="false" outlineLevel="0" collapsed="false">
      <c r="A25" s="11" t="s">
        <v>261</v>
      </c>
      <c r="B25" s="11" t="s">
        <v>94</v>
      </c>
      <c r="C25" s="11" t="s">
        <v>145</v>
      </c>
      <c r="D25" s="11" t="s">
        <v>262</v>
      </c>
      <c r="E25" s="36"/>
      <c r="F25" s="11" t="s">
        <v>263</v>
      </c>
      <c r="G25" s="37"/>
      <c r="H25" s="38"/>
      <c r="I25" s="37"/>
      <c r="J25" s="36"/>
      <c r="K25" s="11" t="s">
        <v>224</v>
      </c>
      <c r="L25" s="29" t="n">
        <f aca="false">($E25*$G25+$I25)*(1+IF($K25="N",0,INPUTS!$C$23))</f>
        <v>0</v>
      </c>
      <c r="M25" s="39" t="n">
        <f aca="false">$E25*$H25+$J25</f>
        <v>0</v>
      </c>
      <c r="N25" s="29" t="n">
        <f aca="false">$M25*IF(OR($B25="V",$B25="AC"),'LABOUR RATES'!$E$26,'LABOUR RATES'!$E$11)</f>
        <v>0</v>
      </c>
      <c r="O25" s="29" t="n">
        <f aca="false">$M25*IF(OR($B25="V",$B25="AC"),'LABOUR RATES'!$C$27,'LABOUR RATES'!$C$12)</f>
        <v>0</v>
      </c>
      <c r="P25" s="40" t="n">
        <f aca="false">$L25+$N25+$O25</f>
        <v>0</v>
      </c>
      <c r="Q25" s="41" t="str">
        <f aca="false">IF($A25="","",IFERROR(SUMIFS('CRM ACTUALS'!$H$7:$H$2006,'CRM ACTUALS'!$D$7:$D$2006,$A25)/SUMIFS('CRM ACTUALS'!$F$7:$F$2006,'CRM ACTUALS'!$D$7:$D$2006,$A25),""))</f>
        <v/>
      </c>
      <c r="R25" s="28" t="str">
        <f aca="false">IF($A25="","",IFERROR(SUMIFS('CRM ACTUALS'!$J$7:$J$2006,'CRM ACTUALS'!$D$7:$D$2006,$A25)/SUMIFS('CRM ACTUALS'!$F$7:$F$2006,'CRM ACTUALS'!$D$7:$D$2006,$A25),""))</f>
        <v/>
      </c>
      <c r="S25" s="21" t="str">
        <f aca="false">IF(OR($Q25="",N($H25)=0),"",$H25/$Q25-1)</f>
        <v/>
      </c>
    </row>
    <row r="26" customFormat="false" ht="15" hidden="false" customHeight="false" outlineLevel="0" collapsed="false">
      <c r="A26" s="11" t="s">
        <v>264</v>
      </c>
      <c r="B26" s="11" t="s">
        <v>94</v>
      </c>
      <c r="C26" s="11" t="s">
        <v>145</v>
      </c>
      <c r="D26" s="11" t="s">
        <v>265</v>
      </c>
      <c r="E26" s="36"/>
      <c r="F26" s="11" t="s">
        <v>263</v>
      </c>
      <c r="G26" s="37"/>
      <c r="H26" s="38"/>
      <c r="I26" s="37"/>
      <c r="J26" s="36"/>
      <c r="K26" s="11" t="s">
        <v>224</v>
      </c>
      <c r="L26" s="29" t="n">
        <f aca="false">($E26*$G26+$I26)*(1+IF($K26="N",0,INPUTS!$C$23))</f>
        <v>0</v>
      </c>
      <c r="M26" s="39" t="n">
        <f aca="false">$E26*$H26+$J26</f>
        <v>0</v>
      </c>
      <c r="N26" s="29" t="n">
        <f aca="false">$M26*IF(OR($B26="V",$B26="AC"),'LABOUR RATES'!$E$26,'LABOUR RATES'!$E$11)</f>
        <v>0</v>
      </c>
      <c r="O26" s="29" t="n">
        <f aca="false">$M26*IF(OR($B26="V",$B26="AC"),'LABOUR RATES'!$C$27,'LABOUR RATES'!$C$12)</f>
        <v>0</v>
      </c>
      <c r="P26" s="40" t="n">
        <f aca="false">$L26+$N26+$O26</f>
        <v>0</v>
      </c>
      <c r="Q26" s="41" t="str">
        <f aca="false">IF($A26="","",IFERROR(SUMIFS('CRM ACTUALS'!$H$7:$H$2006,'CRM ACTUALS'!$D$7:$D$2006,$A26)/SUMIFS('CRM ACTUALS'!$F$7:$F$2006,'CRM ACTUALS'!$D$7:$D$2006,$A26),""))</f>
        <v/>
      </c>
      <c r="R26" s="28" t="str">
        <f aca="false">IF($A26="","",IFERROR(SUMIFS('CRM ACTUALS'!$J$7:$J$2006,'CRM ACTUALS'!$D$7:$D$2006,$A26)/SUMIFS('CRM ACTUALS'!$F$7:$F$2006,'CRM ACTUALS'!$D$7:$D$2006,$A26),""))</f>
        <v/>
      </c>
      <c r="S26" s="21" t="str">
        <f aca="false">IF(OR($Q26="",N($H26)=0),"",$H26/$Q26-1)</f>
        <v/>
      </c>
    </row>
    <row r="27" customFormat="false" ht="15" hidden="false" customHeight="false" outlineLevel="0" collapsed="false">
      <c r="A27" s="11" t="s">
        <v>266</v>
      </c>
      <c r="B27" s="11" t="s">
        <v>94</v>
      </c>
      <c r="C27" s="11" t="s">
        <v>145</v>
      </c>
      <c r="D27" s="11" t="s">
        <v>267</v>
      </c>
      <c r="E27" s="36"/>
      <c r="F27" s="11" t="s">
        <v>263</v>
      </c>
      <c r="G27" s="37"/>
      <c r="H27" s="38"/>
      <c r="I27" s="37"/>
      <c r="J27" s="36"/>
      <c r="K27" s="11" t="s">
        <v>224</v>
      </c>
      <c r="L27" s="29" t="n">
        <f aca="false">($E27*$G27+$I27)*(1+IF($K27="N",0,INPUTS!$C$23))</f>
        <v>0</v>
      </c>
      <c r="M27" s="39" t="n">
        <f aca="false">$E27*$H27+$J27</f>
        <v>0</v>
      </c>
      <c r="N27" s="29" t="n">
        <f aca="false">$M27*IF(OR($B27="V",$B27="AC"),'LABOUR RATES'!$E$26,'LABOUR RATES'!$E$11)</f>
        <v>0</v>
      </c>
      <c r="O27" s="29" t="n">
        <f aca="false">$M27*IF(OR($B27="V",$B27="AC"),'LABOUR RATES'!$C$27,'LABOUR RATES'!$C$12)</f>
        <v>0</v>
      </c>
      <c r="P27" s="40" t="n">
        <f aca="false">$L27+$N27+$O27</f>
        <v>0</v>
      </c>
      <c r="Q27" s="41" t="str">
        <f aca="false">IF($A27="","",IFERROR(SUMIFS('CRM ACTUALS'!$H$7:$H$2006,'CRM ACTUALS'!$D$7:$D$2006,$A27)/SUMIFS('CRM ACTUALS'!$F$7:$F$2006,'CRM ACTUALS'!$D$7:$D$2006,$A27),""))</f>
        <v/>
      </c>
      <c r="R27" s="28" t="str">
        <f aca="false">IF($A27="","",IFERROR(SUMIFS('CRM ACTUALS'!$J$7:$J$2006,'CRM ACTUALS'!$D$7:$D$2006,$A27)/SUMIFS('CRM ACTUALS'!$F$7:$F$2006,'CRM ACTUALS'!$D$7:$D$2006,$A27),""))</f>
        <v/>
      </c>
      <c r="S27" s="21" t="str">
        <f aca="false">IF(OR($Q27="",N($H27)=0),"",$H27/$Q27-1)</f>
        <v/>
      </c>
    </row>
    <row r="28" customFormat="false" ht="15" hidden="false" customHeight="false" outlineLevel="0" collapsed="false">
      <c r="A28" s="11" t="s">
        <v>268</v>
      </c>
      <c r="B28" s="11" t="s">
        <v>94</v>
      </c>
      <c r="C28" s="11" t="s">
        <v>145</v>
      </c>
      <c r="D28" s="11" t="s">
        <v>269</v>
      </c>
      <c r="E28" s="36"/>
      <c r="F28" s="11" t="s">
        <v>223</v>
      </c>
      <c r="G28" s="37"/>
      <c r="H28" s="38"/>
      <c r="I28" s="37"/>
      <c r="J28" s="36"/>
      <c r="K28" s="11" t="s">
        <v>224</v>
      </c>
      <c r="L28" s="29" t="n">
        <f aca="false">($E28*$G28+$I28)*(1+IF($K28="N",0,INPUTS!$C$23))</f>
        <v>0</v>
      </c>
      <c r="M28" s="39" t="n">
        <f aca="false">$E28*$H28+$J28</f>
        <v>0</v>
      </c>
      <c r="N28" s="29" t="n">
        <f aca="false">$M28*IF(OR($B28="V",$B28="AC"),'LABOUR RATES'!$E$26,'LABOUR RATES'!$E$11)</f>
        <v>0</v>
      </c>
      <c r="O28" s="29" t="n">
        <f aca="false">$M28*IF(OR($B28="V",$B28="AC"),'LABOUR RATES'!$C$27,'LABOUR RATES'!$C$12)</f>
        <v>0</v>
      </c>
      <c r="P28" s="40" t="n">
        <f aca="false">$L28+$N28+$O28</f>
        <v>0</v>
      </c>
      <c r="Q28" s="41" t="str">
        <f aca="false">IF($A28="","",IFERROR(SUMIFS('CRM ACTUALS'!$H$7:$H$2006,'CRM ACTUALS'!$D$7:$D$2006,$A28)/SUMIFS('CRM ACTUALS'!$F$7:$F$2006,'CRM ACTUALS'!$D$7:$D$2006,$A28),""))</f>
        <v/>
      </c>
      <c r="R28" s="28" t="str">
        <f aca="false">IF($A28="","",IFERROR(SUMIFS('CRM ACTUALS'!$J$7:$J$2006,'CRM ACTUALS'!$D$7:$D$2006,$A28)/SUMIFS('CRM ACTUALS'!$F$7:$F$2006,'CRM ACTUALS'!$D$7:$D$2006,$A28),""))</f>
        <v/>
      </c>
      <c r="S28" s="21" t="str">
        <f aca="false">IF(OR($Q28="",N($H28)=0),"",$H28/$Q28-1)</f>
        <v/>
      </c>
    </row>
    <row r="29" customFormat="false" ht="15" hidden="false" customHeight="false" outlineLevel="0" collapsed="false">
      <c r="A29" s="11" t="s">
        <v>270</v>
      </c>
      <c r="B29" s="11" t="s">
        <v>94</v>
      </c>
      <c r="C29" s="11" t="s">
        <v>145</v>
      </c>
      <c r="D29" s="11" t="s">
        <v>271</v>
      </c>
      <c r="E29" s="36"/>
      <c r="F29" s="11" t="s">
        <v>263</v>
      </c>
      <c r="G29" s="37"/>
      <c r="H29" s="38"/>
      <c r="I29" s="37"/>
      <c r="J29" s="36"/>
      <c r="K29" s="11" t="s">
        <v>224</v>
      </c>
      <c r="L29" s="29" t="n">
        <f aca="false">($E29*$G29+$I29)*(1+IF($K29="N",0,INPUTS!$C$23))</f>
        <v>0</v>
      </c>
      <c r="M29" s="39" t="n">
        <f aca="false">$E29*$H29+$J29</f>
        <v>0</v>
      </c>
      <c r="N29" s="29" t="n">
        <f aca="false">$M29*IF(OR($B29="V",$B29="AC"),'LABOUR RATES'!$E$26,'LABOUR RATES'!$E$11)</f>
        <v>0</v>
      </c>
      <c r="O29" s="29" t="n">
        <f aca="false">$M29*IF(OR($B29="V",$B29="AC"),'LABOUR RATES'!$C$27,'LABOUR RATES'!$C$12)</f>
        <v>0</v>
      </c>
      <c r="P29" s="40" t="n">
        <f aca="false">$L29+$N29+$O29</f>
        <v>0</v>
      </c>
      <c r="Q29" s="41" t="str">
        <f aca="false">IF($A29="","",IFERROR(SUMIFS('CRM ACTUALS'!$H$7:$H$2006,'CRM ACTUALS'!$D$7:$D$2006,$A29)/SUMIFS('CRM ACTUALS'!$F$7:$F$2006,'CRM ACTUALS'!$D$7:$D$2006,$A29),""))</f>
        <v/>
      </c>
      <c r="R29" s="28" t="str">
        <f aca="false">IF($A29="","",IFERROR(SUMIFS('CRM ACTUALS'!$J$7:$J$2006,'CRM ACTUALS'!$D$7:$D$2006,$A29)/SUMIFS('CRM ACTUALS'!$F$7:$F$2006,'CRM ACTUALS'!$D$7:$D$2006,$A29),""))</f>
        <v/>
      </c>
      <c r="S29" s="21" t="str">
        <f aca="false">IF(OR($Q29="",N($H29)=0),"",$H29/$Q29-1)</f>
        <v/>
      </c>
    </row>
    <row r="30" customFormat="false" ht="15" hidden="false" customHeight="false" outlineLevel="0" collapsed="false">
      <c r="A30" s="11" t="s">
        <v>272</v>
      </c>
      <c r="B30" s="11" t="s">
        <v>94</v>
      </c>
      <c r="C30" s="11" t="s">
        <v>145</v>
      </c>
      <c r="D30" s="11" t="s">
        <v>273</v>
      </c>
      <c r="E30" s="36"/>
      <c r="F30" s="11" t="s">
        <v>223</v>
      </c>
      <c r="G30" s="37"/>
      <c r="H30" s="38"/>
      <c r="I30" s="37"/>
      <c r="J30" s="36"/>
      <c r="K30" s="11" t="s">
        <v>224</v>
      </c>
      <c r="L30" s="29" t="n">
        <f aca="false">($E30*$G30+$I30)*(1+IF($K30="N",0,INPUTS!$C$23))</f>
        <v>0</v>
      </c>
      <c r="M30" s="39" t="n">
        <f aca="false">$E30*$H30+$J30</f>
        <v>0</v>
      </c>
      <c r="N30" s="29" t="n">
        <f aca="false">$M30*IF(OR($B30="V",$B30="AC"),'LABOUR RATES'!$E$26,'LABOUR RATES'!$E$11)</f>
        <v>0</v>
      </c>
      <c r="O30" s="29" t="n">
        <f aca="false">$M30*IF(OR($B30="V",$B30="AC"),'LABOUR RATES'!$C$27,'LABOUR RATES'!$C$12)</f>
        <v>0</v>
      </c>
      <c r="P30" s="40" t="n">
        <f aca="false">$L30+$N30+$O30</f>
        <v>0</v>
      </c>
      <c r="Q30" s="41" t="str">
        <f aca="false">IF($A30="","",IFERROR(SUMIFS('CRM ACTUALS'!$H$7:$H$2006,'CRM ACTUALS'!$D$7:$D$2006,$A30)/SUMIFS('CRM ACTUALS'!$F$7:$F$2006,'CRM ACTUALS'!$D$7:$D$2006,$A30),""))</f>
        <v/>
      </c>
      <c r="R30" s="28" t="str">
        <f aca="false">IF($A30="","",IFERROR(SUMIFS('CRM ACTUALS'!$J$7:$J$2006,'CRM ACTUALS'!$D$7:$D$2006,$A30)/SUMIFS('CRM ACTUALS'!$F$7:$F$2006,'CRM ACTUALS'!$D$7:$D$2006,$A30),""))</f>
        <v/>
      </c>
      <c r="S30" s="21" t="str">
        <f aca="false">IF(OR($Q30="",N($H30)=0),"",$H30/$Q30-1)</f>
        <v/>
      </c>
    </row>
    <row r="31" customFormat="false" ht="15" hidden="false" customHeight="false" outlineLevel="0" collapsed="false">
      <c r="A31" s="11" t="s">
        <v>274</v>
      </c>
      <c r="B31" s="11" t="s">
        <v>94</v>
      </c>
      <c r="C31" s="11" t="s">
        <v>145</v>
      </c>
      <c r="D31" s="11" t="s">
        <v>275</v>
      </c>
      <c r="E31" s="36"/>
      <c r="F31" s="11" t="s">
        <v>263</v>
      </c>
      <c r="G31" s="37"/>
      <c r="H31" s="38"/>
      <c r="I31" s="37"/>
      <c r="J31" s="36"/>
      <c r="K31" s="11" t="s">
        <v>224</v>
      </c>
      <c r="L31" s="29" t="n">
        <f aca="false">($E31*$G31+$I31)*(1+IF($K31="N",0,INPUTS!$C$23))</f>
        <v>0</v>
      </c>
      <c r="M31" s="39" t="n">
        <f aca="false">$E31*$H31+$J31</f>
        <v>0</v>
      </c>
      <c r="N31" s="29" t="n">
        <f aca="false">$M31*IF(OR($B31="V",$B31="AC"),'LABOUR RATES'!$E$26,'LABOUR RATES'!$E$11)</f>
        <v>0</v>
      </c>
      <c r="O31" s="29" t="n">
        <f aca="false">$M31*IF(OR($B31="V",$B31="AC"),'LABOUR RATES'!$C$27,'LABOUR RATES'!$C$12)</f>
        <v>0</v>
      </c>
      <c r="P31" s="40" t="n">
        <f aca="false">$L31+$N31+$O31</f>
        <v>0</v>
      </c>
      <c r="Q31" s="41" t="str">
        <f aca="false">IF($A31="","",IFERROR(SUMIFS('CRM ACTUALS'!$H$7:$H$2006,'CRM ACTUALS'!$D$7:$D$2006,$A31)/SUMIFS('CRM ACTUALS'!$F$7:$F$2006,'CRM ACTUALS'!$D$7:$D$2006,$A31),""))</f>
        <v/>
      </c>
      <c r="R31" s="28" t="str">
        <f aca="false">IF($A31="","",IFERROR(SUMIFS('CRM ACTUALS'!$J$7:$J$2006,'CRM ACTUALS'!$D$7:$D$2006,$A31)/SUMIFS('CRM ACTUALS'!$F$7:$F$2006,'CRM ACTUALS'!$D$7:$D$2006,$A31),""))</f>
        <v/>
      </c>
      <c r="S31" s="21" t="str">
        <f aca="false">IF(OR($Q31="",N($H31)=0),"",$H31/$Q31-1)</f>
        <v/>
      </c>
    </row>
    <row r="32" customFormat="false" ht="15" hidden="false" customHeight="false" outlineLevel="0" collapsed="false">
      <c r="A32" s="11" t="s">
        <v>276</v>
      </c>
      <c r="B32" s="11" t="s">
        <v>94</v>
      </c>
      <c r="C32" s="11" t="s">
        <v>145</v>
      </c>
      <c r="D32" s="11" t="s">
        <v>277</v>
      </c>
      <c r="E32" s="36"/>
      <c r="F32" s="11" t="s">
        <v>263</v>
      </c>
      <c r="G32" s="37"/>
      <c r="H32" s="38"/>
      <c r="I32" s="37"/>
      <c r="J32" s="36"/>
      <c r="K32" s="11" t="s">
        <v>224</v>
      </c>
      <c r="L32" s="29" t="n">
        <f aca="false">($E32*$G32+$I32)*(1+IF($K32="N",0,INPUTS!$C$23))</f>
        <v>0</v>
      </c>
      <c r="M32" s="39" t="n">
        <f aca="false">$E32*$H32+$J32</f>
        <v>0</v>
      </c>
      <c r="N32" s="29" t="n">
        <f aca="false">$M32*IF(OR($B32="V",$B32="AC"),'LABOUR RATES'!$E$26,'LABOUR RATES'!$E$11)</f>
        <v>0</v>
      </c>
      <c r="O32" s="29" t="n">
        <f aca="false">$M32*IF(OR($B32="V",$B32="AC"),'LABOUR RATES'!$C$27,'LABOUR RATES'!$C$12)</f>
        <v>0</v>
      </c>
      <c r="P32" s="40" t="n">
        <f aca="false">$L32+$N32+$O32</f>
        <v>0</v>
      </c>
      <c r="Q32" s="41" t="str">
        <f aca="false">IF($A32="","",IFERROR(SUMIFS('CRM ACTUALS'!$H$7:$H$2006,'CRM ACTUALS'!$D$7:$D$2006,$A32)/SUMIFS('CRM ACTUALS'!$F$7:$F$2006,'CRM ACTUALS'!$D$7:$D$2006,$A32),""))</f>
        <v/>
      </c>
      <c r="R32" s="28" t="str">
        <f aca="false">IF($A32="","",IFERROR(SUMIFS('CRM ACTUALS'!$J$7:$J$2006,'CRM ACTUALS'!$D$7:$D$2006,$A32)/SUMIFS('CRM ACTUALS'!$F$7:$F$2006,'CRM ACTUALS'!$D$7:$D$2006,$A32),""))</f>
        <v/>
      </c>
      <c r="S32" s="21" t="str">
        <f aca="false">IF(OR($Q32="",N($H32)=0),"",$H32/$Q32-1)</f>
        <v/>
      </c>
    </row>
    <row r="33" customFormat="false" ht="15" hidden="false" customHeight="false" outlineLevel="0" collapsed="false">
      <c r="A33" s="11" t="s">
        <v>278</v>
      </c>
      <c r="B33" s="11" t="s">
        <v>94</v>
      </c>
      <c r="C33" s="11" t="s">
        <v>146</v>
      </c>
      <c r="D33" s="11" t="s">
        <v>279</v>
      </c>
      <c r="E33" s="36"/>
      <c r="F33" s="11" t="s">
        <v>223</v>
      </c>
      <c r="G33" s="37"/>
      <c r="H33" s="38"/>
      <c r="I33" s="37"/>
      <c r="J33" s="36"/>
      <c r="K33" s="11" t="s">
        <v>224</v>
      </c>
      <c r="L33" s="29" t="n">
        <f aca="false">($E33*$G33+$I33)*(1+IF($K33="N",0,INPUTS!$C$23))</f>
        <v>0</v>
      </c>
      <c r="M33" s="39" t="n">
        <f aca="false">$E33*$H33+$J33</f>
        <v>0</v>
      </c>
      <c r="N33" s="29" t="n">
        <f aca="false">$M33*IF(OR($B33="V",$B33="AC"),'LABOUR RATES'!$E$26,'LABOUR RATES'!$E$11)</f>
        <v>0</v>
      </c>
      <c r="O33" s="29" t="n">
        <f aca="false">$M33*IF(OR($B33="V",$B33="AC"),'LABOUR RATES'!$C$27,'LABOUR RATES'!$C$12)</f>
        <v>0</v>
      </c>
      <c r="P33" s="40" t="n">
        <f aca="false">$L33+$N33+$O33</f>
        <v>0</v>
      </c>
      <c r="Q33" s="41" t="str">
        <f aca="false">IF($A33="","",IFERROR(SUMIFS('CRM ACTUALS'!$H$7:$H$2006,'CRM ACTUALS'!$D$7:$D$2006,$A33)/SUMIFS('CRM ACTUALS'!$F$7:$F$2006,'CRM ACTUALS'!$D$7:$D$2006,$A33),""))</f>
        <v/>
      </c>
      <c r="R33" s="28" t="str">
        <f aca="false">IF($A33="","",IFERROR(SUMIFS('CRM ACTUALS'!$J$7:$J$2006,'CRM ACTUALS'!$D$7:$D$2006,$A33)/SUMIFS('CRM ACTUALS'!$F$7:$F$2006,'CRM ACTUALS'!$D$7:$D$2006,$A33),""))</f>
        <v/>
      </c>
      <c r="S33" s="21" t="str">
        <f aca="false">IF(OR($Q33="",N($H33)=0),"",$H33/$Q33-1)</f>
        <v/>
      </c>
    </row>
    <row r="34" customFormat="false" ht="15" hidden="false" customHeight="false" outlineLevel="0" collapsed="false">
      <c r="A34" s="11" t="s">
        <v>280</v>
      </c>
      <c r="B34" s="11" t="s">
        <v>94</v>
      </c>
      <c r="C34" s="11" t="s">
        <v>146</v>
      </c>
      <c r="D34" s="11" t="s">
        <v>281</v>
      </c>
      <c r="E34" s="36"/>
      <c r="F34" s="11" t="s">
        <v>223</v>
      </c>
      <c r="G34" s="37"/>
      <c r="H34" s="38"/>
      <c r="I34" s="37"/>
      <c r="J34" s="36"/>
      <c r="K34" s="11" t="s">
        <v>224</v>
      </c>
      <c r="L34" s="29" t="n">
        <f aca="false">($E34*$G34+$I34)*(1+IF($K34="N",0,INPUTS!$C$23))</f>
        <v>0</v>
      </c>
      <c r="M34" s="39" t="n">
        <f aca="false">$E34*$H34+$J34</f>
        <v>0</v>
      </c>
      <c r="N34" s="29" t="n">
        <f aca="false">$M34*IF(OR($B34="V",$B34="AC"),'LABOUR RATES'!$E$26,'LABOUR RATES'!$E$11)</f>
        <v>0</v>
      </c>
      <c r="O34" s="29" t="n">
        <f aca="false">$M34*IF(OR($B34="V",$B34="AC"),'LABOUR RATES'!$C$27,'LABOUR RATES'!$C$12)</f>
        <v>0</v>
      </c>
      <c r="P34" s="40" t="n">
        <f aca="false">$L34+$N34+$O34</f>
        <v>0</v>
      </c>
      <c r="Q34" s="41" t="str">
        <f aca="false">IF($A34="","",IFERROR(SUMIFS('CRM ACTUALS'!$H$7:$H$2006,'CRM ACTUALS'!$D$7:$D$2006,$A34)/SUMIFS('CRM ACTUALS'!$F$7:$F$2006,'CRM ACTUALS'!$D$7:$D$2006,$A34),""))</f>
        <v/>
      </c>
      <c r="R34" s="28" t="str">
        <f aca="false">IF($A34="","",IFERROR(SUMIFS('CRM ACTUALS'!$J$7:$J$2006,'CRM ACTUALS'!$D$7:$D$2006,$A34)/SUMIFS('CRM ACTUALS'!$F$7:$F$2006,'CRM ACTUALS'!$D$7:$D$2006,$A34),""))</f>
        <v/>
      </c>
      <c r="S34" s="21" t="str">
        <f aca="false">IF(OR($Q34="",N($H34)=0),"",$H34/$Q34-1)</f>
        <v/>
      </c>
    </row>
    <row r="35" customFormat="false" ht="15" hidden="false" customHeight="false" outlineLevel="0" collapsed="false">
      <c r="A35" s="11" t="s">
        <v>282</v>
      </c>
      <c r="B35" s="11" t="s">
        <v>94</v>
      </c>
      <c r="C35" s="11" t="s">
        <v>146</v>
      </c>
      <c r="D35" s="11" t="s">
        <v>283</v>
      </c>
      <c r="E35" s="36"/>
      <c r="F35" s="11" t="s">
        <v>263</v>
      </c>
      <c r="G35" s="37"/>
      <c r="H35" s="38"/>
      <c r="I35" s="37"/>
      <c r="J35" s="36"/>
      <c r="K35" s="11" t="s">
        <v>224</v>
      </c>
      <c r="L35" s="29" t="n">
        <f aca="false">($E35*$G35+$I35)*(1+IF($K35="N",0,INPUTS!$C$23))</f>
        <v>0</v>
      </c>
      <c r="M35" s="39" t="n">
        <f aca="false">$E35*$H35+$J35</f>
        <v>0</v>
      </c>
      <c r="N35" s="29" t="n">
        <f aca="false">$M35*IF(OR($B35="V",$B35="AC"),'LABOUR RATES'!$E$26,'LABOUR RATES'!$E$11)</f>
        <v>0</v>
      </c>
      <c r="O35" s="29" t="n">
        <f aca="false">$M35*IF(OR($B35="V",$B35="AC"),'LABOUR RATES'!$C$27,'LABOUR RATES'!$C$12)</f>
        <v>0</v>
      </c>
      <c r="P35" s="40" t="n">
        <f aca="false">$L35+$N35+$O35</f>
        <v>0</v>
      </c>
      <c r="Q35" s="41" t="str">
        <f aca="false">IF($A35="","",IFERROR(SUMIFS('CRM ACTUALS'!$H$7:$H$2006,'CRM ACTUALS'!$D$7:$D$2006,$A35)/SUMIFS('CRM ACTUALS'!$F$7:$F$2006,'CRM ACTUALS'!$D$7:$D$2006,$A35),""))</f>
        <v/>
      </c>
      <c r="R35" s="28" t="str">
        <f aca="false">IF($A35="","",IFERROR(SUMIFS('CRM ACTUALS'!$J$7:$J$2006,'CRM ACTUALS'!$D$7:$D$2006,$A35)/SUMIFS('CRM ACTUALS'!$F$7:$F$2006,'CRM ACTUALS'!$D$7:$D$2006,$A35),""))</f>
        <v/>
      </c>
      <c r="S35" s="21" t="str">
        <f aca="false">IF(OR($Q35="",N($H35)=0),"",$H35/$Q35-1)</f>
        <v/>
      </c>
    </row>
    <row r="36" customFormat="false" ht="15" hidden="false" customHeight="false" outlineLevel="0" collapsed="false">
      <c r="A36" s="11" t="s">
        <v>284</v>
      </c>
      <c r="B36" s="11" t="s">
        <v>94</v>
      </c>
      <c r="C36" s="11" t="s">
        <v>147</v>
      </c>
      <c r="D36" s="11" t="s">
        <v>285</v>
      </c>
      <c r="E36" s="36"/>
      <c r="F36" s="11" t="s">
        <v>263</v>
      </c>
      <c r="G36" s="37"/>
      <c r="H36" s="38"/>
      <c r="I36" s="37"/>
      <c r="J36" s="36"/>
      <c r="K36" s="11" t="s">
        <v>224</v>
      </c>
      <c r="L36" s="29" t="n">
        <f aca="false">($E36*$G36+$I36)*(1+IF($K36="N",0,INPUTS!$C$23))</f>
        <v>0</v>
      </c>
      <c r="M36" s="39" t="n">
        <f aca="false">$E36*$H36+$J36</f>
        <v>0</v>
      </c>
      <c r="N36" s="29" t="n">
        <f aca="false">$M36*IF(OR($B36="V",$B36="AC"),'LABOUR RATES'!$E$26,'LABOUR RATES'!$E$11)</f>
        <v>0</v>
      </c>
      <c r="O36" s="29" t="n">
        <f aca="false">$M36*IF(OR($B36="V",$B36="AC"),'LABOUR RATES'!$C$27,'LABOUR RATES'!$C$12)</f>
        <v>0</v>
      </c>
      <c r="P36" s="40" t="n">
        <f aca="false">$L36+$N36+$O36</f>
        <v>0</v>
      </c>
      <c r="Q36" s="41" t="str">
        <f aca="false">IF($A36="","",IFERROR(SUMIFS('CRM ACTUALS'!$H$7:$H$2006,'CRM ACTUALS'!$D$7:$D$2006,$A36)/SUMIFS('CRM ACTUALS'!$F$7:$F$2006,'CRM ACTUALS'!$D$7:$D$2006,$A36),""))</f>
        <v/>
      </c>
      <c r="R36" s="28" t="str">
        <f aca="false">IF($A36="","",IFERROR(SUMIFS('CRM ACTUALS'!$J$7:$J$2006,'CRM ACTUALS'!$D$7:$D$2006,$A36)/SUMIFS('CRM ACTUALS'!$F$7:$F$2006,'CRM ACTUALS'!$D$7:$D$2006,$A36),""))</f>
        <v/>
      </c>
      <c r="S36" s="21" t="str">
        <f aca="false">IF(OR($Q36="",N($H36)=0),"",$H36/$Q36-1)</f>
        <v/>
      </c>
    </row>
    <row r="37" customFormat="false" ht="15" hidden="false" customHeight="false" outlineLevel="0" collapsed="false">
      <c r="A37" s="11" t="s">
        <v>286</v>
      </c>
      <c r="B37" s="11" t="s">
        <v>94</v>
      </c>
      <c r="C37" s="11" t="s">
        <v>147</v>
      </c>
      <c r="D37" s="11" t="s">
        <v>287</v>
      </c>
      <c r="E37" s="36"/>
      <c r="F37" s="11" t="s">
        <v>263</v>
      </c>
      <c r="G37" s="37"/>
      <c r="H37" s="38"/>
      <c r="I37" s="37"/>
      <c r="J37" s="36"/>
      <c r="K37" s="11" t="s">
        <v>224</v>
      </c>
      <c r="L37" s="29" t="n">
        <f aca="false">($E37*$G37+$I37)*(1+IF($K37="N",0,INPUTS!$C$23))</f>
        <v>0</v>
      </c>
      <c r="M37" s="39" t="n">
        <f aca="false">$E37*$H37+$J37</f>
        <v>0</v>
      </c>
      <c r="N37" s="29" t="n">
        <f aca="false">$M37*IF(OR($B37="V",$B37="AC"),'LABOUR RATES'!$E$26,'LABOUR RATES'!$E$11)</f>
        <v>0</v>
      </c>
      <c r="O37" s="29" t="n">
        <f aca="false">$M37*IF(OR($B37="V",$B37="AC"),'LABOUR RATES'!$C$27,'LABOUR RATES'!$C$12)</f>
        <v>0</v>
      </c>
      <c r="P37" s="40" t="n">
        <f aca="false">$L37+$N37+$O37</f>
        <v>0</v>
      </c>
      <c r="Q37" s="41" t="str">
        <f aca="false">IF($A37="","",IFERROR(SUMIFS('CRM ACTUALS'!$H$7:$H$2006,'CRM ACTUALS'!$D$7:$D$2006,$A37)/SUMIFS('CRM ACTUALS'!$F$7:$F$2006,'CRM ACTUALS'!$D$7:$D$2006,$A37),""))</f>
        <v/>
      </c>
      <c r="R37" s="28" t="str">
        <f aca="false">IF($A37="","",IFERROR(SUMIFS('CRM ACTUALS'!$J$7:$J$2006,'CRM ACTUALS'!$D$7:$D$2006,$A37)/SUMIFS('CRM ACTUALS'!$F$7:$F$2006,'CRM ACTUALS'!$D$7:$D$2006,$A37),""))</f>
        <v/>
      </c>
      <c r="S37" s="21" t="str">
        <f aca="false">IF(OR($Q37="",N($H37)=0),"",$H37/$Q37-1)</f>
        <v/>
      </c>
    </row>
    <row r="38" customFormat="false" ht="15" hidden="false" customHeight="false" outlineLevel="0" collapsed="false">
      <c r="A38" s="11" t="s">
        <v>288</v>
      </c>
      <c r="B38" s="11" t="s">
        <v>94</v>
      </c>
      <c r="C38" s="11" t="s">
        <v>147</v>
      </c>
      <c r="D38" s="11" t="s">
        <v>289</v>
      </c>
      <c r="E38" s="36"/>
      <c r="F38" s="11" t="s">
        <v>263</v>
      </c>
      <c r="G38" s="37"/>
      <c r="H38" s="38"/>
      <c r="I38" s="37"/>
      <c r="J38" s="36"/>
      <c r="K38" s="11" t="s">
        <v>224</v>
      </c>
      <c r="L38" s="29" t="n">
        <f aca="false">($E38*$G38+$I38)*(1+IF($K38="N",0,INPUTS!$C$23))</f>
        <v>0</v>
      </c>
      <c r="M38" s="39" t="n">
        <f aca="false">$E38*$H38+$J38</f>
        <v>0</v>
      </c>
      <c r="N38" s="29" t="n">
        <f aca="false">$M38*IF(OR($B38="V",$B38="AC"),'LABOUR RATES'!$E$26,'LABOUR RATES'!$E$11)</f>
        <v>0</v>
      </c>
      <c r="O38" s="29" t="n">
        <f aca="false">$M38*IF(OR($B38="V",$B38="AC"),'LABOUR RATES'!$C$27,'LABOUR RATES'!$C$12)</f>
        <v>0</v>
      </c>
      <c r="P38" s="40" t="n">
        <f aca="false">$L38+$N38+$O38</f>
        <v>0</v>
      </c>
      <c r="Q38" s="41" t="str">
        <f aca="false">IF($A38="","",IFERROR(SUMIFS('CRM ACTUALS'!$H$7:$H$2006,'CRM ACTUALS'!$D$7:$D$2006,$A38)/SUMIFS('CRM ACTUALS'!$F$7:$F$2006,'CRM ACTUALS'!$D$7:$D$2006,$A38),""))</f>
        <v/>
      </c>
      <c r="R38" s="28" t="str">
        <f aca="false">IF($A38="","",IFERROR(SUMIFS('CRM ACTUALS'!$J$7:$J$2006,'CRM ACTUALS'!$D$7:$D$2006,$A38)/SUMIFS('CRM ACTUALS'!$F$7:$F$2006,'CRM ACTUALS'!$D$7:$D$2006,$A38),""))</f>
        <v/>
      </c>
      <c r="S38" s="21" t="str">
        <f aca="false">IF(OR($Q38="",N($H38)=0),"",$H38/$Q38-1)</f>
        <v/>
      </c>
    </row>
    <row r="39" customFormat="false" ht="15" hidden="false" customHeight="false" outlineLevel="0" collapsed="false">
      <c r="A39" s="11" t="s">
        <v>290</v>
      </c>
      <c r="B39" s="11" t="s">
        <v>94</v>
      </c>
      <c r="C39" s="11" t="s">
        <v>148</v>
      </c>
      <c r="D39" s="11" t="s">
        <v>291</v>
      </c>
      <c r="E39" s="36"/>
      <c r="F39" s="11" t="s">
        <v>263</v>
      </c>
      <c r="G39" s="37"/>
      <c r="H39" s="38"/>
      <c r="I39" s="37"/>
      <c r="J39" s="36"/>
      <c r="K39" s="11" t="s">
        <v>224</v>
      </c>
      <c r="L39" s="29" t="n">
        <f aca="false">($E39*$G39+$I39)*(1+IF($K39="N",0,INPUTS!$C$23))</f>
        <v>0</v>
      </c>
      <c r="M39" s="39" t="n">
        <f aca="false">$E39*$H39+$J39</f>
        <v>0</v>
      </c>
      <c r="N39" s="29" t="n">
        <f aca="false">$M39*IF(OR($B39="V",$B39="AC"),'LABOUR RATES'!$E$26,'LABOUR RATES'!$E$11)</f>
        <v>0</v>
      </c>
      <c r="O39" s="29" t="n">
        <f aca="false">$M39*IF(OR($B39="V",$B39="AC"),'LABOUR RATES'!$C$27,'LABOUR RATES'!$C$12)</f>
        <v>0</v>
      </c>
      <c r="P39" s="40" t="n">
        <f aca="false">$L39+$N39+$O39</f>
        <v>0</v>
      </c>
      <c r="Q39" s="41" t="str">
        <f aca="false">IF($A39="","",IFERROR(SUMIFS('CRM ACTUALS'!$H$7:$H$2006,'CRM ACTUALS'!$D$7:$D$2006,$A39)/SUMIFS('CRM ACTUALS'!$F$7:$F$2006,'CRM ACTUALS'!$D$7:$D$2006,$A39),""))</f>
        <v/>
      </c>
      <c r="R39" s="28" t="str">
        <f aca="false">IF($A39="","",IFERROR(SUMIFS('CRM ACTUALS'!$J$7:$J$2006,'CRM ACTUALS'!$D$7:$D$2006,$A39)/SUMIFS('CRM ACTUALS'!$F$7:$F$2006,'CRM ACTUALS'!$D$7:$D$2006,$A39),""))</f>
        <v/>
      </c>
      <c r="S39" s="21" t="str">
        <f aca="false">IF(OR($Q39="",N($H39)=0),"",$H39/$Q39-1)</f>
        <v/>
      </c>
    </row>
    <row r="40" customFormat="false" ht="15" hidden="false" customHeight="false" outlineLevel="0" collapsed="false">
      <c r="A40" s="11" t="s">
        <v>292</v>
      </c>
      <c r="B40" s="11" t="s">
        <v>94</v>
      </c>
      <c r="C40" s="11" t="s">
        <v>149</v>
      </c>
      <c r="D40" s="11" t="s">
        <v>293</v>
      </c>
      <c r="E40" s="36"/>
      <c r="F40" s="11" t="s">
        <v>263</v>
      </c>
      <c r="G40" s="37"/>
      <c r="H40" s="38"/>
      <c r="I40" s="37"/>
      <c r="J40" s="36"/>
      <c r="K40" s="11" t="s">
        <v>224</v>
      </c>
      <c r="L40" s="29" t="n">
        <f aca="false">($E40*$G40+$I40)*(1+IF($K40="N",0,INPUTS!$C$23))</f>
        <v>0</v>
      </c>
      <c r="M40" s="39" t="n">
        <f aca="false">$E40*$H40+$J40</f>
        <v>0</v>
      </c>
      <c r="N40" s="29" t="n">
        <f aca="false">$M40*IF(OR($B40="V",$B40="AC"),'LABOUR RATES'!$E$26,'LABOUR RATES'!$E$11)</f>
        <v>0</v>
      </c>
      <c r="O40" s="29" t="n">
        <f aca="false">$M40*IF(OR($B40="V",$B40="AC"),'LABOUR RATES'!$C$27,'LABOUR RATES'!$C$12)</f>
        <v>0</v>
      </c>
      <c r="P40" s="40" t="n">
        <f aca="false">$L40+$N40+$O40</f>
        <v>0</v>
      </c>
      <c r="Q40" s="41" t="str">
        <f aca="false">IF($A40="","",IFERROR(SUMIFS('CRM ACTUALS'!$H$7:$H$2006,'CRM ACTUALS'!$D$7:$D$2006,$A40)/SUMIFS('CRM ACTUALS'!$F$7:$F$2006,'CRM ACTUALS'!$D$7:$D$2006,$A40),""))</f>
        <v/>
      </c>
      <c r="R40" s="28" t="str">
        <f aca="false">IF($A40="","",IFERROR(SUMIFS('CRM ACTUALS'!$J$7:$J$2006,'CRM ACTUALS'!$D$7:$D$2006,$A40)/SUMIFS('CRM ACTUALS'!$F$7:$F$2006,'CRM ACTUALS'!$D$7:$D$2006,$A40),""))</f>
        <v/>
      </c>
      <c r="S40" s="21" t="str">
        <f aca="false">IF(OR($Q40="",N($H40)=0),"",$H40/$Q40-1)</f>
        <v/>
      </c>
    </row>
    <row r="41" customFormat="false" ht="15" hidden="false" customHeight="false" outlineLevel="0" collapsed="false">
      <c r="A41" s="11" t="s">
        <v>294</v>
      </c>
      <c r="B41" s="11" t="s">
        <v>98</v>
      </c>
      <c r="C41" s="11" t="s">
        <v>144</v>
      </c>
      <c r="D41" s="11" t="s">
        <v>295</v>
      </c>
      <c r="E41" s="36"/>
      <c r="F41" s="11" t="s">
        <v>227</v>
      </c>
      <c r="G41" s="37"/>
      <c r="H41" s="38"/>
      <c r="I41" s="37"/>
      <c r="J41" s="36"/>
      <c r="K41" s="11" t="s">
        <v>224</v>
      </c>
      <c r="L41" s="29" t="n">
        <f aca="false">($E41*$G41+$I41)*(1+IF($K41="N",0,INPUTS!$C$23))</f>
        <v>0</v>
      </c>
      <c r="M41" s="39" t="n">
        <f aca="false">$E41*$H41+$J41</f>
        <v>0</v>
      </c>
      <c r="N41" s="29" t="n">
        <f aca="false">$M41*IF(OR($B41="V",$B41="AC"),'LABOUR RATES'!$E$26,'LABOUR RATES'!$E$11)</f>
        <v>0</v>
      </c>
      <c r="O41" s="29" t="n">
        <f aca="false">$M41*IF(OR($B41="V",$B41="AC"),'LABOUR RATES'!$C$27,'LABOUR RATES'!$C$12)</f>
        <v>0</v>
      </c>
      <c r="P41" s="40" t="n">
        <f aca="false">$L41+$N41+$O41</f>
        <v>0</v>
      </c>
      <c r="Q41" s="41" t="str">
        <f aca="false">IF($A41="","",IFERROR(SUMIFS('CRM ACTUALS'!$H$7:$H$2006,'CRM ACTUALS'!$D$7:$D$2006,$A41)/SUMIFS('CRM ACTUALS'!$F$7:$F$2006,'CRM ACTUALS'!$D$7:$D$2006,$A41),""))</f>
        <v/>
      </c>
      <c r="R41" s="28" t="str">
        <f aca="false">IF($A41="","",IFERROR(SUMIFS('CRM ACTUALS'!$J$7:$J$2006,'CRM ACTUALS'!$D$7:$D$2006,$A41)/SUMIFS('CRM ACTUALS'!$F$7:$F$2006,'CRM ACTUALS'!$D$7:$D$2006,$A41),""))</f>
        <v/>
      </c>
      <c r="S41" s="21" t="str">
        <f aca="false">IF(OR($Q41="",N($H41)=0),"",$H41/$Q41-1)</f>
        <v/>
      </c>
    </row>
    <row r="42" customFormat="false" ht="15" hidden="false" customHeight="false" outlineLevel="0" collapsed="false">
      <c r="A42" s="11" t="s">
        <v>296</v>
      </c>
      <c r="B42" s="11" t="s">
        <v>98</v>
      </c>
      <c r="C42" s="11" t="s">
        <v>145</v>
      </c>
      <c r="D42" s="11" t="s">
        <v>297</v>
      </c>
      <c r="E42" s="36"/>
      <c r="F42" s="11" t="s">
        <v>227</v>
      </c>
      <c r="G42" s="37"/>
      <c r="H42" s="38"/>
      <c r="I42" s="37"/>
      <c r="J42" s="36"/>
      <c r="K42" s="11" t="s">
        <v>224</v>
      </c>
      <c r="L42" s="29" t="n">
        <f aca="false">($E42*$G42+$I42)*(1+IF($K42="N",0,INPUTS!$C$23))</f>
        <v>0</v>
      </c>
      <c r="M42" s="39" t="n">
        <f aca="false">$E42*$H42+$J42</f>
        <v>0</v>
      </c>
      <c r="N42" s="29" t="n">
        <f aca="false">$M42*IF(OR($B42="V",$B42="AC"),'LABOUR RATES'!$E$26,'LABOUR RATES'!$E$11)</f>
        <v>0</v>
      </c>
      <c r="O42" s="29" t="n">
        <f aca="false">$M42*IF(OR($B42="V",$B42="AC"),'LABOUR RATES'!$C$27,'LABOUR RATES'!$C$12)</f>
        <v>0</v>
      </c>
      <c r="P42" s="40" t="n">
        <f aca="false">$L42+$N42+$O42</f>
        <v>0</v>
      </c>
      <c r="Q42" s="41" t="str">
        <f aca="false">IF($A42="","",IFERROR(SUMIFS('CRM ACTUALS'!$H$7:$H$2006,'CRM ACTUALS'!$D$7:$D$2006,$A42)/SUMIFS('CRM ACTUALS'!$F$7:$F$2006,'CRM ACTUALS'!$D$7:$D$2006,$A42),""))</f>
        <v/>
      </c>
      <c r="R42" s="28" t="str">
        <f aca="false">IF($A42="","",IFERROR(SUMIFS('CRM ACTUALS'!$J$7:$J$2006,'CRM ACTUALS'!$D$7:$D$2006,$A42)/SUMIFS('CRM ACTUALS'!$F$7:$F$2006,'CRM ACTUALS'!$D$7:$D$2006,$A42),""))</f>
        <v/>
      </c>
      <c r="S42" s="21" t="str">
        <f aca="false">IF(OR($Q42="",N($H42)=0),"",$H42/$Q42-1)</f>
        <v/>
      </c>
    </row>
    <row r="43" customFormat="false" ht="15" hidden="false" customHeight="false" outlineLevel="0" collapsed="false">
      <c r="A43" s="11" t="s">
        <v>298</v>
      </c>
      <c r="B43" s="11" t="s">
        <v>98</v>
      </c>
      <c r="C43" s="11" t="s">
        <v>145</v>
      </c>
      <c r="D43" s="11" t="s">
        <v>299</v>
      </c>
      <c r="E43" s="36"/>
      <c r="F43" s="11" t="s">
        <v>223</v>
      </c>
      <c r="G43" s="37"/>
      <c r="H43" s="38"/>
      <c r="I43" s="37"/>
      <c r="J43" s="36"/>
      <c r="K43" s="11" t="s">
        <v>224</v>
      </c>
      <c r="L43" s="29" t="n">
        <f aca="false">($E43*$G43+$I43)*(1+IF($K43="N",0,INPUTS!$C$23))</f>
        <v>0</v>
      </c>
      <c r="M43" s="39" t="n">
        <f aca="false">$E43*$H43+$J43</f>
        <v>0</v>
      </c>
      <c r="N43" s="29" t="n">
        <f aca="false">$M43*IF(OR($B43="V",$B43="AC"),'LABOUR RATES'!$E$26,'LABOUR RATES'!$E$11)</f>
        <v>0</v>
      </c>
      <c r="O43" s="29" t="n">
        <f aca="false">$M43*IF(OR($B43="V",$B43="AC"),'LABOUR RATES'!$C$27,'LABOUR RATES'!$C$12)</f>
        <v>0</v>
      </c>
      <c r="P43" s="40" t="n">
        <f aca="false">$L43+$N43+$O43</f>
        <v>0</v>
      </c>
      <c r="Q43" s="41" t="str">
        <f aca="false">IF($A43="","",IFERROR(SUMIFS('CRM ACTUALS'!$H$7:$H$2006,'CRM ACTUALS'!$D$7:$D$2006,$A43)/SUMIFS('CRM ACTUALS'!$F$7:$F$2006,'CRM ACTUALS'!$D$7:$D$2006,$A43),""))</f>
        <v/>
      </c>
      <c r="R43" s="28" t="str">
        <f aca="false">IF($A43="","",IFERROR(SUMIFS('CRM ACTUALS'!$J$7:$J$2006,'CRM ACTUALS'!$D$7:$D$2006,$A43)/SUMIFS('CRM ACTUALS'!$F$7:$F$2006,'CRM ACTUALS'!$D$7:$D$2006,$A43),""))</f>
        <v/>
      </c>
      <c r="S43" s="21" t="str">
        <f aca="false">IF(OR($Q43="",N($H43)=0),"",$H43/$Q43-1)</f>
        <v/>
      </c>
    </row>
    <row r="44" customFormat="false" ht="15" hidden="false" customHeight="false" outlineLevel="0" collapsed="false">
      <c r="A44" s="11" t="s">
        <v>300</v>
      </c>
      <c r="B44" s="11" t="s">
        <v>98</v>
      </c>
      <c r="C44" s="11" t="s">
        <v>145</v>
      </c>
      <c r="D44" s="11" t="s">
        <v>301</v>
      </c>
      <c r="E44" s="36"/>
      <c r="F44" s="11" t="s">
        <v>260</v>
      </c>
      <c r="G44" s="37"/>
      <c r="H44" s="38" t="n">
        <v>8</v>
      </c>
      <c r="I44" s="37"/>
      <c r="J44" s="36"/>
      <c r="K44" s="11" t="s">
        <v>224</v>
      </c>
      <c r="L44" s="29" t="n">
        <f aca="false">($E44*$G44+$I44)*(1+IF($K44="N",0,INPUTS!$C$23))</f>
        <v>0</v>
      </c>
      <c r="M44" s="39" t="n">
        <f aca="false">$E44*$H44+$J44</f>
        <v>0</v>
      </c>
      <c r="N44" s="29" t="n">
        <f aca="false">$M44*IF(OR($B44="V",$B44="AC"),'LABOUR RATES'!$E$26,'LABOUR RATES'!$E$11)</f>
        <v>0</v>
      </c>
      <c r="O44" s="29" t="n">
        <f aca="false">$M44*IF(OR($B44="V",$B44="AC"),'LABOUR RATES'!$C$27,'LABOUR RATES'!$C$12)</f>
        <v>0</v>
      </c>
      <c r="P44" s="40" t="n">
        <f aca="false">$L44+$N44+$O44</f>
        <v>0</v>
      </c>
      <c r="Q44" s="41" t="str">
        <f aca="false">IF($A44="","",IFERROR(SUMIFS('CRM ACTUALS'!$H$7:$H$2006,'CRM ACTUALS'!$D$7:$D$2006,$A44)/SUMIFS('CRM ACTUALS'!$F$7:$F$2006,'CRM ACTUALS'!$D$7:$D$2006,$A44),""))</f>
        <v/>
      </c>
      <c r="R44" s="28" t="str">
        <f aca="false">IF($A44="","",IFERROR(SUMIFS('CRM ACTUALS'!$J$7:$J$2006,'CRM ACTUALS'!$D$7:$D$2006,$A44)/SUMIFS('CRM ACTUALS'!$F$7:$F$2006,'CRM ACTUALS'!$D$7:$D$2006,$A44),""))</f>
        <v/>
      </c>
      <c r="S44" s="21" t="str">
        <f aca="false">IF(OR($Q44="",N($H44)=0),"",$H44/$Q44-1)</f>
        <v/>
      </c>
    </row>
    <row r="45" customFormat="false" ht="15" hidden="false" customHeight="false" outlineLevel="0" collapsed="false">
      <c r="A45" s="11" t="s">
        <v>302</v>
      </c>
      <c r="B45" s="11" t="s">
        <v>98</v>
      </c>
      <c r="C45" s="11" t="s">
        <v>145</v>
      </c>
      <c r="D45" s="11" t="s">
        <v>303</v>
      </c>
      <c r="E45" s="36"/>
      <c r="F45" s="11" t="s">
        <v>263</v>
      </c>
      <c r="G45" s="37"/>
      <c r="H45" s="38"/>
      <c r="I45" s="37"/>
      <c r="J45" s="36"/>
      <c r="K45" s="11" t="s">
        <v>224</v>
      </c>
      <c r="L45" s="29" t="n">
        <f aca="false">($E45*$G45+$I45)*(1+IF($K45="N",0,INPUTS!$C$23))</f>
        <v>0</v>
      </c>
      <c r="M45" s="39" t="n">
        <f aca="false">$E45*$H45+$J45</f>
        <v>0</v>
      </c>
      <c r="N45" s="29" t="n">
        <f aca="false">$M45*IF(OR($B45="V",$B45="AC"),'LABOUR RATES'!$E$26,'LABOUR RATES'!$E$11)</f>
        <v>0</v>
      </c>
      <c r="O45" s="29" t="n">
        <f aca="false">$M45*IF(OR($B45="V",$B45="AC"),'LABOUR RATES'!$C$27,'LABOUR RATES'!$C$12)</f>
        <v>0</v>
      </c>
      <c r="P45" s="40" t="n">
        <f aca="false">$L45+$N45+$O45</f>
        <v>0</v>
      </c>
      <c r="Q45" s="41" t="str">
        <f aca="false">IF($A45="","",IFERROR(SUMIFS('CRM ACTUALS'!$H$7:$H$2006,'CRM ACTUALS'!$D$7:$D$2006,$A45)/SUMIFS('CRM ACTUALS'!$F$7:$F$2006,'CRM ACTUALS'!$D$7:$D$2006,$A45),""))</f>
        <v/>
      </c>
      <c r="R45" s="28" t="str">
        <f aca="false">IF($A45="","",IFERROR(SUMIFS('CRM ACTUALS'!$J$7:$J$2006,'CRM ACTUALS'!$D$7:$D$2006,$A45)/SUMIFS('CRM ACTUALS'!$F$7:$F$2006,'CRM ACTUALS'!$D$7:$D$2006,$A45),""))</f>
        <v/>
      </c>
      <c r="S45" s="21" t="str">
        <f aca="false">IF(OR($Q45="",N($H45)=0),"",$H45/$Q45-1)</f>
        <v/>
      </c>
    </row>
    <row r="46" customFormat="false" ht="15" hidden="false" customHeight="false" outlineLevel="0" collapsed="false">
      <c r="A46" s="11" t="s">
        <v>304</v>
      </c>
      <c r="B46" s="11" t="s">
        <v>98</v>
      </c>
      <c r="C46" s="11" t="s">
        <v>145</v>
      </c>
      <c r="D46" s="11" t="s">
        <v>275</v>
      </c>
      <c r="E46" s="36"/>
      <c r="F46" s="11" t="s">
        <v>263</v>
      </c>
      <c r="G46" s="37"/>
      <c r="H46" s="38"/>
      <c r="I46" s="37"/>
      <c r="J46" s="36"/>
      <c r="K46" s="11" t="s">
        <v>224</v>
      </c>
      <c r="L46" s="29" t="n">
        <f aca="false">($E46*$G46+$I46)*(1+IF($K46="N",0,INPUTS!$C$23))</f>
        <v>0</v>
      </c>
      <c r="M46" s="39" t="n">
        <f aca="false">$E46*$H46+$J46</f>
        <v>0</v>
      </c>
      <c r="N46" s="29" t="n">
        <f aca="false">$M46*IF(OR($B46="V",$B46="AC"),'LABOUR RATES'!$E$26,'LABOUR RATES'!$E$11)</f>
        <v>0</v>
      </c>
      <c r="O46" s="29" t="n">
        <f aca="false">$M46*IF(OR($B46="V",$B46="AC"),'LABOUR RATES'!$C$27,'LABOUR RATES'!$C$12)</f>
        <v>0</v>
      </c>
      <c r="P46" s="40" t="n">
        <f aca="false">$L46+$N46+$O46</f>
        <v>0</v>
      </c>
      <c r="Q46" s="41" t="str">
        <f aca="false">IF($A46="","",IFERROR(SUMIFS('CRM ACTUALS'!$H$7:$H$2006,'CRM ACTUALS'!$D$7:$D$2006,$A46)/SUMIFS('CRM ACTUALS'!$F$7:$F$2006,'CRM ACTUALS'!$D$7:$D$2006,$A46),""))</f>
        <v/>
      </c>
      <c r="R46" s="28" t="str">
        <f aca="false">IF($A46="","",IFERROR(SUMIFS('CRM ACTUALS'!$J$7:$J$2006,'CRM ACTUALS'!$D$7:$D$2006,$A46)/SUMIFS('CRM ACTUALS'!$F$7:$F$2006,'CRM ACTUALS'!$D$7:$D$2006,$A46),""))</f>
        <v/>
      </c>
      <c r="S46" s="21" t="str">
        <f aca="false">IF(OR($Q46="",N($H46)=0),"",$H46/$Q46-1)</f>
        <v/>
      </c>
    </row>
    <row r="47" customFormat="false" ht="15" hidden="false" customHeight="false" outlineLevel="0" collapsed="false">
      <c r="A47" s="11" t="s">
        <v>305</v>
      </c>
      <c r="B47" s="11" t="s">
        <v>98</v>
      </c>
      <c r="C47" s="11" t="s">
        <v>145</v>
      </c>
      <c r="D47" s="11" t="s">
        <v>277</v>
      </c>
      <c r="E47" s="36"/>
      <c r="F47" s="11" t="s">
        <v>263</v>
      </c>
      <c r="G47" s="37"/>
      <c r="H47" s="38"/>
      <c r="I47" s="37"/>
      <c r="J47" s="36"/>
      <c r="K47" s="11" t="s">
        <v>224</v>
      </c>
      <c r="L47" s="29" t="n">
        <f aca="false">($E47*$G47+$I47)*(1+IF($K47="N",0,INPUTS!$C$23))</f>
        <v>0</v>
      </c>
      <c r="M47" s="39" t="n">
        <f aca="false">$E47*$H47+$J47</f>
        <v>0</v>
      </c>
      <c r="N47" s="29" t="n">
        <f aca="false">$M47*IF(OR($B47="V",$B47="AC"),'LABOUR RATES'!$E$26,'LABOUR RATES'!$E$11)</f>
        <v>0</v>
      </c>
      <c r="O47" s="29" t="n">
        <f aca="false">$M47*IF(OR($B47="V",$B47="AC"),'LABOUR RATES'!$C$27,'LABOUR RATES'!$C$12)</f>
        <v>0</v>
      </c>
      <c r="P47" s="40" t="n">
        <f aca="false">$L47+$N47+$O47</f>
        <v>0</v>
      </c>
      <c r="Q47" s="41" t="str">
        <f aca="false">IF($A47="","",IFERROR(SUMIFS('CRM ACTUALS'!$H$7:$H$2006,'CRM ACTUALS'!$D$7:$D$2006,$A47)/SUMIFS('CRM ACTUALS'!$F$7:$F$2006,'CRM ACTUALS'!$D$7:$D$2006,$A47),""))</f>
        <v/>
      </c>
      <c r="R47" s="28" t="str">
        <f aca="false">IF($A47="","",IFERROR(SUMIFS('CRM ACTUALS'!$J$7:$J$2006,'CRM ACTUALS'!$D$7:$D$2006,$A47)/SUMIFS('CRM ACTUALS'!$F$7:$F$2006,'CRM ACTUALS'!$D$7:$D$2006,$A47),""))</f>
        <v/>
      </c>
      <c r="S47" s="21" t="str">
        <f aca="false">IF(OR($Q47="",N($H47)=0),"",$H47/$Q47-1)</f>
        <v/>
      </c>
    </row>
    <row r="48" customFormat="false" ht="15" hidden="false" customHeight="false" outlineLevel="0" collapsed="false">
      <c r="A48" s="11" t="s">
        <v>306</v>
      </c>
      <c r="B48" s="11" t="s">
        <v>98</v>
      </c>
      <c r="C48" s="11" t="s">
        <v>146</v>
      </c>
      <c r="D48" s="11" t="s">
        <v>281</v>
      </c>
      <c r="E48" s="36"/>
      <c r="F48" s="11" t="s">
        <v>223</v>
      </c>
      <c r="G48" s="37"/>
      <c r="H48" s="38"/>
      <c r="I48" s="37"/>
      <c r="J48" s="36"/>
      <c r="K48" s="11" t="s">
        <v>224</v>
      </c>
      <c r="L48" s="29" t="n">
        <f aca="false">($E48*$G48+$I48)*(1+IF($K48="N",0,INPUTS!$C$23))</f>
        <v>0</v>
      </c>
      <c r="M48" s="39" t="n">
        <f aca="false">$E48*$H48+$J48</f>
        <v>0</v>
      </c>
      <c r="N48" s="29" t="n">
        <f aca="false">$M48*IF(OR($B48="V",$B48="AC"),'LABOUR RATES'!$E$26,'LABOUR RATES'!$E$11)</f>
        <v>0</v>
      </c>
      <c r="O48" s="29" t="n">
        <f aca="false">$M48*IF(OR($B48="V",$B48="AC"),'LABOUR RATES'!$C$27,'LABOUR RATES'!$C$12)</f>
        <v>0</v>
      </c>
      <c r="P48" s="40" t="n">
        <f aca="false">$L48+$N48+$O48</f>
        <v>0</v>
      </c>
      <c r="Q48" s="41" t="str">
        <f aca="false">IF($A48="","",IFERROR(SUMIFS('CRM ACTUALS'!$H$7:$H$2006,'CRM ACTUALS'!$D$7:$D$2006,$A48)/SUMIFS('CRM ACTUALS'!$F$7:$F$2006,'CRM ACTUALS'!$D$7:$D$2006,$A48),""))</f>
        <v/>
      </c>
      <c r="R48" s="28" t="str">
        <f aca="false">IF($A48="","",IFERROR(SUMIFS('CRM ACTUALS'!$J$7:$J$2006,'CRM ACTUALS'!$D$7:$D$2006,$A48)/SUMIFS('CRM ACTUALS'!$F$7:$F$2006,'CRM ACTUALS'!$D$7:$D$2006,$A48),""))</f>
        <v/>
      </c>
      <c r="S48" s="21" t="str">
        <f aca="false">IF(OR($Q48="",N($H48)=0),"",$H48/$Q48-1)</f>
        <v/>
      </c>
    </row>
    <row r="49" customFormat="false" ht="15" hidden="false" customHeight="false" outlineLevel="0" collapsed="false">
      <c r="A49" s="11" t="s">
        <v>307</v>
      </c>
      <c r="B49" s="11" t="s">
        <v>98</v>
      </c>
      <c r="C49" s="11" t="s">
        <v>146</v>
      </c>
      <c r="D49" s="11" t="s">
        <v>283</v>
      </c>
      <c r="E49" s="36"/>
      <c r="F49" s="11" t="s">
        <v>263</v>
      </c>
      <c r="G49" s="37"/>
      <c r="H49" s="38"/>
      <c r="I49" s="37"/>
      <c r="J49" s="36"/>
      <c r="K49" s="11" t="s">
        <v>224</v>
      </c>
      <c r="L49" s="29" t="n">
        <f aca="false">($E49*$G49+$I49)*(1+IF($K49="N",0,INPUTS!$C$23))</f>
        <v>0</v>
      </c>
      <c r="M49" s="39" t="n">
        <f aca="false">$E49*$H49+$J49</f>
        <v>0</v>
      </c>
      <c r="N49" s="29" t="n">
        <f aca="false">$M49*IF(OR($B49="V",$B49="AC"),'LABOUR RATES'!$E$26,'LABOUR RATES'!$E$11)</f>
        <v>0</v>
      </c>
      <c r="O49" s="29" t="n">
        <f aca="false">$M49*IF(OR($B49="V",$B49="AC"),'LABOUR RATES'!$C$27,'LABOUR RATES'!$C$12)</f>
        <v>0</v>
      </c>
      <c r="P49" s="40" t="n">
        <f aca="false">$L49+$N49+$O49</f>
        <v>0</v>
      </c>
      <c r="Q49" s="41" t="str">
        <f aca="false">IF($A49="","",IFERROR(SUMIFS('CRM ACTUALS'!$H$7:$H$2006,'CRM ACTUALS'!$D$7:$D$2006,$A49)/SUMIFS('CRM ACTUALS'!$F$7:$F$2006,'CRM ACTUALS'!$D$7:$D$2006,$A49),""))</f>
        <v/>
      </c>
      <c r="R49" s="28" t="str">
        <f aca="false">IF($A49="","",IFERROR(SUMIFS('CRM ACTUALS'!$J$7:$J$2006,'CRM ACTUALS'!$D$7:$D$2006,$A49)/SUMIFS('CRM ACTUALS'!$F$7:$F$2006,'CRM ACTUALS'!$D$7:$D$2006,$A49),""))</f>
        <v/>
      </c>
      <c r="S49" s="21" t="str">
        <f aca="false">IF(OR($Q49="",N($H49)=0),"",$H49/$Q49-1)</f>
        <v/>
      </c>
    </row>
    <row r="50" customFormat="false" ht="15" hidden="false" customHeight="false" outlineLevel="0" collapsed="false">
      <c r="A50" s="11" t="s">
        <v>308</v>
      </c>
      <c r="B50" s="11" t="s">
        <v>98</v>
      </c>
      <c r="C50" s="11" t="s">
        <v>147</v>
      </c>
      <c r="D50" s="11" t="s">
        <v>309</v>
      </c>
      <c r="E50" s="36"/>
      <c r="F50" s="11" t="s">
        <v>263</v>
      </c>
      <c r="G50" s="37"/>
      <c r="H50" s="38"/>
      <c r="I50" s="37"/>
      <c r="J50" s="36"/>
      <c r="K50" s="11" t="s">
        <v>224</v>
      </c>
      <c r="L50" s="29" t="n">
        <f aca="false">($E50*$G50+$I50)*(1+IF($K50="N",0,INPUTS!$C$23))</f>
        <v>0</v>
      </c>
      <c r="M50" s="39" t="n">
        <f aca="false">$E50*$H50+$J50</f>
        <v>0</v>
      </c>
      <c r="N50" s="29" t="n">
        <f aca="false">$M50*IF(OR($B50="V",$B50="AC"),'LABOUR RATES'!$E$26,'LABOUR RATES'!$E$11)</f>
        <v>0</v>
      </c>
      <c r="O50" s="29" t="n">
        <f aca="false">$M50*IF(OR($B50="V",$B50="AC"),'LABOUR RATES'!$C$27,'LABOUR RATES'!$C$12)</f>
        <v>0</v>
      </c>
      <c r="P50" s="40" t="n">
        <f aca="false">$L50+$N50+$O50</f>
        <v>0</v>
      </c>
      <c r="Q50" s="41" t="str">
        <f aca="false">IF($A50="","",IFERROR(SUMIFS('CRM ACTUALS'!$H$7:$H$2006,'CRM ACTUALS'!$D$7:$D$2006,$A50)/SUMIFS('CRM ACTUALS'!$F$7:$F$2006,'CRM ACTUALS'!$D$7:$D$2006,$A50),""))</f>
        <v/>
      </c>
      <c r="R50" s="28" t="str">
        <f aca="false">IF($A50="","",IFERROR(SUMIFS('CRM ACTUALS'!$J$7:$J$2006,'CRM ACTUALS'!$D$7:$D$2006,$A50)/SUMIFS('CRM ACTUALS'!$F$7:$F$2006,'CRM ACTUALS'!$D$7:$D$2006,$A50),""))</f>
        <v/>
      </c>
      <c r="S50" s="21" t="str">
        <f aca="false">IF(OR($Q50="",N($H50)=0),"",$H50/$Q50-1)</f>
        <v/>
      </c>
    </row>
    <row r="51" customFormat="false" ht="15" hidden="false" customHeight="false" outlineLevel="0" collapsed="false">
      <c r="A51" s="11" t="s">
        <v>310</v>
      </c>
      <c r="B51" s="11" t="s">
        <v>98</v>
      </c>
      <c r="C51" s="11" t="s">
        <v>147</v>
      </c>
      <c r="D51" s="11" t="s">
        <v>311</v>
      </c>
      <c r="E51" s="36"/>
      <c r="F51" s="11" t="s">
        <v>263</v>
      </c>
      <c r="G51" s="37"/>
      <c r="H51" s="38"/>
      <c r="I51" s="37"/>
      <c r="J51" s="36"/>
      <c r="K51" s="11" t="s">
        <v>224</v>
      </c>
      <c r="L51" s="29" t="n">
        <f aca="false">($E51*$G51+$I51)*(1+IF($K51="N",0,INPUTS!$C$23))</f>
        <v>0</v>
      </c>
      <c r="M51" s="39" t="n">
        <f aca="false">$E51*$H51+$J51</f>
        <v>0</v>
      </c>
      <c r="N51" s="29" t="n">
        <f aca="false">$M51*IF(OR($B51="V",$B51="AC"),'LABOUR RATES'!$E$26,'LABOUR RATES'!$E$11)</f>
        <v>0</v>
      </c>
      <c r="O51" s="29" t="n">
        <f aca="false">$M51*IF(OR($B51="V",$B51="AC"),'LABOUR RATES'!$C$27,'LABOUR RATES'!$C$12)</f>
        <v>0</v>
      </c>
      <c r="P51" s="40" t="n">
        <f aca="false">$L51+$N51+$O51</f>
        <v>0</v>
      </c>
      <c r="Q51" s="41" t="str">
        <f aca="false">IF($A51="","",IFERROR(SUMIFS('CRM ACTUALS'!$H$7:$H$2006,'CRM ACTUALS'!$D$7:$D$2006,$A51)/SUMIFS('CRM ACTUALS'!$F$7:$F$2006,'CRM ACTUALS'!$D$7:$D$2006,$A51),""))</f>
        <v/>
      </c>
      <c r="R51" s="28" t="str">
        <f aca="false">IF($A51="","",IFERROR(SUMIFS('CRM ACTUALS'!$J$7:$J$2006,'CRM ACTUALS'!$D$7:$D$2006,$A51)/SUMIFS('CRM ACTUALS'!$F$7:$F$2006,'CRM ACTUALS'!$D$7:$D$2006,$A51),""))</f>
        <v/>
      </c>
      <c r="S51" s="21" t="str">
        <f aca="false">IF(OR($Q51="",N($H51)=0),"",$H51/$Q51-1)</f>
        <v/>
      </c>
    </row>
    <row r="52" customFormat="false" ht="15" hidden="false" customHeight="false" outlineLevel="0" collapsed="false">
      <c r="A52" s="11" t="s">
        <v>312</v>
      </c>
      <c r="B52" s="11" t="s">
        <v>98</v>
      </c>
      <c r="C52" s="11" t="s">
        <v>148</v>
      </c>
      <c r="D52" s="11" t="s">
        <v>291</v>
      </c>
      <c r="E52" s="36"/>
      <c r="F52" s="11" t="s">
        <v>263</v>
      </c>
      <c r="G52" s="37"/>
      <c r="H52" s="38"/>
      <c r="I52" s="37"/>
      <c r="J52" s="36"/>
      <c r="K52" s="11" t="s">
        <v>224</v>
      </c>
      <c r="L52" s="29" t="n">
        <f aca="false">($E52*$G52+$I52)*(1+IF($K52="N",0,INPUTS!$C$23))</f>
        <v>0</v>
      </c>
      <c r="M52" s="39" t="n">
        <f aca="false">$E52*$H52+$J52</f>
        <v>0</v>
      </c>
      <c r="N52" s="29" t="n">
        <f aca="false">$M52*IF(OR($B52="V",$B52="AC"),'LABOUR RATES'!$E$26,'LABOUR RATES'!$E$11)</f>
        <v>0</v>
      </c>
      <c r="O52" s="29" t="n">
        <f aca="false">$M52*IF(OR($B52="V",$B52="AC"),'LABOUR RATES'!$C$27,'LABOUR RATES'!$C$12)</f>
        <v>0</v>
      </c>
      <c r="P52" s="40" t="n">
        <f aca="false">$L52+$N52+$O52</f>
        <v>0</v>
      </c>
      <c r="Q52" s="41" t="str">
        <f aca="false">IF($A52="","",IFERROR(SUMIFS('CRM ACTUALS'!$H$7:$H$2006,'CRM ACTUALS'!$D$7:$D$2006,$A52)/SUMIFS('CRM ACTUALS'!$F$7:$F$2006,'CRM ACTUALS'!$D$7:$D$2006,$A52),""))</f>
        <v/>
      </c>
      <c r="R52" s="28" t="str">
        <f aca="false">IF($A52="","",IFERROR(SUMIFS('CRM ACTUALS'!$J$7:$J$2006,'CRM ACTUALS'!$D$7:$D$2006,$A52)/SUMIFS('CRM ACTUALS'!$F$7:$F$2006,'CRM ACTUALS'!$D$7:$D$2006,$A52),""))</f>
        <v/>
      </c>
      <c r="S52" s="21" t="str">
        <f aca="false">IF(OR($Q52="",N($H52)=0),"",$H52/$Q52-1)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36"/>
      <c r="F53" s="11"/>
      <c r="G53" s="37"/>
      <c r="H53" s="38"/>
      <c r="I53" s="37"/>
      <c r="J53" s="36"/>
      <c r="K53" s="11" t="s">
        <v>224</v>
      </c>
      <c r="L53" s="29" t="n">
        <f aca="false">($E53*$G53+$I53)*(1+IF($K53="N",0,INPUTS!$C$23))</f>
        <v>0</v>
      </c>
      <c r="M53" s="39" t="n">
        <f aca="false">$E53*$H53+$J53</f>
        <v>0</v>
      </c>
      <c r="N53" s="29" t="n">
        <f aca="false">$M53*IF(OR($B53="V",$B53="AC"),'LABOUR RATES'!$E$26,'LABOUR RATES'!$E$11)</f>
        <v>0</v>
      </c>
      <c r="O53" s="29" t="n">
        <f aca="false">$M53*IF(OR($B53="V",$B53="AC"),'LABOUR RATES'!$C$27,'LABOUR RATES'!$C$12)</f>
        <v>0</v>
      </c>
      <c r="P53" s="40" t="n">
        <f aca="false">$L53+$N53+$O53</f>
        <v>0</v>
      </c>
      <c r="Q53" s="41" t="str">
        <f aca="false">IF($A53="","",IFERROR(SUMIFS('CRM ACTUALS'!$H$7:$H$2006,'CRM ACTUALS'!$D$7:$D$2006,$A53)/SUMIFS('CRM ACTUALS'!$F$7:$F$2006,'CRM ACTUALS'!$D$7:$D$2006,$A53),""))</f>
        <v/>
      </c>
      <c r="R53" s="28" t="str">
        <f aca="false">IF($A53="","",IFERROR(SUMIFS('CRM ACTUALS'!$J$7:$J$2006,'CRM ACTUALS'!$D$7:$D$2006,$A53)/SUMIFS('CRM ACTUALS'!$F$7:$F$2006,'CRM ACTUALS'!$D$7:$D$2006,$A53),""))</f>
        <v/>
      </c>
      <c r="S53" s="21" t="str">
        <f aca="false">IF(OR($Q53="",N($H53)=0),"",$H53/$Q53-1)</f>
        <v/>
      </c>
    </row>
    <row r="54" customFormat="false" ht="15" hidden="false" customHeight="false" outlineLevel="0" collapsed="false">
      <c r="A54" s="11"/>
      <c r="B54" s="11"/>
      <c r="C54" s="11"/>
      <c r="D54" s="11"/>
      <c r="E54" s="36"/>
      <c r="F54" s="11"/>
      <c r="G54" s="37"/>
      <c r="H54" s="38"/>
      <c r="I54" s="37"/>
      <c r="J54" s="36"/>
      <c r="K54" s="11" t="s">
        <v>224</v>
      </c>
      <c r="L54" s="29" t="n">
        <f aca="false">($E54*$G54+$I54)*(1+IF($K54="N",0,INPUTS!$C$23))</f>
        <v>0</v>
      </c>
      <c r="M54" s="39" t="n">
        <f aca="false">$E54*$H54+$J54</f>
        <v>0</v>
      </c>
      <c r="N54" s="29" t="n">
        <f aca="false">$M54*IF(OR($B54="V",$B54="AC"),'LABOUR RATES'!$E$26,'LABOUR RATES'!$E$11)</f>
        <v>0</v>
      </c>
      <c r="O54" s="29" t="n">
        <f aca="false">$M54*IF(OR($B54="V",$B54="AC"),'LABOUR RATES'!$C$27,'LABOUR RATES'!$C$12)</f>
        <v>0</v>
      </c>
      <c r="P54" s="40" t="n">
        <f aca="false">$L54+$N54+$O54</f>
        <v>0</v>
      </c>
      <c r="Q54" s="41" t="str">
        <f aca="false">IF($A54="","",IFERROR(SUMIFS('CRM ACTUALS'!$H$7:$H$2006,'CRM ACTUALS'!$D$7:$D$2006,$A54)/SUMIFS('CRM ACTUALS'!$F$7:$F$2006,'CRM ACTUALS'!$D$7:$D$2006,$A54),""))</f>
        <v/>
      </c>
      <c r="R54" s="28" t="str">
        <f aca="false">IF($A54="","",IFERROR(SUMIFS('CRM ACTUALS'!$J$7:$J$2006,'CRM ACTUALS'!$D$7:$D$2006,$A54)/SUMIFS('CRM ACTUALS'!$F$7:$F$2006,'CRM ACTUALS'!$D$7:$D$2006,$A54),""))</f>
        <v/>
      </c>
      <c r="S54" s="21" t="str">
        <f aca="false">IF(OR($Q54="",N($H54)=0),"",$H54/$Q54-1)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36"/>
      <c r="F55" s="11"/>
      <c r="G55" s="37"/>
      <c r="H55" s="38"/>
      <c r="I55" s="37"/>
      <c r="J55" s="36"/>
      <c r="K55" s="11" t="s">
        <v>224</v>
      </c>
      <c r="L55" s="29" t="n">
        <f aca="false">($E55*$G55+$I55)*(1+IF($K55="N",0,INPUTS!$C$23))</f>
        <v>0</v>
      </c>
      <c r="M55" s="39" t="n">
        <f aca="false">$E55*$H55+$J55</f>
        <v>0</v>
      </c>
      <c r="N55" s="29" t="n">
        <f aca="false">$M55*IF(OR($B55="V",$B55="AC"),'LABOUR RATES'!$E$26,'LABOUR RATES'!$E$11)</f>
        <v>0</v>
      </c>
      <c r="O55" s="29" t="n">
        <f aca="false">$M55*IF(OR($B55="V",$B55="AC"),'LABOUR RATES'!$C$27,'LABOUR RATES'!$C$12)</f>
        <v>0</v>
      </c>
      <c r="P55" s="40" t="n">
        <f aca="false">$L55+$N55+$O55</f>
        <v>0</v>
      </c>
      <c r="Q55" s="41" t="str">
        <f aca="false">IF($A55="","",IFERROR(SUMIFS('CRM ACTUALS'!$H$7:$H$2006,'CRM ACTUALS'!$D$7:$D$2006,$A55)/SUMIFS('CRM ACTUALS'!$F$7:$F$2006,'CRM ACTUALS'!$D$7:$D$2006,$A55),""))</f>
        <v/>
      </c>
      <c r="R55" s="28" t="str">
        <f aca="false">IF($A55="","",IFERROR(SUMIFS('CRM ACTUALS'!$J$7:$J$2006,'CRM ACTUALS'!$D$7:$D$2006,$A55)/SUMIFS('CRM ACTUALS'!$F$7:$F$2006,'CRM ACTUALS'!$D$7:$D$2006,$A55),""))</f>
        <v/>
      </c>
      <c r="S55" s="21" t="str">
        <f aca="false">IF(OR($Q55="",N($H55)=0),"",$H55/$Q55-1)</f>
        <v/>
      </c>
    </row>
    <row r="56" customFormat="false" ht="15" hidden="false" customHeight="false" outlineLevel="0" collapsed="false">
      <c r="A56" s="11"/>
      <c r="B56" s="11"/>
      <c r="C56" s="11"/>
      <c r="D56" s="11"/>
      <c r="E56" s="36"/>
      <c r="F56" s="11"/>
      <c r="G56" s="37"/>
      <c r="H56" s="38"/>
      <c r="I56" s="37"/>
      <c r="J56" s="36"/>
      <c r="K56" s="11" t="s">
        <v>224</v>
      </c>
      <c r="L56" s="29" t="n">
        <f aca="false">($E56*$G56+$I56)*(1+IF($K56="N",0,INPUTS!$C$23))</f>
        <v>0</v>
      </c>
      <c r="M56" s="39" t="n">
        <f aca="false">$E56*$H56+$J56</f>
        <v>0</v>
      </c>
      <c r="N56" s="29" t="n">
        <f aca="false">$M56*IF(OR($B56="V",$B56="AC"),'LABOUR RATES'!$E$26,'LABOUR RATES'!$E$11)</f>
        <v>0</v>
      </c>
      <c r="O56" s="29" t="n">
        <f aca="false">$M56*IF(OR($B56="V",$B56="AC"),'LABOUR RATES'!$C$27,'LABOUR RATES'!$C$12)</f>
        <v>0</v>
      </c>
      <c r="P56" s="40" t="n">
        <f aca="false">$L56+$N56+$O56</f>
        <v>0</v>
      </c>
      <c r="Q56" s="41" t="str">
        <f aca="false">IF($A56="","",IFERROR(SUMIFS('CRM ACTUALS'!$H$7:$H$2006,'CRM ACTUALS'!$D$7:$D$2006,$A56)/SUMIFS('CRM ACTUALS'!$F$7:$F$2006,'CRM ACTUALS'!$D$7:$D$2006,$A56),""))</f>
        <v/>
      </c>
      <c r="R56" s="28" t="str">
        <f aca="false">IF($A56="","",IFERROR(SUMIFS('CRM ACTUALS'!$J$7:$J$2006,'CRM ACTUALS'!$D$7:$D$2006,$A56)/SUMIFS('CRM ACTUALS'!$F$7:$F$2006,'CRM ACTUALS'!$D$7:$D$2006,$A56),""))</f>
        <v/>
      </c>
      <c r="S56" s="21" t="str">
        <f aca="false">IF(OR($Q56="",N($H56)=0),"",$H56/$Q56-1)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36"/>
      <c r="F57" s="11"/>
      <c r="G57" s="37"/>
      <c r="H57" s="38"/>
      <c r="I57" s="37"/>
      <c r="J57" s="36"/>
      <c r="K57" s="11" t="s">
        <v>224</v>
      </c>
      <c r="L57" s="29" t="n">
        <f aca="false">($E57*$G57+$I57)*(1+IF($K57="N",0,INPUTS!$C$23))</f>
        <v>0</v>
      </c>
      <c r="M57" s="39" t="n">
        <f aca="false">$E57*$H57+$J57</f>
        <v>0</v>
      </c>
      <c r="N57" s="29" t="n">
        <f aca="false">$M57*IF(OR($B57="V",$B57="AC"),'LABOUR RATES'!$E$26,'LABOUR RATES'!$E$11)</f>
        <v>0</v>
      </c>
      <c r="O57" s="29" t="n">
        <f aca="false">$M57*IF(OR($B57="V",$B57="AC"),'LABOUR RATES'!$C$27,'LABOUR RATES'!$C$12)</f>
        <v>0</v>
      </c>
      <c r="P57" s="40" t="n">
        <f aca="false">$L57+$N57+$O57</f>
        <v>0</v>
      </c>
      <c r="Q57" s="41" t="str">
        <f aca="false">IF($A57="","",IFERROR(SUMIFS('CRM ACTUALS'!$H$7:$H$2006,'CRM ACTUALS'!$D$7:$D$2006,$A57)/SUMIFS('CRM ACTUALS'!$F$7:$F$2006,'CRM ACTUALS'!$D$7:$D$2006,$A57),""))</f>
        <v/>
      </c>
      <c r="R57" s="28" t="str">
        <f aca="false">IF($A57="","",IFERROR(SUMIFS('CRM ACTUALS'!$J$7:$J$2006,'CRM ACTUALS'!$D$7:$D$2006,$A57)/SUMIFS('CRM ACTUALS'!$F$7:$F$2006,'CRM ACTUALS'!$D$7:$D$2006,$A57),""))</f>
        <v/>
      </c>
      <c r="S57" s="21" t="str">
        <f aca="false">IF(OR($Q57="",N($H57)=0),"",$H57/$Q57-1)</f>
        <v/>
      </c>
    </row>
    <row r="58" customFormat="false" ht="15" hidden="false" customHeight="false" outlineLevel="0" collapsed="false">
      <c r="A58" s="11"/>
      <c r="B58" s="11"/>
      <c r="C58" s="11"/>
      <c r="D58" s="11"/>
      <c r="E58" s="36"/>
      <c r="F58" s="11"/>
      <c r="G58" s="37"/>
      <c r="H58" s="38"/>
      <c r="I58" s="37"/>
      <c r="J58" s="36"/>
      <c r="K58" s="11" t="s">
        <v>224</v>
      </c>
      <c r="L58" s="29" t="n">
        <f aca="false">($E58*$G58+$I58)*(1+IF($K58="N",0,INPUTS!$C$23))</f>
        <v>0</v>
      </c>
      <c r="M58" s="39" t="n">
        <f aca="false">$E58*$H58+$J58</f>
        <v>0</v>
      </c>
      <c r="N58" s="29" t="n">
        <f aca="false">$M58*IF(OR($B58="V",$B58="AC"),'LABOUR RATES'!$E$26,'LABOUR RATES'!$E$11)</f>
        <v>0</v>
      </c>
      <c r="O58" s="29" t="n">
        <f aca="false">$M58*IF(OR($B58="V",$B58="AC"),'LABOUR RATES'!$C$27,'LABOUR RATES'!$C$12)</f>
        <v>0</v>
      </c>
      <c r="P58" s="40" t="n">
        <f aca="false">$L58+$N58+$O58</f>
        <v>0</v>
      </c>
      <c r="Q58" s="41" t="str">
        <f aca="false">IF($A58="","",IFERROR(SUMIFS('CRM ACTUALS'!$H$7:$H$2006,'CRM ACTUALS'!$D$7:$D$2006,$A58)/SUMIFS('CRM ACTUALS'!$F$7:$F$2006,'CRM ACTUALS'!$D$7:$D$2006,$A58),""))</f>
        <v/>
      </c>
      <c r="R58" s="28" t="str">
        <f aca="false">IF($A58="","",IFERROR(SUMIFS('CRM ACTUALS'!$J$7:$J$2006,'CRM ACTUALS'!$D$7:$D$2006,$A58)/SUMIFS('CRM ACTUALS'!$F$7:$F$2006,'CRM ACTUALS'!$D$7:$D$2006,$A58),""))</f>
        <v/>
      </c>
      <c r="S58" s="21" t="str">
        <f aca="false">IF(OR($Q58="",N($H58)=0),"",$H58/$Q58-1)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36"/>
      <c r="F59" s="11"/>
      <c r="G59" s="37"/>
      <c r="H59" s="38"/>
      <c r="I59" s="37"/>
      <c r="J59" s="36"/>
      <c r="K59" s="11" t="s">
        <v>224</v>
      </c>
      <c r="L59" s="29" t="n">
        <f aca="false">($E59*$G59+$I59)*(1+IF($K59="N",0,INPUTS!$C$23))</f>
        <v>0</v>
      </c>
      <c r="M59" s="39" t="n">
        <f aca="false">$E59*$H59+$J59</f>
        <v>0</v>
      </c>
      <c r="N59" s="29" t="n">
        <f aca="false">$M59*IF(OR($B59="V",$B59="AC"),'LABOUR RATES'!$E$26,'LABOUR RATES'!$E$11)</f>
        <v>0</v>
      </c>
      <c r="O59" s="29" t="n">
        <f aca="false">$M59*IF(OR($B59="V",$B59="AC"),'LABOUR RATES'!$C$27,'LABOUR RATES'!$C$12)</f>
        <v>0</v>
      </c>
      <c r="P59" s="40" t="n">
        <f aca="false">$L59+$N59+$O59</f>
        <v>0</v>
      </c>
      <c r="Q59" s="41" t="str">
        <f aca="false">IF($A59="","",IFERROR(SUMIFS('CRM ACTUALS'!$H$7:$H$2006,'CRM ACTUALS'!$D$7:$D$2006,$A59)/SUMIFS('CRM ACTUALS'!$F$7:$F$2006,'CRM ACTUALS'!$D$7:$D$2006,$A59),""))</f>
        <v/>
      </c>
      <c r="R59" s="28" t="str">
        <f aca="false">IF($A59="","",IFERROR(SUMIFS('CRM ACTUALS'!$J$7:$J$2006,'CRM ACTUALS'!$D$7:$D$2006,$A59)/SUMIFS('CRM ACTUALS'!$F$7:$F$2006,'CRM ACTUALS'!$D$7:$D$2006,$A59),""))</f>
        <v/>
      </c>
      <c r="S59" s="21" t="str">
        <f aca="false">IF(OR($Q59="",N($H59)=0),"",$H59/$Q59-1)</f>
        <v/>
      </c>
    </row>
    <row r="60" customFormat="false" ht="15" hidden="false" customHeight="false" outlineLevel="0" collapsed="false">
      <c r="A60" s="11"/>
      <c r="B60" s="11"/>
      <c r="C60" s="11"/>
      <c r="D60" s="11"/>
      <c r="E60" s="36"/>
      <c r="F60" s="11"/>
      <c r="G60" s="37"/>
      <c r="H60" s="38"/>
      <c r="I60" s="37"/>
      <c r="J60" s="36"/>
      <c r="K60" s="11" t="s">
        <v>224</v>
      </c>
      <c r="L60" s="29" t="n">
        <f aca="false">($E60*$G60+$I60)*(1+IF($K60="N",0,INPUTS!$C$23))</f>
        <v>0</v>
      </c>
      <c r="M60" s="39" t="n">
        <f aca="false">$E60*$H60+$J60</f>
        <v>0</v>
      </c>
      <c r="N60" s="29" t="n">
        <f aca="false">$M60*IF(OR($B60="V",$B60="AC"),'LABOUR RATES'!$E$26,'LABOUR RATES'!$E$11)</f>
        <v>0</v>
      </c>
      <c r="O60" s="29" t="n">
        <f aca="false">$M60*IF(OR($B60="V",$B60="AC"),'LABOUR RATES'!$C$27,'LABOUR RATES'!$C$12)</f>
        <v>0</v>
      </c>
      <c r="P60" s="40" t="n">
        <f aca="false">$L60+$N60+$O60</f>
        <v>0</v>
      </c>
      <c r="Q60" s="41" t="str">
        <f aca="false">IF($A60="","",IFERROR(SUMIFS('CRM ACTUALS'!$H$7:$H$2006,'CRM ACTUALS'!$D$7:$D$2006,$A60)/SUMIFS('CRM ACTUALS'!$F$7:$F$2006,'CRM ACTUALS'!$D$7:$D$2006,$A60),""))</f>
        <v/>
      </c>
      <c r="R60" s="28" t="str">
        <f aca="false">IF($A60="","",IFERROR(SUMIFS('CRM ACTUALS'!$J$7:$J$2006,'CRM ACTUALS'!$D$7:$D$2006,$A60)/SUMIFS('CRM ACTUALS'!$F$7:$F$2006,'CRM ACTUALS'!$D$7:$D$2006,$A60),""))</f>
        <v/>
      </c>
      <c r="S60" s="21" t="str">
        <f aca="false">IF(OR($Q60="",N($H60)=0),"",$H60/$Q60-1)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36"/>
      <c r="F61" s="11"/>
      <c r="G61" s="37"/>
      <c r="H61" s="38"/>
      <c r="I61" s="37"/>
      <c r="J61" s="36"/>
      <c r="K61" s="11" t="s">
        <v>224</v>
      </c>
      <c r="L61" s="29" t="n">
        <f aca="false">($E61*$G61+$I61)*(1+IF($K61="N",0,INPUTS!$C$23))</f>
        <v>0</v>
      </c>
      <c r="M61" s="39" t="n">
        <f aca="false">$E61*$H61+$J61</f>
        <v>0</v>
      </c>
      <c r="N61" s="29" t="n">
        <f aca="false">$M61*IF(OR($B61="V",$B61="AC"),'LABOUR RATES'!$E$26,'LABOUR RATES'!$E$11)</f>
        <v>0</v>
      </c>
      <c r="O61" s="29" t="n">
        <f aca="false">$M61*IF(OR($B61="V",$B61="AC"),'LABOUR RATES'!$C$27,'LABOUR RATES'!$C$12)</f>
        <v>0</v>
      </c>
      <c r="P61" s="40" t="n">
        <f aca="false">$L61+$N61+$O61</f>
        <v>0</v>
      </c>
      <c r="Q61" s="41" t="str">
        <f aca="false">IF($A61="","",IFERROR(SUMIFS('CRM ACTUALS'!$H$7:$H$2006,'CRM ACTUALS'!$D$7:$D$2006,$A61)/SUMIFS('CRM ACTUALS'!$F$7:$F$2006,'CRM ACTUALS'!$D$7:$D$2006,$A61),""))</f>
        <v/>
      </c>
      <c r="R61" s="28" t="str">
        <f aca="false">IF($A61="","",IFERROR(SUMIFS('CRM ACTUALS'!$J$7:$J$2006,'CRM ACTUALS'!$D$7:$D$2006,$A61)/SUMIFS('CRM ACTUALS'!$F$7:$F$2006,'CRM ACTUALS'!$D$7:$D$2006,$A61),""))</f>
        <v/>
      </c>
      <c r="S61" s="21" t="str">
        <f aca="false">IF(OR($Q61="",N($H61)=0),"",$H61/$Q61-1)</f>
        <v/>
      </c>
    </row>
    <row r="62" customFormat="false" ht="15" hidden="false" customHeight="false" outlineLevel="0" collapsed="false">
      <c r="A62" s="11"/>
      <c r="B62" s="11"/>
      <c r="C62" s="11"/>
      <c r="D62" s="11"/>
      <c r="E62" s="36"/>
      <c r="F62" s="11"/>
      <c r="G62" s="37"/>
      <c r="H62" s="38"/>
      <c r="I62" s="37"/>
      <c r="J62" s="36"/>
      <c r="K62" s="11" t="s">
        <v>224</v>
      </c>
      <c r="L62" s="29" t="n">
        <f aca="false">($E62*$G62+$I62)*(1+IF($K62="N",0,INPUTS!$C$23))</f>
        <v>0</v>
      </c>
      <c r="M62" s="39" t="n">
        <f aca="false">$E62*$H62+$J62</f>
        <v>0</v>
      </c>
      <c r="N62" s="29" t="n">
        <f aca="false">$M62*IF(OR($B62="V",$B62="AC"),'LABOUR RATES'!$E$26,'LABOUR RATES'!$E$11)</f>
        <v>0</v>
      </c>
      <c r="O62" s="29" t="n">
        <f aca="false">$M62*IF(OR($B62="V",$B62="AC"),'LABOUR RATES'!$C$27,'LABOUR RATES'!$C$12)</f>
        <v>0</v>
      </c>
      <c r="P62" s="40" t="n">
        <f aca="false">$L62+$N62+$O62</f>
        <v>0</v>
      </c>
      <c r="Q62" s="41" t="str">
        <f aca="false">IF($A62="","",IFERROR(SUMIFS('CRM ACTUALS'!$H$7:$H$2006,'CRM ACTUALS'!$D$7:$D$2006,$A62)/SUMIFS('CRM ACTUALS'!$F$7:$F$2006,'CRM ACTUALS'!$D$7:$D$2006,$A62),""))</f>
        <v/>
      </c>
      <c r="R62" s="28" t="str">
        <f aca="false">IF($A62="","",IFERROR(SUMIFS('CRM ACTUALS'!$J$7:$J$2006,'CRM ACTUALS'!$D$7:$D$2006,$A62)/SUMIFS('CRM ACTUALS'!$F$7:$F$2006,'CRM ACTUALS'!$D$7:$D$2006,$A62),""))</f>
        <v/>
      </c>
      <c r="S62" s="21" t="str">
        <f aca="false">IF(OR($Q62="",N($H62)=0),"",$H62/$Q62-1)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36"/>
      <c r="F63" s="11"/>
      <c r="G63" s="37"/>
      <c r="H63" s="38"/>
      <c r="I63" s="37"/>
      <c r="J63" s="36"/>
      <c r="K63" s="11" t="s">
        <v>224</v>
      </c>
      <c r="L63" s="29" t="n">
        <f aca="false">($E63*$G63+$I63)*(1+IF($K63="N",0,INPUTS!$C$23))</f>
        <v>0</v>
      </c>
      <c r="M63" s="39" t="n">
        <f aca="false">$E63*$H63+$J63</f>
        <v>0</v>
      </c>
      <c r="N63" s="29" t="n">
        <f aca="false">$M63*IF(OR($B63="V",$B63="AC"),'LABOUR RATES'!$E$26,'LABOUR RATES'!$E$11)</f>
        <v>0</v>
      </c>
      <c r="O63" s="29" t="n">
        <f aca="false">$M63*IF(OR($B63="V",$B63="AC"),'LABOUR RATES'!$C$27,'LABOUR RATES'!$C$12)</f>
        <v>0</v>
      </c>
      <c r="P63" s="40" t="n">
        <f aca="false">$L63+$N63+$O63</f>
        <v>0</v>
      </c>
      <c r="Q63" s="41" t="str">
        <f aca="false">IF($A63="","",IFERROR(SUMIFS('CRM ACTUALS'!$H$7:$H$2006,'CRM ACTUALS'!$D$7:$D$2006,$A63)/SUMIFS('CRM ACTUALS'!$F$7:$F$2006,'CRM ACTUALS'!$D$7:$D$2006,$A63),""))</f>
        <v/>
      </c>
      <c r="R63" s="28" t="str">
        <f aca="false">IF($A63="","",IFERROR(SUMIFS('CRM ACTUALS'!$J$7:$J$2006,'CRM ACTUALS'!$D$7:$D$2006,$A63)/SUMIFS('CRM ACTUALS'!$F$7:$F$2006,'CRM ACTUALS'!$D$7:$D$2006,$A63),""))</f>
        <v/>
      </c>
      <c r="S63" s="21" t="str">
        <f aca="false">IF(OR($Q63="",N($H63)=0),"",$H63/$Q63-1)</f>
        <v/>
      </c>
    </row>
    <row r="64" customFormat="false" ht="15" hidden="false" customHeight="false" outlineLevel="0" collapsed="false">
      <c r="A64" s="11"/>
      <c r="B64" s="11"/>
      <c r="C64" s="11"/>
      <c r="D64" s="11"/>
      <c r="E64" s="36"/>
      <c r="F64" s="11"/>
      <c r="G64" s="37"/>
      <c r="H64" s="38"/>
      <c r="I64" s="37"/>
      <c r="J64" s="36"/>
      <c r="K64" s="11" t="s">
        <v>224</v>
      </c>
      <c r="L64" s="29" t="n">
        <f aca="false">($E64*$G64+$I64)*(1+IF($K64="N",0,INPUTS!$C$23))</f>
        <v>0</v>
      </c>
      <c r="M64" s="39" t="n">
        <f aca="false">$E64*$H64+$J64</f>
        <v>0</v>
      </c>
      <c r="N64" s="29" t="n">
        <f aca="false">$M64*IF(OR($B64="V",$B64="AC"),'LABOUR RATES'!$E$26,'LABOUR RATES'!$E$11)</f>
        <v>0</v>
      </c>
      <c r="O64" s="29" t="n">
        <f aca="false">$M64*IF(OR($B64="V",$B64="AC"),'LABOUR RATES'!$C$27,'LABOUR RATES'!$C$12)</f>
        <v>0</v>
      </c>
      <c r="P64" s="40" t="n">
        <f aca="false">$L64+$N64+$O64</f>
        <v>0</v>
      </c>
      <c r="Q64" s="41" t="str">
        <f aca="false">IF($A64="","",IFERROR(SUMIFS('CRM ACTUALS'!$H$7:$H$2006,'CRM ACTUALS'!$D$7:$D$2006,$A64)/SUMIFS('CRM ACTUALS'!$F$7:$F$2006,'CRM ACTUALS'!$D$7:$D$2006,$A64),""))</f>
        <v/>
      </c>
      <c r="R64" s="28" t="str">
        <f aca="false">IF($A64="","",IFERROR(SUMIFS('CRM ACTUALS'!$J$7:$J$2006,'CRM ACTUALS'!$D$7:$D$2006,$A64)/SUMIFS('CRM ACTUALS'!$F$7:$F$2006,'CRM ACTUALS'!$D$7:$D$2006,$A64),""))</f>
        <v/>
      </c>
      <c r="S64" s="21" t="str">
        <f aca="false">IF(OR($Q64="",N($H64)=0),"",$H64/$Q64-1)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36"/>
      <c r="F65" s="11"/>
      <c r="G65" s="37"/>
      <c r="H65" s="38"/>
      <c r="I65" s="37"/>
      <c r="J65" s="36"/>
      <c r="K65" s="11" t="s">
        <v>224</v>
      </c>
      <c r="L65" s="29" t="n">
        <f aca="false">($E65*$G65+$I65)*(1+IF($K65="N",0,INPUTS!$C$23))</f>
        <v>0</v>
      </c>
      <c r="M65" s="39" t="n">
        <f aca="false">$E65*$H65+$J65</f>
        <v>0</v>
      </c>
      <c r="N65" s="29" t="n">
        <f aca="false">$M65*IF(OR($B65="V",$B65="AC"),'LABOUR RATES'!$E$26,'LABOUR RATES'!$E$11)</f>
        <v>0</v>
      </c>
      <c r="O65" s="29" t="n">
        <f aca="false">$M65*IF(OR($B65="V",$B65="AC"),'LABOUR RATES'!$C$27,'LABOUR RATES'!$C$12)</f>
        <v>0</v>
      </c>
      <c r="P65" s="40" t="n">
        <f aca="false">$L65+$N65+$O65</f>
        <v>0</v>
      </c>
      <c r="Q65" s="41" t="str">
        <f aca="false">IF($A65="","",IFERROR(SUMIFS('CRM ACTUALS'!$H$7:$H$2006,'CRM ACTUALS'!$D$7:$D$2006,$A65)/SUMIFS('CRM ACTUALS'!$F$7:$F$2006,'CRM ACTUALS'!$D$7:$D$2006,$A65),""))</f>
        <v/>
      </c>
      <c r="R65" s="28" t="str">
        <f aca="false">IF($A65="","",IFERROR(SUMIFS('CRM ACTUALS'!$J$7:$J$2006,'CRM ACTUALS'!$D$7:$D$2006,$A65)/SUMIFS('CRM ACTUALS'!$F$7:$F$2006,'CRM ACTUALS'!$D$7:$D$2006,$A65),""))</f>
        <v/>
      </c>
      <c r="S65" s="21" t="str">
        <f aca="false">IF(OR($Q65="",N($H65)=0),"",$H65/$Q65-1)</f>
        <v/>
      </c>
    </row>
    <row r="66" customFormat="false" ht="15" hidden="false" customHeight="false" outlineLevel="0" collapsed="false">
      <c r="A66" s="11"/>
      <c r="B66" s="11"/>
      <c r="C66" s="11"/>
      <c r="D66" s="11"/>
      <c r="E66" s="36"/>
      <c r="F66" s="11"/>
      <c r="G66" s="37"/>
      <c r="H66" s="38"/>
      <c r="I66" s="37"/>
      <c r="J66" s="36"/>
      <c r="K66" s="11" t="s">
        <v>224</v>
      </c>
      <c r="L66" s="29" t="n">
        <f aca="false">($E66*$G66+$I66)*(1+IF($K66="N",0,INPUTS!$C$23))</f>
        <v>0</v>
      </c>
      <c r="M66" s="39" t="n">
        <f aca="false">$E66*$H66+$J66</f>
        <v>0</v>
      </c>
      <c r="N66" s="29" t="n">
        <f aca="false">$M66*IF(OR($B66="V",$B66="AC"),'LABOUR RATES'!$E$26,'LABOUR RATES'!$E$11)</f>
        <v>0</v>
      </c>
      <c r="O66" s="29" t="n">
        <f aca="false">$M66*IF(OR($B66="V",$B66="AC"),'LABOUR RATES'!$C$27,'LABOUR RATES'!$C$12)</f>
        <v>0</v>
      </c>
      <c r="P66" s="40" t="n">
        <f aca="false">$L66+$N66+$O66</f>
        <v>0</v>
      </c>
      <c r="Q66" s="41" t="str">
        <f aca="false">IF($A66="","",IFERROR(SUMIFS('CRM ACTUALS'!$H$7:$H$2006,'CRM ACTUALS'!$D$7:$D$2006,$A66)/SUMIFS('CRM ACTUALS'!$F$7:$F$2006,'CRM ACTUALS'!$D$7:$D$2006,$A66),""))</f>
        <v/>
      </c>
      <c r="R66" s="28" t="str">
        <f aca="false">IF($A66="","",IFERROR(SUMIFS('CRM ACTUALS'!$J$7:$J$2006,'CRM ACTUALS'!$D$7:$D$2006,$A66)/SUMIFS('CRM ACTUALS'!$F$7:$F$2006,'CRM ACTUALS'!$D$7:$D$2006,$A66),""))</f>
        <v/>
      </c>
      <c r="S66" s="21" t="str">
        <f aca="false">IF(OR($Q66="",N($H66)=0),"",$H66/$Q66-1)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36"/>
      <c r="F67" s="11"/>
      <c r="G67" s="37"/>
      <c r="H67" s="38"/>
      <c r="I67" s="37"/>
      <c r="J67" s="36"/>
      <c r="K67" s="11" t="s">
        <v>224</v>
      </c>
      <c r="L67" s="29" t="n">
        <f aca="false">($E67*$G67+$I67)*(1+IF($K67="N",0,INPUTS!$C$23))</f>
        <v>0</v>
      </c>
      <c r="M67" s="39" t="n">
        <f aca="false">$E67*$H67+$J67</f>
        <v>0</v>
      </c>
      <c r="N67" s="29" t="n">
        <f aca="false">$M67*IF(OR($B67="V",$B67="AC"),'LABOUR RATES'!$E$26,'LABOUR RATES'!$E$11)</f>
        <v>0</v>
      </c>
      <c r="O67" s="29" t="n">
        <f aca="false">$M67*IF(OR($B67="V",$B67="AC"),'LABOUR RATES'!$C$27,'LABOUR RATES'!$C$12)</f>
        <v>0</v>
      </c>
      <c r="P67" s="40" t="n">
        <f aca="false">$L67+$N67+$O67</f>
        <v>0</v>
      </c>
      <c r="Q67" s="41" t="str">
        <f aca="false">IF($A67="","",IFERROR(SUMIFS('CRM ACTUALS'!$H$7:$H$2006,'CRM ACTUALS'!$D$7:$D$2006,$A67)/SUMIFS('CRM ACTUALS'!$F$7:$F$2006,'CRM ACTUALS'!$D$7:$D$2006,$A67),""))</f>
        <v/>
      </c>
      <c r="R67" s="28" t="str">
        <f aca="false">IF($A67="","",IFERROR(SUMIFS('CRM ACTUALS'!$J$7:$J$2006,'CRM ACTUALS'!$D$7:$D$2006,$A67)/SUMIFS('CRM ACTUALS'!$F$7:$F$2006,'CRM ACTUALS'!$D$7:$D$2006,$A67),""))</f>
        <v/>
      </c>
      <c r="S67" s="21" t="str">
        <f aca="false">IF(OR($Q67="",N($H67)=0),"",$H67/$Q67-1)</f>
        <v/>
      </c>
    </row>
    <row r="68" customFormat="false" ht="15" hidden="false" customHeight="false" outlineLevel="0" collapsed="false">
      <c r="A68" s="11"/>
      <c r="B68" s="11"/>
      <c r="C68" s="11"/>
      <c r="D68" s="11"/>
      <c r="E68" s="36"/>
      <c r="F68" s="11"/>
      <c r="G68" s="37"/>
      <c r="H68" s="38"/>
      <c r="I68" s="37"/>
      <c r="J68" s="36"/>
      <c r="K68" s="11" t="s">
        <v>224</v>
      </c>
      <c r="L68" s="29" t="n">
        <f aca="false">($E68*$G68+$I68)*(1+IF($K68="N",0,INPUTS!$C$23))</f>
        <v>0</v>
      </c>
      <c r="M68" s="39" t="n">
        <f aca="false">$E68*$H68+$J68</f>
        <v>0</v>
      </c>
      <c r="N68" s="29" t="n">
        <f aca="false">$M68*IF(OR($B68="V",$B68="AC"),'LABOUR RATES'!$E$26,'LABOUR RATES'!$E$11)</f>
        <v>0</v>
      </c>
      <c r="O68" s="29" t="n">
        <f aca="false">$M68*IF(OR($B68="V",$B68="AC"),'LABOUR RATES'!$C$27,'LABOUR RATES'!$C$12)</f>
        <v>0</v>
      </c>
      <c r="P68" s="40" t="n">
        <f aca="false">$L68+$N68+$O68</f>
        <v>0</v>
      </c>
      <c r="Q68" s="41" t="str">
        <f aca="false">IF($A68="","",IFERROR(SUMIFS('CRM ACTUALS'!$H$7:$H$2006,'CRM ACTUALS'!$D$7:$D$2006,$A68)/SUMIFS('CRM ACTUALS'!$F$7:$F$2006,'CRM ACTUALS'!$D$7:$D$2006,$A68),""))</f>
        <v/>
      </c>
      <c r="R68" s="28" t="str">
        <f aca="false">IF($A68="","",IFERROR(SUMIFS('CRM ACTUALS'!$J$7:$J$2006,'CRM ACTUALS'!$D$7:$D$2006,$A68)/SUMIFS('CRM ACTUALS'!$F$7:$F$2006,'CRM ACTUALS'!$D$7:$D$2006,$A68),""))</f>
        <v/>
      </c>
      <c r="S68" s="21" t="str">
        <f aca="false">IF(OR($Q68="",N($H68)=0),"",$H68/$Q68-1)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36"/>
      <c r="F69" s="11"/>
      <c r="G69" s="37"/>
      <c r="H69" s="38"/>
      <c r="I69" s="37"/>
      <c r="J69" s="36"/>
      <c r="K69" s="11" t="s">
        <v>224</v>
      </c>
      <c r="L69" s="29" t="n">
        <f aca="false">($E69*$G69+$I69)*(1+IF($K69="N",0,INPUTS!$C$23))</f>
        <v>0</v>
      </c>
      <c r="M69" s="39" t="n">
        <f aca="false">$E69*$H69+$J69</f>
        <v>0</v>
      </c>
      <c r="N69" s="29" t="n">
        <f aca="false">$M69*IF(OR($B69="V",$B69="AC"),'LABOUR RATES'!$E$26,'LABOUR RATES'!$E$11)</f>
        <v>0</v>
      </c>
      <c r="O69" s="29" t="n">
        <f aca="false">$M69*IF(OR($B69="V",$B69="AC"),'LABOUR RATES'!$C$27,'LABOUR RATES'!$C$12)</f>
        <v>0</v>
      </c>
      <c r="P69" s="40" t="n">
        <f aca="false">$L69+$N69+$O69</f>
        <v>0</v>
      </c>
      <c r="Q69" s="41" t="str">
        <f aca="false">IF($A69="","",IFERROR(SUMIFS('CRM ACTUALS'!$H$7:$H$2006,'CRM ACTUALS'!$D$7:$D$2006,$A69)/SUMIFS('CRM ACTUALS'!$F$7:$F$2006,'CRM ACTUALS'!$D$7:$D$2006,$A69),""))</f>
        <v/>
      </c>
      <c r="R69" s="28" t="str">
        <f aca="false">IF($A69="","",IFERROR(SUMIFS('CRM ACTUALS'!$J$7:$J$2006,'CRM ACTUALS'!$D$7:$D$2006,$A69)/SUMIFS('CRM ACTUALS'!$F$7:$F$2006,'CRM ACTUALS'!$D$7:$D$2006,$A69),""))</f>
        <v/>
      </c>
      <c r="S69" s="21" t="str">
        <f aca="false">IF(OR($Q69="",N($H69)=0),"",$H69/$Q69-1)</f>
        <v/>
      </c>
    </row>
    <row r="70" customFormat="false" ht="15" hidden="false" customHeight="false" outlineLevel="0" collapsed="false">
      <c r="A70" s="11"/>
      <c r="B70" s="11"/>
      <c r="C70" s="11"/>
      <c r="D70" s="11"/>
      <c r="E70" s="36"/>
      <c r="F70" s="11"/>
      <c r="G70" s="37"/>
      <c r="H70" s="38"/>
      <c r="I70" s="37"/>
      <c r="J70" s="36"/>
      <c r="K70" s="11" t="s">
        <v>224</v>
      </c>
      <c r="L70" s="29" t="n">
        <f aca="false">($E70*$G70+$I70)*(1+IF($K70="N",0,INPUTS!$C$23))</f>
        <v>0</v>
      </c>
      <c r="M70" s="39" t="n">
        <f aca="false">$E70*$H70+$J70</f>
        <v>0</v>
      </c>
      <c r="N70" s="29" t="n">
        <f aca="false">$M70*IF(OR($B70="V",$B70="AC"),'LABOUR RATES'!$E$26,'LABOUR RATES'!$E$11)</f>
        <v>0</v>
      </c>
      <c r="O70" s="29" t="n">
        <f aca="false">$M70*IF(OR($B70="V",$B70="AC"),'LABOUR RATES'!$C$27,'LABOUR RATES'!$C$12)</f>
        <v>0</v>
      </c>
      <c r="P70" s="40" t="n">
        <f aca="false">$L70+$N70+$O70</f>
        <v>0</v>
      </c>
      <c r="Q70" s="41" t="str">
        <f aca="false">IF($A70="","",IFERROR(SUMIFS('CRM ACTUALS'!$H$7:$H$2006,'CRM ACTUALS'!$D$7:$D$2006,$A70)/SUMIFS('CRM ACTUALS'!$F$7:$F$2006,'CRM ACTUALS'!$D$7:$D$2006,$A70),""))</f>
        <v/>
      </c>
      <c r="R70" s="28" t="str">
        <f aca="false">IF($A70="","",IFERROR(SUMIFS('CRM ACTUALS'!$J$7:$J$2006,'CRM ACTUALS'!$D$7:$D$2006,$A70)/SUMIFS('CRM ACTUALS'!$F$7:$F$2006,'CRM ACTUALS'!$D$7:$D$2006,$A70),""))</f>
        <v/>
      </c>
      <c r="S70" s="21" t="str">
        <f aca="false">IF(OR($Q70="",N($H70)=0),"",$H70/$Q70-1)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36"/>
      <c r="F71" s="11"/>
      <c r="G71" s="37"/>
      <c r="H71" s="38"/>
      <c r="I71" s="37"/>
      <c r="J71" s="36"/>
      <c r="K71" s="11" t="s">
        <v>224</v>
      </c>
      <c r="L71" s="29" t="n">
        <f aca="false">($E71*$G71+$I71)*(1+IF($K71="N",0,INPUTS!$C$23))</f>
        <v>0</v>
      </c>
      <c r="M71" s="39" t="n">
        <f aca="false">$E71*$H71+$J71</f>
        <v>0</v>
      </c>
      <c r="N71" s="29" t="n">
        <f aca="false">$M71*IF(OR($B71="V",$B71="AC"),'LABOUR RATES'!$E$26,'LABOUR RATES'!$E$11)</f>
        <v>0</v>
      </c>
      <c r="O71" s="29" t="n">
        <f aca="false">$M71*IF(OR($B71="V",$B71="AC"),'LABOUR RATES'!$C$27,'LABOUR RATES'!$C$12)</f>
        <v>0</v>
      </c>
      <c r="P71" s="40" t="n">
        <f aca="false">$L71+$N71+$O71</f>
        <v>0</v>
      </c>
      <c r="Q71" s="41" t="str">
        <f aca="false">IF($A71="","",IFERROR(SUMIFS('CRM ACTUALS'!$H$7:$H$2006,'CRM ACTUALS'!$D$7:$D$2006,$A71)/SUMIFS('CRM ACTUALS'!$F$7:$F$2006,'CRM ACTUALS'!$D$7:$D$2006,$A71),""))</f>
        <v/>
      </c>
      <c r="R71" s="28" t="str">
        <f aca="false">IF($A71="","",IFERROR(SUMIFS('CRM ACTUALS'!$J$7:$J$2006,'CRM ACTUALS'!$D$7:$D$2006,$A71)/SUMIFS('CRM ACTUALS'!$F$7:$F$2006,'CRM ACTUALS'!$D$7:$D$2006,$A71),""))</f>
        <v/>
      </c>
      <c r="S71" s="21" t="str">
        <f aca="false">IF(OR($Q71="",N($H71)=0),"",$H71/$Q71-1)</f>
        <v/>
      </c>
    </row>
    <row r="72" customFormat="false" ht="15" hidden="false" customHeight="false" outlineLevel="0" collapsed="false">
      <c r="A72" s="11"/>
      <c r="B72" s="11"/>
      <c r="C72" s="11"/>
      <c r="D72" s="11"/>
      <c r="E72" s="36"/>
      <c r="F72" s="11"/>
      <c r="G72" s="37"/>
      <c r="H72" s="38"/>
      <c r="I72" s="37"/>
      <c r="J72" s="36"/>
      <c r="K72" s="11" t="s">
        <v>224</v>
      </c>
      <c r="L72" s="29" t="n">
        <f aca="false">($E72*$G72+$I72)*(1+IF($K72="N",0,INPUTS!$C$23))</f>
        <v>0</v>
      </c>
      <c r="M72" s="39" t="n">
        <f aca="false">$E72*$H72+$J72</f>
        <v>0</v>
      </c>
      <c r="N72" s="29" t="n">
        <f aca="false">$M72*IF(OR($B72="V",$B72="AC"),'LABOUR RATES'!$E$26,'LABOUR RATES'!$E$11)</f>
        <v>0</v>
      </c>
      <c r="O72" s="29" t="n">
        <f aca="false">$M72*IF(OR($B72="V",$B72="AC"),'LABOUR RATES'!$C$27,'LABOUR RATES'!$C$12)</f>
        <v>0</v>
      </c>
      <c r="P72" s="40" t="n">
        <f aca="false">$L72+$N72+$O72</f>
        <v>0</v>
      </c>
      <c r="Q72" s="41" t="str">
        <f aca="false">IF($A72="","",IFERROR(SUMIFS('CRM ACTUALS'!$H$7:$H$2006,'CRM ACTUALS'!$D$7:$D$2006,$A72)/SUMIFS('CRM ACTUALS'!$F$7:$F$2006,'CRM ACTUALS'!$D$7:$D$2006,$A72),""))</f>
        <v/>
      </c>
      <c r="R72" s="28" t="str">
        <f aca="false">IF($A72="","",IFERROR(SUMIFS('CRM ACTUALS'!$J$7:$J$2006,'CRM ACTUALS'!$D$7:$D$2006,$A72)/SUMIFS('CRM ACTUALS'!$F$7:$F$2006,'CRM ACTUALS'!$D$7:$D$2006,$A72),""))</f>
        <v/>
      </c>
      <c r="S72" s="21" t="str">
        <f aca="false">IF(OR($Q72="",N($H72)=0),"",$H72/$Q72-1)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36"/>
      <c r="F73" s="11"/>
      <c r="G73" s="37"/>
      <c r="H73" s="38"/>
      <c r="I73" s="37"/>
      <c r="J73" s="36"/>
      <c r="K73" s="11" t="s">
        <v>224</v>
      </c>
      <c r="L73" s="29" t="n">
        <f aca="false">($E73*$G73+$I73)*(1+IF($K73="N",0,INPUTS!$C$23))</f>
        <v>0</v>
      </c>
      <c r="M73" s="39" t="n">
        <f aca="false">$E73*$H73+$J73</f>
        <v>0</v>
      </c>
      <c r="N73" s="29" t="n">
        <f aca="false">$M73*IF(OR($B73="V",$B73="AC"),'LABOUR RATES'!$E$26,'LABOUR RATES'!$E$11)</f>
        <v>0</v>
      </c>
      <c r="O73" s="29" t="n">
        <f aca="false">$M73*IF(OR($B73="V",$B73="AC"),'LABOUR RATES'!$C$27,'LABOUR RATES'!$C$12)</f>
        <v>0</v>
      </c>
      <c r="P73" s="40" t="n">
        <f aca="false">$L73+$N73+$O73</f>
        <v>0</v>
      </c>
      <c r="Q73" s="41" t="str">
        <f aca="false">IF($A73="","",IFERROR(SUMIFS('CRM ACTUALS'!$H$7:$H$2006,'CRM ACTUALS'!$D$7:$D$2006,$A73)/SUMIFS('CRM ACTUALS'!$F$7:$F$2006,'CRM ACTUALS'!$D$7:$D$2006,$A73),""))</f>
        <v/>
      </c>
      <c r="R73" s="28" t="str">
        <f aca="false">IF($A73="","",IFERROR(SUMIFS('CRM ACTUALS'!$J$7:$J$2006,'CRM ACTUALS'!$D$7:$D$2006,$A73)/SUMIFS('CRM ACTUALS'!$F$7:$F$2006,'CRM ACTUALS'!$D$7:$D$2006,$A73),""))</f>
        <v/>
      </c>
      <c r="S73" s="21" t="str">
        <f aca="false">IF(OR($Q73="",N($H73)=0),"",$H73/$Q73-1)</f>
        <v/>
      </c>
    </row>
    <row r="74" customFormat="false" ht="15" hidden="false" customHeight="false" outlineLevel="0" collapsed="false">
      <c r="A74" s="11"/>
      <c r="B74" s="11"/>
      <c r="C74" s="11"/>
      <c r="D74" s="11"/>
      <c r="E74" s="36"/>
      <c r="F74" s="11"/>
      <c r="G74" s="37"/>
      <c r="H74" s="38"/>
      <c r="I74" s="37"/>
      <c r="J74" s="36"/>
      <c r="K74" s="11" t="s">
        <v>224</v>
      </c>
      <c r="L74" s="29" t="n">
        <f aca="false">($E74*$G74+$I74)*(1+IF($K74="N",0,INPUTS!$C$23))</f>
        <v>0</v>
      </c>
      <c r="M74" s="39" t="n">
        <f aca="false">$E74*$H74+$J74</f>
        <v>0</v>
      </c>
      <c r="N74" s="29" t="n">
        <f aca="false">$M74*IF(OR($B74="V",$B74="AC"),'LABOUR RATES'!$E$26,'LABOUR RATES'!$E$11)</f>
        <v>0</v>
      </c>
      <c r="O74" s="29" t="n">
        <f aca="false">$M74*IF(OR($B74="V",$B74="AC"),'LABOUR RATES'!$C$27,'LABOUR RATES'!$C$12)</f>
        <v>0</v>
      </c>
      <c r="P74" s="40" t="n">
        <f aca="false">$L74+$N74+$O74</f>
        <v>0</v>
      </c>
      <c r="Q74" s="41" t="str">
        <f aca="false">IF($A74="","",IFERROR(SUMIFS('CRM ACTUALS'!$H$7:$H$2006,'CRM ACTUALS'!$D$7:$D$2006,$A74)/SUMIFS('CRM ACTUALS'!$F$7:$F$2006,'CRM ACTUALS'!$D$7:$D$2006,$A74),""))</f>
        <v/>
      </c>
      <c r="R74" s="28" t="str">
        <f aca="false">IF($A74="","",IFERROR(SUMIFS('CRM ACTUALS'!$J$7:$J$2006,'CRM ACTUALS'!$D$7:$D$2006,$A74)/SUMIFS('CRM ACTUALS'!$F$7:$F$2006,'CRM ACTUALS'!$D$7:$D$2006,$A74),""))</f>
        <v/>
      </c>
      <c r="S74" s="21" t="str">
        <f aca="false">IF(OR($Q74="",N($H74)=0),"",$H74/$Q74-1)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36"/>
      <c r="F75" s="11"/>
      <c r="G75" s="37"/>
      <c r="H75" s="38"/>
      <c r="I75" s="37"/>
      <c r="J75" s="36"/>
      <c r="K75" s="11" t="s">
        <v>224</v>
      </c>
      <c r="L75" s="29" t="n">
        <f aca="false">($E75*$G75+$I75)*(1+IF($K75="N",0,INPUTS!$C$23))</f>
        <v>0</v>
      </c>
      <c r="M75" s="39" t="n">
        <f aca="false">$E75*$H75+$J75</f>
        <v>0</v>
      </c>
      <c r="N75" s="29" t="n">
        <f aca="false">$M75*IF(OR($B75="V",$B75="AC"),'LABOUR RATES'!$E$26,'LABOUR RATES'!$E$11)</f>
        <v>0</v>
      </c>
      <c r="O75" s="29" t="n">
        <f aca="false">$M75*IF(OR($B75="V",$B75="AC"),'LABOUR RATES'!$C$27,'LABOUR RATES'!$C$12)</f>
        <v>0</v>
      </c>
      <c r="P75" s="40" t="n">
        <f aca="false">$L75+$N75+$O75</f>
        <v>0</v>
      </c>
      <c r="Q75" s="41" t="str">
        <f aca="false">IF($A75="","",IFERROR(SUMIFS('CRM ACTUALS'!$H$7:$H$2006,'CRM ACTUALS'!$D$7:$D$2006,$A75)/SUMIFS('CRM ACTUALS'!$F$7:$F$2006,'CRM ACTUALS'!$D$7:$D$2006,$A75),""))</f>
        <v/>
      </c>
      <c r="R75" s="28" t="str">
        <f aca="false">IF($A75="","",IFERROR(SUMIFS('CRM ACTUALS'!$J$7:$J$2006,'CRM ACTUALS'!$D$7:$D$2006,$A75)/SUMIFS('CRM ACTUALS'!$F$7:$F$2006,'CRM ACTUALS'!$D$7:$D$2006,$A75),""))</f>
        <v/>
      </c>
      <c r="S75" s="21" t="str">
        <f aca="false">IF(OR($Q75="",N($H75)=0),"",$H75/$Q75-1)</f>
        <v/>
      </c>
    </row>
    <row r="76" customFormat="false" ht="15" hidden="false" customHeight="false" outlineLevel="0" collapsed="false">
      <c r="A76" s="11"/>
      <c r="B76" s="11"/>
      <c r="C76" s="11"/>
      <c r="D76" s="11"/>
      <c r="E76" s="36"/>
      <c r="F76" s="11"/>
      <c r="G76" s="37"/>
      <c r="H76" s="38"/>
      <c r="I76" s="37"/>
      <c r="J76" s="36"/>
      <c r="K76" s="11" t="s">
        <v>224</v>
      </c>
      <c r="L76" s="29" t="n">
        <f aca="false">($E76*$G76+$I76)*(1+IF($K76="N",0,INPUTS!$C$23))</f>
        <v>0</v>
      </c>
      <c r="M76" s="39" t="n">
        <f aca="false">$E76*$H76+$J76</f>
        <v>0</v>
      </c>
      <c r="N76" s="29" t="n">
        <f aca="false">$M76*IF(OR($B76="V",$B76="AC"),'LABOUR RATES'!$E$26,'LABOUR RATES'!$E$11)</f>
        <v>0</v>
      </c>
      <c r="O76" s="29" t="n">
        <f aca="false">$M76*IF(OR($B76="V",$B76="AC"),'LABOUR RATES'!$C$27,'LABOUR RATES'!$C$12)</f>
        <v>0</v>
      </c>
      <c r="P76" s="40" t="n">
        <f aca="false">$L76+$N76+$O76</f>
        <v>0</v>
      </c>
      <c r="Q76" s="41" t="str">
        <f aca="false">IF($A76="","",IFERROR(SUMIFS('CRM ACTUALS'!$H$7:$H$2006,'CRM ACTUALS'!$D$7:$D$2006,$A76)/SUMIFS('CRM ACTUALS'!$F$7:$F$2006,'CRM ACTUALS'!$D$7:$D$2006,$A76),""))</f>
        <v/>
      </c>
      <c r="R76" s="28" t="str">
        <f aca="false">IF($A76="","",IFERROR(SUMIFS('CRM ACTUALS'!$J$7:$J$2006,'CRM ACTUALS'!$D$7:$D$2006,$A76)/SUMIFS('CRM ACTUALS'!$F$7:$F$2006,'CRM ACTUALS'!$D$7:$D$2006,$A76),""))</f>
        <v/>
      </c>
      <c r="S76" s="21" t="str">
        <f aca="false">IF(OR($Q76="",N($H76)=0),"",$H76/$Q76-1)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36"/>
      <c r="F77" s="11"/>
      <c r="G77" s="37"/>
      <c r="H77" s="38"/>
      <c r="I77" s="37"/>
      <c r="J77" s="36"/>
      <c r="K77" s="11" t="s">
        <v>224</v>
      </c>
      <c r="L77" s="29" t="n">
        <f aca="false">($E77*$G77+$I77)*(1+IF($K77="N",0,INPUTS!$C$23))</f>
        <v>0</v>
      </c>
      <c r="M77" s="39" t="n">
        <f aca="false">$E77*$H77+$J77</f>
        <v>0</v>
      </c>
      <c r="N77" s="29" t="n">
        <f aca="false">$M77*IF(OR($B77="V",$B77="AC"),'LABOUR RATES'!$E$26,'LABOUR RATES'!$E$11)</f>
        <v>0</v>
      </c>
      <c r="O77" s="29" t="n">
        <f aca="false">$M77*IF(OR($B77="V",$B77="AC"),'LABOUR RATES'!$C$27,'LABOUR RATES'!$C$12)</f>
        <v>0</v>
      </c>
      <c r="P77" s="40" t="n">
        <f aca="false">$L77+$N77+$O77</f>
        <v>0</v>
      </c>
      <c r="Q77" s="41" t="str">
        <f aca="false">IF($A77="","",IFERROR(SUMIFS('CRM ACTUALS'!$H$7:$H$2006,'CRM ACTUALS'!$D$7:$D$2006,$A77)/SUMIFS('CRM ACTUALS'!$F$7:$F$2006,'CRM ACTUALS'!$D$7:$D$2006,$A77),""))</f>
        <v/>
      </c>
      <c r="R77" s="28" t="str">
        <f aca="false">IF($A77="","",IFERROR(SUMIFS('CRM ACTUALS'!$J$7:$J$2006,'CRM ACTUALS'!$D$7:$D$2006,$A77)/SUMIFS('CRM ACTUALS'!$F$7:$F$2006,'CRM ACTUALS'!$D$7:$D$2006,$A77),""))</f>
        <v/>
      </c>
      <c r="S77" s="21" t="str">
        <f aca="false">IF(OR($Q77="",N($H77)=0),"",$H77/$Q77-1)</f>
        <v/>
      </c>
    </row>
    <row r="78" customFormat="false" ht="15" hidden="false" customHeight="false" outlineLevel="0" collapsed="false">
      <c r="A78" s="11"/>
      <c r="B78" s="11"/>
      <c r="C78" s="11"/>
      <c r="D78" s="11"/>
      <c r="E78" s="36"/>
      <c r="F78" s="11"/>
      <c r="G78" s="37"/>
      <c r="H78" s="38"/>
      <c r="I78" s="37"/>
      <c r="J78" s="36"/>
      <c r="K78" s="11" t="s">
        <v>224</v>
      </c>
      <c r="L78" s="29" t="n">
        <f aca="false">($E78*$G78+$I78)*(1+IF($K78="N",0,INPUTS!$C$23))</f>
        <v>0</v>
      </c>
      <c r="M78" s="39" t="n">
        <f aca="false">$E78*$H78+$J78</f>
        <v>0</v>
      </c>
      <c r="N78" s="29" t="n">
        <f aca="false">$M78*IF(OR($B78="V",$B78="AC"),'LABOUR RATES'!$E$26,'LABOUR RATES'!$E$11)</f>
        <v>0</v>
      </c>
      <c r="O78" s="29" t="n">
        <f aca="false">$M78*IF(OR($B78="V",$B78="AC"),'LABOUR RATES'!$C$27,'LABOUR RATES'!$C$12)</f>
        <v>0</v>
      </c>
      <c r="P78" s="40" t="n">
        <f aca="false">$L78+$N78+$O78</f>
        <v>0</v>
      </c>
      <c r="Q78" s="41" t="str">
        <f aca="false">IF($A78="","",IFERROR(SUMIFS('CRM ACTUALS'!$H$7:$H$2006,'CRM ACTUALS'!$D$7:$D$2006,$A78)/SUMIFS('CRM ACTUALS'!$F$7:$F$2006,'CRM ACTUALS'!$D$7:$D$2006,$A78),""))</f>
        <v/>
      </c>
      <c r="R78" s="28" t="str">
        <f aca="false">IF($A78="","",IFERROR(SUMIFS('CRM ACTUALS'!$J$7:$J$2006,'CRM ACTUALS'!$D$7:$D$2006,$A78)/SUMIFS('CRM ACTUALS'!$F$7:$F$2006,'CRM ACTUALS'!$D$7:$D$2006,$A78),""))</f>
        <v/>
      </c>
      <c r="S78" s="21" t="str">
        <f aca="false">IF(OR($Q78="",N($H78)=0),"",$H78/$Q78-1)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36"/>
      <c r="F79" s="11"/>
      <c r="G79" s="37"/>
      <c r="H79" s="38"/>
      <c r="I79" s="37"/>
      <c r="J79" s="36"/>
      <c r="K79" s="11" t="s">
        <v>224</v>
      </c>
      <c r="L79" s="29" t="n">
        <f aca="false">($E79*$G79+$I79)*(1+IF($K79="N",0,INPUTS!$C$23))</f>
        <v>0</v>
      </c>
      <c r="M79" s="39" t="n">
        <f aca="false">$E79*$H79+$J79</f>
        <v>0</v>
      </c>
      <c r="N79" s="29" t="n">
        <f aca="false">$M79*IF(OR($B79="V",$B79="AC"),'LABOUR RATES'!$E$26,'LABOUR RATES'!$E$11)</f>
        <v>0</v>
      </c>
      <c r="O79" s="29" t="n">
        <f aca="false">$M79*IF(OR($B79="V",$B79="AC"),'LABOUR RATES'!$C$27,'LABOUR RATES'!$C$12)</f>
        <v>0</v>
      </c>
      <c r="P79" s="40" t="n">
        <f aca="false">$L79+$N79+$O79</f>
        <v>0</v>
      </c>
      <c r="Q79" s="41" t="str">
        <f aca="false">IF($A79="","",IFERROR(SUMIFS('CRM ACTUALS'!$H$7:$H$2006,'CRM ACTUALS'!$D$7:$D$2006,$A79)/SUMIFS('CRM ACTUALS'!$F$7:$F$2006,'CRM ACTUALS'!$D$7:$D$2006,$A79),""))</f>
        <v/>
      </c>
      <c r="R79" s="28" t="str">
        <f aca="false">IF($A79="","",IFERROR(SUMIFS('CRM ACTUALS'!$J$7:$J$2006,'CRM ACTUALS'!$D$7:$D$2006,$A79)/SUMIFS('CRM ACTUALS'!$F$7:$F$2006,'CRM ACTUALS'!$D$7:$D$2006,$A79),""))</f>
        <v/>
      </c>
      <c r="S79" s="21" t="str">
        <f aca="false">IF(OR($Q79="",N($H79)=0),"",$H79/$Q79-1)</f>
        <v/>
      </c>
    </row>
    <row r="80" customFormat="false" ht="15" hidden="false" customHeight="false" outlineLevel="0" collapsed="false">
      <c r="A80" s="11"/>
      <c r="B80" s="11"/>
      <c r="C80" s="11"/>
      <c r="D80" s="11"/>
      <c r="E80" s="36"/>
      <c r="F80" s="11"/>
      <c r="G80" s="37"/>
      <c r="H80" s="38"/>
      <c r="I80" s="37"/>
      <c r="J80" s="36"/>
      <c r="K80" s="11" t="s">
        <v>224</v>
      </c>
      <c r="L80" s="29" t="n">
        <f aca="false">($E80*$G80+$I80)*(1+IF($K80="N",0,INPUTS!$C$23))</f>
        <v>0</v>
      </c>
      <c r="M80" s="39" t="n">
        <f aca="false">$E80*$H80+$J80</f>
        <v>0</v>
      </c>
      <c r="N80" s="29" t="n">
        <f aca="false">$M80*IF(OR($B80="V",$B80="AC"),'LABOUR RATES'!$E$26,'LABOUR RATES'!$E$11)</f>
        <v>0</v>
      </c>
      <c r="O80" s="29" t="n">
        <f aca="false">$M80*IF(OR($B80="V",$B80="AC"),'LABOUR RATES'!$C$27,'LABOUR RATES'!$C$12)</f>
        <v>0</v>
      </c>
      <c r="P80" s="40" t="n">
        <f aca="false">$L80+$N80+$O80</f>
        <v>0</v>
      </c>
      <c r="Q80" s="41" t="str">
        <f aca="false">IF($A80="","",IFERROR(SUMIFS('CRM ACTUALS'!$H$7:$H$2006,'CRM ACTUALS'!$D$7:$D$2006,$A80)/SUMIFS('CRM ACTUALS'!$F$7:$F$2006,'CRM ACTUALS'!$D$7:$D$2006,$A80),""))</f>
        <v/>
      </c>
      <c r="R80" s="28" t="str">
        <f aca="false">IF($A80="","",IFERROR(SUMIFS('CRM ACTUALS'!$J$7:$J$2006,'CRM ACTUALS'!$D$7:$D$2006,$A80)/SUMIFS('CRM ACTUALS'!$F$7:$F$2006,'CRM ACTUALS'!$D$7:$D$2006,$A80),""))</f>
        <v/>
      </c>
      <c r="S80" s="21" t="str">
        <f aca="false">IF(OR($Q80="",N($H80)=0),"",$H80/$Q80-1)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36"/>
      <c r="F81" s="11"/>
      <c r="G81" s="37"/>
      <c r="H81" s="38"/>
      <c r="I81" s="37"/>
      <c r="J81" s="36"/>
      <c r="K81" s="11" t="s">
        <v>224</v>
      </c>
      <c r="L81" s="29" t="n">
        <f aca="false">($E81*$G81+$I81)*(1+IF($K81="N",0,INPUTS!$C$23))</f>
        <v>0</v>
      </c>
      <c r="M81" s="39" t="n">
        <f aca="false">$E81*$H81+$J81</f>
        <v>0</v>
      </c>
      <c r="N81" s="29" t="n">
        <f aca="false">$M81*IF(OR($B81="V",$B81="AC"),'LABOUR RATES'!$E$26,'LABOUR RATES'!$E$11)</f>
        <v>0</v>
      </c>
      <c r="O81" s="29" t="n">
        <f aca="false">$M81*IF(OR($B81="V",$B81="AC"),'LABOUR RATES'!$C$27,'LABOUR RATES'!$C$12)</f>
        <v>0</v>
      </c>
      <c r="P81" s="40" t="n">
        <f aca="false">$L81+$N81+$O81</f>
        <v>0</v>
      </c>
      <c r="Q81" s="41" t="str">
        <f aca="false">IF($A81="","",IFERROR(SUMIFS('CRM ACTUALS'!$H$7:$H$2006,'CRM ACTUALS'!$D$7:$D$2006,$A81)/SUMIFS('CRM ACTUALS'!$F$7:$F$2006,'CRM ACTUALS'!$D$7:$D$2006,$A81),""))</f>
        <v/>
      </c>
      <c r="R81" s="28" t="str">
        <f aca="false">IF($A81="","",IFERROR(SUMIFS('CRM ACTUALS'!$J$7:$J$2006,'CRM ACTUALS'!$D$7:$D$2006,$A81)/SUMIFS('CRM ACTUALS'!$F$7:$F$2006,'CRM ACTUALS'!$D$7:$D$2006,$A81),""))</f>
        <v/>
      </c>
      <c r="S81" s="21" t="str">
        <f aca="false">IF(OR($Q81="",N($H81)=0),"",$H81/$Q81-1)</f>
        <v/>
      </c>
    </row>
    <row r="82" customFormat="false" ht="15" hidden="false" customHeight="false" outlineLevel="0" collapsed="false">
      <c r="A82" s="11"/>
      <c r="B82" s="11"/>
      <c r="C82" s="11"/>
      <c r="D82" s="11"/>
      <c r="E82" s="36"/>
      <c r="F82" s="11"/>
      <c r="G82" s="37"/>
      <c r="H82" s="38"/>
      <c r="I82" s="37"/>
      <c r="J82" s="36"/>
      <c r="K82" s="11" t="s">
        <v>224</v>
      </c>
      <c r="L82" s="29" t="n">
        <f aca="false">($E82*$G82+$I82)*(1+IF($K82="N",0,INPUTS!$C$23))</f>
        <v>0</v>
      </c>
      <c r="M82" s="39" t="n">
        <f aca="false">$E82*$H82+$J82</f>
        <v>0</v>
      </c>
      <c r="N82" s="29" t="n">
        <f aca="false">$M82*IF(OR($B82="V",$B82="AC"),'LABOUR RATES'!$E$26,'LABOUR RATES'!$E$11)</f>
        <v>0</v>
      </c>
      <c r="O82" s="29" t="n">
        <f aca="false">$M82*IF(OR($B82="V",$B82="AC"),'LABOUR RATES'!$C$27,'LABOUR RATES'!$C$12)</f>
        <v>0</v>
      </c>
      <c r="P82" s="40" t="n">
        <f aca="false">$L82+$N82+$O82</f>
        <v>0</v>
      </c>
      <c r="Q82" s="41" t="str">
        <f aca="false">IF($A82="","",IFERROR(SUMIFS('CRM ACTUALS'!$H$7:$H$2006,'CRM ACTUALS'!$D$7:$D$2006,$A82)/SUMIFS('CRM ACTUALS'!$F$7:$F$2006,'CRM ACTUALS'!$D$7:$D$2006,$A82),""))</f>
        <v/>
      </c>
      <c r="R82" s="28" t="str">
        <f aca="false">IF($A82="","",IFERROR(SUMIFS('CRM ACTUALS'!$J$7:$J$2006,'CRM ACTUALS'!$D$7:$D$2006,$A82)/SUMIFS('CRM ACTUALS'!$F$7:$F$2006,'CRM ACTUALS'!$D$7:$D$2006,$A82),""))</f>
        <v/>
      </c>
      <c r="S82" s="21" t="str">
        <f aca="false">IF(OR($Q82="",N($H82)=0),"",$H82/$Q82-1)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36"/>
      <c r="F83" s="11"/>
      <c r="G83" s="37"/>
      <c r="H83" s="38"/>
      <c r="I83" s="37"/>
      <c r="J83" s="36"/>
      <c r="K83" s="11" t="s">
        <v>224</v>
      </c>
      <c r="L83" s="29" t="n">
        <f aca="false">($E83*$G83+$I83)*(1+IF($K83="N",0,INPUTS!$C$23))</f>
        <v>0</v>
      </c>
      <c r="M83" s="39" t="n">
        <f aca="false">$E83*$H83+$J83</f>
        <v>0</v>
      </c>
      <c r="N83" s="29" t="n">
        <f aca="false">$M83*IF(OR($B83="V",$B83="AC"),'LABOUR RATES'!$E$26,'LABOUR RATES'!$E$11)</f>
        <v>0</v>
      </c>
      <c r="O83" s="29" t="n">
        <f aca="false">$M83*IF(OR($B83="V",$B83="AC"),'LABOUR RATES'!$C$27,'LABOUR RATES'!$C$12)</f>
        <v>0</v>
      </c>
      <c r="P83" s="40" t="n">
        <f aca="false">$L83+$N83+$O83</f>
        <v>0</v>
      </c>
      <c r="Q83" s="41" t="str">
        <f aca="false">IF($A83="","",IFERROR(SUMIFS('CRM ACTUALS'!$H$7:$H$2006,'CRM ACTUALS'!$D$7:$D$2006,$A83)/SUMIFS('CRM ACTUALS'!$F$7:$F$2006,'CRM ACTUALS'!$D$7:$D$2006,$A83),""))</f>
        <v/>
      </c>
      <c r="R83" s="28" t="str">
        <f aca="false">IF($A83="","",IFERROR(SUMIFS('CRM ACTUALS'!$J$7:$J$2006,'CRM ACTUALS'!$D$7:$D$2006,$A83)/SUMIFS('CRM ACTUALS'!$F$7:$F$2006,'CRM ACTUALS'!$D$7:$D$2006,$A83),""))</f>
        <v/>
      </c>
      <c r="S83" s="21" t="str">
        <f aca="false">IF(OR($Q83="",N($H83)=0),"",$H83/$Q83-1)</f>
        <v/>
      </c>
    </row>
    <row r="84" customFormat="false" ht="15" hidden="false" customHeight="false" outlineLevel="0" collapsed="false">
      <c r="A84" s="11"/>
      <c r="B84" s="11"/>
      <c r="C84" s="11"/>
      <c r="D84" s="11"/>
      <c r="E84" s="36"/>
      <c r="F84" s="11"/>
      <c r="G84" s="37"/>
      <c r="H84" s="38"/>
      <c r="I84" s="37"/>
      <c r="J84" s="36"/>
      <c r="K84" s="11" t="s">
        <v>224</v>
      </c>
      <c r="L84" s="29" t="n">
        <f aca="false">($E84*$G84+$I84)*(1+IF($K84="N",0,INPUTS!$C$23))</f>
        <v>0</v>
      </c>
      <c r="M84" s="39" t="n">
        <f aca="false">$E84*$H84+$J84</f>
        <v>0</v>
      </c>
      <c r="N84" s="29" t="n">
        <f aca="false">$M84*IF(OR($B84="V",$B84="AC"),'LABOUR RATES'!$E$26,'LABOUR RATES'!$E$11)</f>
        <v>0</v>
      </c>
      <c r="O84" s="29" t="n">
        <f aca="false">$M84*IF(OR($B84="V",$B84="AC"),'LABOUR RATES'!$C$27,'LABOUR RATES'!$C$12)</f>
        <v>0</v>
      </c>
      <c r="P84" s="40" t="n">
        <f aca="false">$L84+$N84+$O84</f>
        <v>0</v>
      </c>
      <c r="Q84" s="41" t="str">
        <f aca="false">IF($A84="","",IFERROR(SUMIFS('CRM ACTUALS'!$H$7:$H$2006,'CRM ACTUALS'!$D$7:$D$2006,$A84)/SUMIFS('CRM ACTUALS'!$F$7:$F$2006,'CRM ACTUALS'!$D$7:$D$2006,$A84),""))</f>
        <v/>
      </c>
      <c r="R84" s="28" t="str">
        <f aca="false">IF($A84="","",IFERROR(SUMIFS('CRM ACTUALS'!$J$7:$J$2006,'CRM ACTUALS'!$D$7:$D$2006,$A84)/SUMIFS('CRM ACTUALS'!$F$7:$F$2006,'CRM ACTUALS'!$D$7:$D$2006,$A84),""))</f>
        <v/>
      </c>
      <c r="S84" s="21" t="str">
        <f aca="false">IF(OR($Q84="",N($H84)=0),"",$H84/$Q84-1)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36"/>
      <c r="F85" s="11"/>
      <c r="G85" s="37"/>
      <c r="H85" s="38"/>
      <c r="I85" s="37"/>
      <c r="J85" s="36"/>
      <c r="K85" s="11" t="s">
        <v>224</v>
      </c>
      <c r="L85" s="29" t="n">
        <f aca="false">($E85*$G85+$I85)*(1+IF($K85="N",0,INPUTS!$C$23))</f>
        <v>0</v>
      </c>
      <c r="M85" s="39" t="n">
        <f aca="false">$E85*$H85+$J85</f>
        <v>0</v>
      </c>
      <c r="N85" s="29" t="n">
        <f aca="false">$M85*IF(OR($B85="V",$B85="AC"),'LABOUR RATES'!$E$26,'LABOUR RATES'!$E$11)</f>
        <v>0</v>
      </c>
      <c r="O85" s="29" t="n">
        <f aca="false">$M85*IF(OR($B85="V",$B85="AC"),'LABOUR RATES'!$C$27,'LABOUR RATES'!$C$12)</f>
        <v>0</v>
      </c>
      <c r="P85" s="40" t="n">
        <f aca="false">$L85+$N85+$O85</f>
        <v>0</v>
      </c>
      <c r="Q85" s="41" t="str">
        <f aca="false">IF($A85="","",IFERROR(SUMIFS('CRM ACTUALS'!$H$7:$H$2006,'CRM ACTUALS'!$D$7:$D$2006,$A85)/SUMIFS('CRM ACTUALS'!$F$7:$F$2006,'CRM ACTUALS'!$D$7:$D$2006,$A85),""))</f>
        <v/>
      </c>
      <c r="R85" s="28" t="str">
        <f aca="false">IF($A85="","",IFERROR(SUMIFS('CRM ACTUALS'!$J$7:$J$2006,'CRM ACTUALS'!$D$7:$D$2006,$A85)/SUMIFS('CRM ACTUALS'!$F$7:$F$2006,'CRM ACTUALS'!$D$7:$D$2006,$A85),""))</f>
        <v/>
      </c>
      <c r="S85" s="21" t="str">
        <f aca="false">IF(OR($Q85="",N($H85)=0),"",$H85/$Q85-1)</f>
        <v/>
      </c>
    </row>
    <row r="86" customFormat="false" ht="15" hidden="false" customHeight="false" outlineLevel="0" collapsed="false">
      <c r="A86" s="11"/>
      <c r="B86" s="11"/>
      <c r="C86" s="11"/>
      <c r="D86" s="11"/>
      <c r="E86" s="36"/>
      <c r="F86" s="11"/>
      <c r="G86" s="37"/>
      <c r="H86" s="38"/>
      <c r="I86" s="37"/>
      <c r="J86" s="36"/>
      <c r="K86" s="11" t="s">
        <v>224</v>
      </c>
      <c r="L86" s="29" t="n">
        <f aca="false">($E86*$G86+$I86)*(1+IF($K86="N",0,INPUTS!$C$23))</f>
        <v>0</v>
      </c>
      <c r="M86" s="39" t="n">
        <f aca="false">$E86*$H86+$J86</f>
        <v>0</v>
      </c>
      <c r="N86" s="29" t="n">
        <f aca="false">$M86*IF(OR($B86="V",$B86="AC"),'LABOUR RATES'!$E$26,'LABOUR RATES'!$E$11)</f>
        <v>0</v>
      </c>
      <c r="O86" s="29" t="n">
        <f aca="false">$M86*IF(OR($B86="V",$B86="AC"),'LABOUR RATES'!$C$27,'LABOUR RATES'!$C$12)</f>
        <v>0</v>
      </c>
      <c r="P86" s="40" t="n">
        <f aca="false">$L86+$N86+$O86</f>
        <v>0</v>
      </c>
      <c r="Q86" s="41" t="str">
        <f aca="false">IF($A86="","",IFERROR(SUMIFS('CRM ACTUALS'!$H$7:$H$2006,'CRM ACTUALS'!$D$7:$D$2006,$A86)/SUMIFS('CRM ACTUALS'!$F$7:$F$2006,'CRM ACTUALS'!$D$7:$D$2006,$A86),""))</f>
        <v/>
      </c>
      <c r="R86" s="28" t="str">
        <f aca="false">IF($A86="","",IFERROR(SUMIFS('CRM ACTUALS'!$J$7:$J$2006,'CRM ACTUALS'!$D$7:$D$2006,$A86)/SUMIFS('CRM ACTUALS'!$F$7:$F$2006,'CRM ACTUALS'!$D$7:$D$2006,$A86),""))</f>
        <v/>
      </c>
      <c r="S86" s="21" t="str">
        <f aca="false">IF(OR($Q86="",N($H86)=0),"",$H86/$Q86-1)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36"/>
      <c r="F87" s="11"/>
      <c r="G87" s="37"/>
      <c r="H87" s="38"/>
      <c r="I87" s="37"/>
      <c r="J87" s="36"/>
      <c r="K87" s="11" t="s">
        <v>224</v>
      </c>
      <c r="L87" s="29" t="n">
        <f aca="false">($E87*$G87+$I87)*(1+IF($K87="N",0,INPUTS!$C$23))</f>
        <v>0</v>
      </c>
      <c r="M87" s="39" t="n">
        <f aca="false">$E87*$H87+$J87</f>
        <v>0</v>
      </c>
      <c r="N87" s="29" t="n">
        <f aca="false">$M87*IF(OR($B87="V",$B87="AC"),'LABOUR RATES'!$E$26,'LABOUR RATES'!$E$11)</f>
        <v>0</v>
      </c>
      <c r="O87" s="29" t="n">
        <f aca="false">$M87*IF(OR($B87="V",$B87="AC"),'LABOUR RATES'!$C$27,'LABOUR RATES'!$C$12)</f>
        <v>0</v>
      </c>
      <c r="P87" s="40" t="n">
        <f aca="false">$L87+$N87+$O87</f>
        <v>0</v>
      </c>
      <c r="Q87" s="41" t="str">
        <f aca="false">IF($A87="","",IFERROR(SUMIFS('CRM ACTUALS'!$H$7:$H$2006,'CRM ACTUALS'!$D$7:$D$2006,$A87)/SUMIFS('CRM ACTUALS'!$F$7:$F$2006,'CRM ACTUALS'!$D$7:$D$2006,$A87),""))</f>
        <v/>
      </c>
      <c r="R87" s="28" t="str">
        <f aca="false">IF($A87="","",IFERROR(SUMIFS('CRM ACTUALS'!$J$7:$J$2006,'CRM ACTUALS'!$D$7:$D$2006,$A87)/SUMIFS('CRM ACTUALS'!$F$7:$F$2006,'CRM ACTUALS'!$D$7:$D$2006,$A87),""))</f>
        <v/>
      </c>
      <c r="S87" s="21" t="str">
        <f aca="false">IF(OR($Q87="",N($H87)=0),"",$H87/$Q87-1)</f>
        <v/>
      </c>
    </row>
    <row r="88" customFormat="false" ht="15" hidden="false" customHeight="false" outlineLevel="0" collapsed="false">
      <c r="A88" s="11"/>
      <c r="B88" s="11"/>
      <c r="C88" s="11"/>
      <c r="D88" s="11"/>
      <c r="E88" s="36"/>
      <c r="F88" s="11"/>
      <c r="G88" s="37"/>
      <c r="H88" s="38"/>
      <c r="I88" s="37"/>
      <c r="J88" s="36"/>
      <c r="K88" s="11" t="s">
        <v>224</v>
      </c>
      <c r="L88" s="29" t="n">
        <f aca="false">($E88*$G88+$I88)*(1+IF($K88="N",0,INPUTS!$C$23))</f>
        <v>0</v>
      </c>
      <c r="M88" s="39" t="n">
        <f aca="false">$E88*$H88+$J88</f>
        <v>0</v>
      </c>
      <c r="N88" s="29" t="n">
        <f aca="false">$M88*IF(OR($B88="V",$B88="AC"),'LABOUR RATES'!$E$26,'LABOUR RATES'!$E$11)</f>
        <v>0</v>
      </c>
      <c r="O88" s="29" t="n">
        <f aca="false">$M88*IF(OR($B88="V",$B88="AC"),'LABOUR RATES'!$C$27,'LABOUR RATES'!$C$12)</f>
        <v>0</v>
      </c>
      <c r="P88" s="40" t="n">
        <f aca="false">$L88+$N88+$O88</f>
        <v>0</v>
      </c>
      <c r="Q88" s="41" t="str">
        <f aca="false">IF($A88="","",IFERROR(SUMIFS('CRM ACTUALS'!$H$7:$H$2006,'CRM ACTUALS'!$D$7:$D$2006,$A88)/SUMIFS('CRM ACTUALS'!$F$7:$F$2006,'CRM ACTUALS'!$D$7:$D$2006,$A88),""))</f>
        <v/>
      </c>
      <c r="R88" s="28" t="str">
        <f aca="false">IF($A88="","",IFERROR(SUMIFS('CRM ACTUALS'!$J$7:$J$2006,'CRM ACTUALS'!$D$7:$D$2006,$A88)/SUMIFS('CRM ACTUALS'!$F$7:$F$2006,'CRM ACTUALS'!$D$7:$D$2006,$A88),""))</f>
        <v/>
      </c>
      <c r="S88" s="21" t="str">
        <f aca="false">IF(OR($Q88="",N($H88)=0),"",$H88/$Q88-1)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36"/>
      <c r="F89" s="11"/>
      <c r="G89" s="37"/>
      <c r="H89" s="38"/>
      <c r="I89" s="37"/>
      <c r="J89" s="36"/>
      <c r="K89" s="11" t="s">
        <v>224</v>
      </c>
      <c r="L89" s="29" t="n">
        <f aca="false">($E89*$G89+$I89)*(1+IF($K89="N",0,INPUTS!$C$23))</f>
        <v>0</v>
      </c>
      <c r="M89" s="39" t="n">
        <f aca="false">$E89*$H89+$J89</f>
        <v>0</v>
      </c>
      <c r="N89" s="29" t="n">
        <f aca="false">$M89*IF(OR($B89="V",$B89="AC"),'LABOUR RATES'!$E$26,'LABOUR RATES'!$E$11)</f>
        <v>0</v>
      </c>
      <c r="O89" s="29" t="n">
        <f aca="false">$M89*IF(OR($B89="V",$B89="AC"),'LABOUR RATES'!$C$27,'LABOUR RATES'!$C$12)</f>
        <v>0</v>
      </c>
      <c r="P89" s="40" t="n">
        <f aca="false">$L89+$N89+$O89</f>
        <v>0</v>
      </c>
      <c r="Q89" s="41" t="str">
        <f aca="false">IF($A89="","",IFERROR(SUMIFS('CRM ACTUALS'!$H$7:$H$2006,'CRM ACTUALS'!$D$7:$D$2006,$A89)/SUMIFS('CRM ACTUALS'!$F$7:$F$2006,'CRM ACTUALS'!$D$7:$D$2006,$A89),""))</f>
        <v/>
      </c>
      <c r="R89" s="28" t="str">
        <f aca="false">IF($A89="","",IFERROR(SUMIFS('CRM ACTUALS'!$J$7:$J$2006,'CRM ACTUALS'!$D$7:$D$2006,$A89)/SUMIFS('CRM ACTUALS'!$F$7:$F$2006,'CRM ACTUALS'!$D$7:$D$2006,$A89),""))</f>
        <v/>
      </c>
      <c r="S89" s="21" t="str">
        <f aca="false">IF(OR($Q89="",N($H89)=0),"",$H89/$Q89-1)</f>
        <v/>
      </c>
    </row>
    <row r="90" customFormat="false" ht="15" hidden="false" customHeight="false" outlineLevel="0" collapsed="false">
      <c r="A90" s="11"/>
      <c r="B90" s="11"/>
      <c r="C90" s="11"/>
      <c r="D90" s="11"/>
      <c r="E90" s="36"/>
      <c r="F90" s="11"/>
      <c r="G90" s="37"/>
      <c r="H90" s="38"/>
      <c r="I90" s="37"/>
      <c r="J90" s="36"/>
      <c r="K90" s="11" t="s">
        <v>224</v>
      </c>
      <c r="L90" s="29" t="n">
        <f aca="false">($E90*$G90+$I90)*(1+IF($K90="N",0,INPUTS!$C$23))</f>
        <v>0</v>
      </c>
      <c r="M90" s="39" t="n">
        <f aca="false">$E90*$H90+$J90</f>
        <v>0</v>
      </c>
      <c r="N90" s="29" t="n">
        <f aca="false">$M90*IF(OR($B90="V",$B90="AC"),'LABOUR RATES'!$E$26,'LABOUR RATES'!$E$11)</f>
        <v>0</v>
      </c>
      <c r="O90" s="29" t="n">
        <f aca="false">$M90*IF(OR($B90="V",$B90="AC"),'LABOUR RATES'!$C$27,'LABOUR RATES'!$C$12)</f>
        <v>0</v>
      </c>
      <c r="P90" s="40" t="n">
        <f aca="false">$L90+$N90+$O90</f>
        <v>0</v>
      </c>
      <c r="Q90" s="41" t="str">
        <f aca="false">IF($A90="","",IFERROR(SUMIFS('CRM ACTUALS'!$H$7:$H$2006,'CRM ACTUALS'!$D$7:$D$2006,$A90)/SUMIFS('CRM ACTUALS'!$F$7:$F$2006,'CRM ACTUALS'!$D$7:$D$2006,$A90),""))</f>
        <v/>
      </c>
      <c r="R90" s="28" t="str">
        <f aca="false">IF($A90="","",IFERROR(SUMIFS('CRM ACTUALS'!$J$7:$J$2006,'CRM ACTUALS'!$D$7:$D$2006,$A90)/SUMIFS('CRM ACTUALS'!$F$7:$F$2006,'CRM ACTUALS'!$D$7:$D$2006,$A90),""))</f>
        <v/>
      </c>
      <c r="S90" s="21" t="str">
        <f aca="false">IF(OR($Q90="",N($H90)=0),"",$H90/$Q90-1)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36"/>
      <c r="F91" s="11"/>
      <c r="G91" s="37"/>
      <c r="H91" s="38"/>
      <c r="I91" s="37"/>
      <c r="J91" s="36"/>
      <c r="K91" s="11" t="s">
        <v>224</v>
      </c>
      <c r="L91" s="29" t="n">
        <f aca="false">($E91*$G91+$I91)*(1+IF($K91="N",0,INPUTS!$C$23))</f>
        <v>0</v>
      </c>
      <c r="M91" s="39" t="n">
        <f aca="false">$E91*$H91+$J91</f>
        <v>0</v>
      </c>
      <c r="N91" s="29" t="n">
        <f aca="false">$M91*IF(OR($B91="V",$B91="AC"),'LABOUR RATES'!$E$26,'LABOUR RATES'!$E$11)</f>
        <v>0</v>
      </c>
      <c r="O91" s="29" t="n">
        <f aca="false">$M91*IF(OR($B91="V",$B91="AC"),'LABOUR RATES'!$C$27,'LABOUR RATES'!$C$12)</f>
        <v>0</v>
      </c>
      <c r="P91" s="40" t="n">
        <f aca="false">$L91+$N91+$O91</f>
        <v>0</v>
      </c>
      <c r="Q91" s="41" t="str">
        <f aca="false">IF($A91="","",IFERROR(SUMIFS('CRM ACTUALS'!$H$7:$H$2006,'CRM ACTUALS'!$D$7:$D$2006,$A91)/SUMIFS('CRM ACTUALS'!$F$7:$F$2006,'CRM ACTUALS'!$D$7:$D$2006,$A91),""))</f>
        <v/>
      </c>
      <c r="R91" s="28" t="str">
        <f aca="false">IF($A91="","",IFERROR(SUMIFS('CRM ACTUALS'!$J$7:$J$2006,'CRM ACTUALS'!$D$7:$D$2006,$A91)/SUMIFS('CRM ACTUALS'!$F$7:$F$2006,'CRM ACTUALS'!$D$7:$D$2006,$A91),""))</f>
        <v/>
      </c>
      <c r="S91" s="21" t="str">
        <f aca="false">IF(OR($Q91="",N($H91)=0),"",$H91/$Q91-1)</f>
        <v/>
      </c>
    </row>
    <row r="92" customFormat="false" ht="15" hidden="false" customHeight="false" outlineLevel="0" collapsed="false">
      <c r="A92" s="11"/>
      <c r="B92" s="11"/>
      <c r="C92" s="11"/>
      <c r="D92" s="11"/>
      <c r="E92" s="36"/>
      <c r="F92" s="11"/>
      <c r="G92" s="37"/>
      <c r="H92" s="38"/>
      <c r="I92" s="37"/>
      <c r="J92" s="36"/>
      <c r="K92" s="11" t="s">
        <v>224</v>
      </c>
      <c r="L92" s="29" t="n">
        <f aca="false">($E92*$G92+$I92)*(1+IF($K92="N",0,INPUTS!$C$23))</f>
        <v>0</v>
      </c>
      <c r="M92" s="39" t="n">
        <f aca="false">$E92*$H92+$J92</f>
        <v>0</v>
      </c>
      <c r="N92" s="29" t="n">
        <f aca="false">$M92*IF(OR($B92="V",$B92="AC"),'LABOUR RATES'!$E$26,'LABOUR RATES'!$E$11)</f>
        <v>0</v>
      </c>
      <c r="O92" s="29" t="n">
        <f aca="false">$M92*IF(OR($B92="V",$B92="AC"),'LABOUR RATES'!$C$27,'LABOUR RATES'!$C$12)</f>
        <v>0</v>
      </c>
      <c r="P92" s="40" t="n">
        <f aca="false">$L92+$N92+$O92</f>
        <v>0</v>
      </c>
      <c r="Q92" s="41" t="str">
        <f aca="false">IF($A92="","",IFERROR(SUMIFS('CRM ACTUALS'!$H$7:$H$2006,'CRM ACTUALS'!$D$7:$D$2006,$A92)/SUMIFS('CRM ACTUALS'!$F$7:$F$2006,'CRM ACTUALS'!$D$7:$D$2006,$A92),""))</f>
        <v/>
      </c>
      <c r="R92" s="28" t="str">
        <f aca="false">IF($A92="","",IFERROR(SUMIFS('CRM ACTUALS'!$J$7:$J$2006,'CRM ACTUALS'!$D$7:$D$2006,$A92)/SUMIFS('CRM ACTUALS'!$F$7:$F$2006,'CRM ACTUALS'!$D$7:$D$2006,$A92),""))</f>
        <v/>
      </c>
      <c r="S92" s="21" t="str">
        <f aca="false">IF(OR($Q92="",N($H92)=0),"",$H92/$Q92-1)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36"/>
      <c r="F93" s="11"/>
      <c r="G93" s="37"/>
      <c r="H93" s="38"/>
      <c r="I93" s="37"/>
      <c r="J93" s="36"/>
      <c r="K93" s="11" t="s">
        <v>224</v>
      </c>
      <c r="L93" s="29" t="n">
        <f aca="false">($E93*$G93+$I93)*(1+IF($K93="N",0,INPUTS!$C$23))</f>
        <v>0</v>
      </c>
      <c r="M93" s="39" t="n">
        <f aca="false">$E93*$H93+$J93</f>
        <v>0</v>
      </c>
      <c r="N93" s="29" t="n">
        <f aca="false">$M93*IF(OR($B93="V",$B93="AC"),'LABOUR RATES'!$E$26,'LABOUR RATES'!$E$11)</f>
        <v>0</v>
      </c>
      <c r="O93" s="29" t="n">
        <f aca="false">$M93*IF(OR($B93="V",$B93="AC"),'LABOUR RATES'!$C$27,'LABOUR RATES'!$C$12)</f>
        <v>0</v>
      </c>
      <c r="P93" s="40" t="n">
        <f aca="false">$L93+$N93+$O93</f>
        <v>0</v>
      </c>
      <c r="Q93" s="41" t="str">
        <f aca="false">IF($A93="","",IFERROR(SUMIFS('CRM ACTUALS'!$H$7:$H$2006,'CRM ACTUALS'!$D$7:$D$2006,$A93)/SUMIFS('CRM ACTUALS'!$F$7:$F$2006,'CRM ACTUALS'!$D$7:$D$2006,$A93),""))</f>
        <v/>
      </c>
      <c r="R93" s="28" t="str">
        <f aca="false">IF($A93="","",IFERROR(SUMIFS('CRM ACTUALS'!$J$7:$J$2006,'CRM ACTUALS'!$D$7:$D$2006,$A93)/SUMIFS('CRM ACTUALS'!$F$7:$F$2006,'CRM ACTUALS'!$D$7:$D$2006,$A93),""))</f>
        <v/>
      </c>
      <c r="S93" s="21" t="str">
        <f aca="false">IF(OR($Q93="",N($H93)=0),"",$H93/$Q93-1)</f>
        <v/>
      </c>
    </row>
    <row r="94" customFormat="false" ht="15" hidden="false" customHeight="false" outlineLevel="0" collapsed="false">
      <c r="A94" s="11"/>
      <c r="B94" s="11"/>
      <c r="C94" s="11"/>
      <c r="D94" s="11"/>
      <c r="E94" s="36"/>
      <c r="F94" s="11"/>
      <c r="G94" s="37"/>
      <c r="H94" s="38"/>
      <c r="I94" s="37"/>
      <c r="J94" s="36"/>
      <c r="K94" s="11" t="s">
        <v>224</v>
      </c>
      <c r="L94" s="29" t="n">
        <f aca="false">($E94*$G94+$I94)*(1+IF($K94="N",0,INPUTS!$C$23))</f>
        <v>0</v>
      </c>
      <c r="M94" s="39" t="n">
        <f aca="false">$E94*$H94+$J94</f>
        <v>0</v>
      </c>
      <c r="N94" s="29" t="n">
        <f aca="false">$M94*IF(OR($B94="V",$B94="AC"),'LABOUR RATES'!$E$26,'LABOUR RATES'!$E$11)</f>
        <v>0</v>
      </c>
      <c r="O94" s="29" t="n">
        <f aca="false">$M94*IF(OR($B94="V",$B94="AC"),'LABOUR RATES'!$C$27,'LABOUR RATES'!$C$12)</f>
        <v>0</v>
      </c>
      <c r="P94" s="40" t="n">
        <f aca="false">$L94+$N94+$O94</f>
        <v>0</v>
      </c>
      <c r="Q94" s="41" t="str">
        <f aca="false">IF($A94="","",IFERROR(SUMIFS('CRM ACTUALS'!$H$7:$H$2006,'CRM ACTUALS'!$D$7:$D$2006,$A94)/SUMIFS('CRM ACTUALS'!$F$7:$F$2006,'CRM ACTUALS'!$D$7:$D$2006,$A94),""))</f>
        <v/>
      </c>
      <c r="R94" s="28" t="str">
        <f aca="false">IF($A94="","",IFERROR(SUMIFS('CRM ACTUALS'!$J$7:$J$2006,'CRM ACTUALS'!$D$7:$D$2006,$A94)/SUMIFS('CRM ACTUALS'!$F$7:$F$2006,'CRM ACTUALS'!$D$7:$D$2006,$A94),""))</f>
        <v/>
      </c>
      <c r="S94" s="21" t="str">
        <f aca="false">IF(OR($Q94="",N($H94)=0),"",$H94/$Q94-1)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36"/>
      <c r="F95" s="11"/>
      <c r="G95" s="37"/>
      <c r="H95" s="38"/>
      <c r="I95" s="37"/>
      <c r="J95" s="36"/>
      <c r="K95" s="11" t="s">
        <v>224</v>
      </c>
      <c r="L95" s="29" t="n">
        <f aca="false">($E95*$G95+$I95)*(1+IF($K95="N",0,INPUTS!$C$23))</f>
        <v>0</v>
      </c>
      <c r="M95" s="39" t="n">
        <f aca="false">$E95*$H95+$J95</f>
        <v>0</v>
      </c>
      <c r="N95" s="29" t="n">
        <f aca="false">$M95*IF(OR($B95="V",$B95="AC"),'LABOUR RATES'!$E$26,'LABOUR RATES'!$E$11)</f>
        <v>0</v>
      </c>
      <c r="O95" s="29" t="n">
        <f aca="false">$M95*IF(OR($B95="V",$B95="AC"),'LABOUR RATES'!$C$27,'LABOUR RATES'!$C$12)</f>
        <v>0</v>
      </c>
      <c r="P95" s="40" t="n">
        <f aca="false">$L95+$N95+$O95</f>
        <v>0</v>
      </c>
      <c r="Q95" s="41" t="str">
        <f aca="false">IF($A95="","",IFERROR(SUMIFS('CRM ACTUALS'!$H$7:$H$2006,'CRM ACTUALS'!$D$7:$D$2006,$A95)/SUMIFS('CRM ACTUALS'!$F$7:$F$2006,'CRM ACTUALS'!$D$7:$D$2006,$A95),""))</f>
        <v/>
      </c>
      <c r="R95" s="28" t="str">
        <f aca="false">IF($A95="","",IFERROR(SUMIFS('CRM ACTUALS'!$J$7:$J$2006,'CRM ACTUALS'!$D$7:$D$2006,$A95)/SUMIFS('CRM ACTUALS'!$F$7:$F$2006,'CRM ACTUALS'!$D$7:$D$2006,$A95),""))</f>
        <v/>
      </c>
      <c r="S95" s="21" t="str">
        <f aca="false">IF(OR($Q95="",N($H95)=0),"",$H95/$Q95-1)</f>
        <v/>
      </c>
    </row>
    <row r="96" customFormat="false" ht="15" hidden="false" customHeight="false" outlineLevel="0" collapsed="false">
      <c r="A96" s="11"/>
      <c r="B96" s="11"/>
      <c r="C96" s="11"/>
      <c r="D96" s="11"/>
      <c r="E96" s="36"/>
      <c r="F96" s="11"/>
      <c r="G96" s="37"/>
      <c r="H96" s="38"/>
      <c r="I96" s="37"/>
      <c r="J96" s="36"/>
      <c r="K96" s="11" t="s">
        <v>224</v>
      </c>
      <c r="L96" s="29" t="n">
        <f aca="false">($E96*$G96+$I96)*(1+IF($K96="N",0,INPUTS!$C$23))</f>
        <v>0</v>
      </c>
      <c r="M96" s="39" t="n">
        <f aca="false">$E96*$H96+$J96</f>
        <v>0</v>
      </c>
      <c r="N96" s="29" t="n">
        <f aca="false">$M96*IF(OR($B96="V",$B96="AC"),'LABOUR RATES'!$E$26,'LABOUR RATES'!$E$11)</f>
        <v>0</v>
      </c>
      <c r="O96" s="29" t="n">
        <f aca="false">$M96*IF(OR($B96="V",$B96="AC"),'LABOUR RATES'!$C$27,'LABOUR RATES'!$C$12)</f>
        <v>0</v>
      </c>
      <c r="P96" s="40" t="n">
        <f aca="false">$L96+$N96+$O96</f>
        <v>0</v>
      </c>
      <c r="Q96" s="41" t="str">
        <f aca="false">IF($A96="","",IFERROR(SUMIFS('CRM ACTUALS'!$H$7:$H$2006,'CRM ACTUALS'!$D$7:$D$2006,$A96)/SUMIFS('CRM ACTUALS'!$F$7:$F$2006,'CRM ACTUALS'!$D$7:$D$2006,$A96),""))</f>
        <v/>
      </c>
      <c r="R96" s="28" t="str">
        <f aca="false">IF($A96="","",IFERROR(SUMIFS('CRM ACTUALS'!$J$7:$J$2006,'CRM ACTUALS'!$D$7:$D$2006,$A96)/SUMIFS('CRM ACTUALS'!$F$7:$F$2006,'CRM ACTUALS'!$D$7:$D$2006,$A96),""))</f>
        <v/>
      </c>
      <c r="S96" s="21" t="str">
        <f aca="false">IF(OR($Q96="",N($H96)=0),"",$H96/$Q96-1)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36"/>
      <c r="F97" s="11"/>
      <c r="G97" s="37"/>
      <c r="H97" s="38"/>
      <c r="I97" s="37"/>
      <c r="J97" s="36"/>
      <c r="K97" s="11" t="s">
        <v>224</v>
      </c>
      <c r="L97" s="29" t="n">
        <f aca="false">($E97*$G97+$I97)*(1+IF($K97="N",0,INPUTS!$C$23))</f>
        <v>0</v>
      </c>
      <c r="M97" s="39" t="n">
        <f aca="false">$E97*$H97+$J97</f>
        <v>0</v>
      </c>
      <c r="N97" s="29" t="n">
        <f aca="false">$M97*IF(OR($B97="V",$B97="AC"),'LABOUR RATES'!$E$26,'LABOUR RATES'!$E$11)</f>
        <v>0</v>
      </c>
      <c r="O97" s="29" t="n">
        <f aca="false">$M97*IF(OR($B97="V",$B97="AC"),'LABOUR RATES'!$C$27,'LABOUR RATES'!$C$12)</f>
        <v>0</v>
      </c>
      <c r="P97" s="40" t="n">
        <f aca="false">$L97+$N97+$O97</f>
        <v>0</v>
      </c>
      <c r="Q97" s="41" t="str">
        <f aca="false">IF($A97="","",IFERROR(SUMIFS('CRM ACTUALS'!$H$7:$H$2006,'CRM ACTUALS'!$D$7:$D$2006,$A97)/SUMIFS('CRM ACTUALS'!$F$7:$F$2006,'CRM ACTUALS'!$D$7:$D$2006,$A97),""))</f>
        <v/>
      </c>
      <c r="R97" s="28" t="str">
        <f aca="false">IF($A97="","",IFERROR(SUMIFS('CRM ACTUALS'!$J$7:$J$2006,'CRM ACTUALS'!$D$7:$D$2006,$A97)/SUMIFS('CRM ACTUALS'!$F$7:$F$2006,'CRM ACTUALS'!$D$7:$D$2006,$A97),""))</f>
        <v/>
      </c>
      <c r="S97" s="21" t="str">
        <f aca="false">IF(OR($Q97="",N($H97)=0),"",$H97/$Q97-1)</f>
        <v/>
      </c>
    </row>
    <row r="98" customFormat="false" ht="15" hidden="false" customHeight="false" outlineLevel="0" collapsed="false">
      <c r="A98" s="11"/>
      <c r="B98" s="11"/>
      <c r="C98" s="11"/>
      <c r="D98" s="11"/>
      <c r="E98" s="36"/>
      <c r="F98" s="11"/>
      <c r="G98" s="37"/>
      <c r="H98" s="38"/>
      <c r="I98" s="37"/>
      <c r="J98" s="36"/>
      <c r="K98" s="11" t="s">
        <v>224</v>
      </c>
      <c r="L98" s="29" t="n">
        <f aca="false">($E98*$G98+$I98)*(1+IF($K98="N",0,INPUTS!$C$23))</f>
        <v>0</v>
      </c>
      <c r="M98" s="39" t="n">
        <f aca="false">$E98*$H98+$J98</f>
        <v>0</v>
      </c>
      <c r="N98" s="29" t="n">
        <f aca="false">$M98*IF(OR($B98="V",$B98="AC"),'LABOUR RATES'!$E$26,'LABOUR RATES'!$E$11)</f>
        <v>0</v>
      </c>
      <c r="O98" s="29" t="n">
        <f aca="false">$M98*IF(OR($B98="V",$B98="AC"),'LABOUR RATES'!$C$27,'LABOUR RATES'!$C$12)</f>
        <v>0</v>
      </c>
      <c r="P98" s="40" t="n">
        <f aca="false">$L98+$N98+$O98</f>
        <v>0</v>
      </c>
      <c r="Q98" s="41" t="str">
        <f aca="false">IF($A98="","",IFERROR(SUMIFS('CRM ACTUALS'!$H$7:$H$2006,'CRM ACTUALS'!$D$7:$D$2006,$A98)/SUMIFS('CRM ACTUALS'!$F$7:$F$2006,'CRM ACTUALS'!$D$7:$D$2006,$A98),""))</f>
        <v/>
      </c>
      <c r="R98" s="28" t="str">
        <f aca="false">IF($A98="","",IFERROR(SUMIFS('CRM ACTUALS'!$J$7:$J$2006,'CRM ACTUALS'!$D$7:$D$2006,$A98)/SUMIFS('CRM ACTUALS'!$F$7:$F$2006,'CRM ACTUALS'!$D$7:$D$2006,$A98),""))</f>
        <v/>
      </c>
      <c r="S98" s="21" t="str">
        <f aca="false">IF(OR($Q98="",N($H98)=0),"",$H98/$Q98-1)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36"/>
      <c r="F99" s="11"/>
      <c r="G99" s="37"/>
      <c r="H99" s="38"/>
      <c r="I99" s="37"/>
      <c r="J99" s="36"/>
      <c r="K99" s="11" t="s">
        <v>224</v>
      </c>
      <c r="L99" s="29" t="n">
        <f aca="false">($E99*$G99+$I99)*(1+IF($K99="N",0,INPUTS!$C$23))</f>
        <v>0</v>
      </c>
      <c r="M99" s="39" t="n">
        <f aca="false">$E99*$H99+$J99</f>
        <v>0</v>
      </c>
      <c r="N99" s="29" t="n">
        <f aca="false">$M99*IF(OR($B99="V",$B99="AC"),'LABOUR RATES'!$E$26,'LABOUR RATES'!$E$11)</f>
        <v>0</v>
      </c>
      <c r="O99" s="29" t="n">
        <f aca="false">$M99*IF(OR($B99="V",$B99="AC"),'LABOUR RATES'!$C$27,'LABOUR RATES'!$C$12)</f>
        <v>0</v>
      </c>
      <c r="P99" s="40" t="n">
        <f aca="false">$L99+$N99+$O99</f>
        <v>0</v>
      </c>
      <c r="Q99" s="41" t="str">
        <f aca="false">IF($A99="","",IFERROR(SUMIFS('CRM ACTUALS'!$H$7:$H$2006,'CRM ACTUALS'!$D$7:$D$2006,$A99)/SUMIFS('CRM ACTUALS'!$F$7:$F$2006,'CRM ACTUALS'!$D$7:$D$2006,$A99),""))</f>
        <v/>
      </c>
      <c r="R99" s="28" t="str">
        <f aca="false">IF($A99="","",IFERROR(SUMIFS('CRM ACTUALS'!$J$7:$J$2006,'CRM ACTUALS'!$D$7:$D$2006,$A99)/SUMIFS('CRM ACTUALS'!$F$7:$F$2006,'CRM ACTUALS'!$D$7:$D$2006,$A99),""))</f>
        <v/>
      </c>
      <c r="S99" s="21" t="str">
        <f aca="false">IF(OR($Q99="",N($H99)=0),"",$H99/$Q99-1)</f>
        <v/>
      </c>
    </row>
    <row r="100" customFormat="false" ht="15" hidden="false" customHeight="false" outlineLevel="0" collapsed="false">
      <c r="A100" s="11"/>
      <c r="B100" s="11"/>
      <c r="C100" s="11"/>
      <c r="D100" s="11"/>
      <c r="E100" s="36"/>
      <c r="F100" s="11"/>
      <c r="G100" s="37"/>
      <c r="H100" s="38"/>
      <c r="I100" s="37"/>
      <c r="J100" s="36"/>
      <c r="K100" s="11" t="s">
        <v>224</v>
      </c>
      <c r="L100" s="29" t="n">
        <f aca="false">($E100*$G100+$I100)*(1+IF($K100="N",0,INPUTS!$C$23))</f>
        <v>0</v>
      </c>
      <c r="M100" s="39" t="n">
        <f aca="false">$E100*$H100+$J100</f>
        <v>0</v>
      </c>
      <c r="N100" s="29" t="n">
        <f aca="false">$M100*IF(OR($B100="V",$B100="AC"),'LABOUR RATES'!$E$26,'LABOUR RATES'!$E$11)</f>
        <v>0</v>
      </c>
      <c r="O100" s="29" t="n">
        <f aca="false">$M100*IF(OR($B100="V",$B100="AC"),'LABOUR RATES'!$C$27,'LABOUR RATES'!$C$12)</f>
        <v>0</v>
      </c>
      <c r="P100" s="40" t="n">
        <f aca="false">$L100+$N100+$O100</f>
        <v>0</v>
      </c>
      <c r="Q100" s="41" t="str">
        <f aca="false">IF($A100="","",IFERROR(SUMIFS('CRM ACTUALS'!$H$7:$H$2006,'CRM ACTUALS'!$D$7:$D$2006,$A100)/SUMIFS('CRM ACTUALS'!$F$7:$F$2006,'CRM ACTUALS'!$D$7:$D$2006,$A100),""))</f>
        <v/>
      </c>
      <c r="R100" s="28" t="str">
        <f aca="false">IF($A100="","",IFERROR(SUMIFS('CRM ACTUALS'!$J$7:$J$2006,'CRM ACTUALS'!$D$7:$D$2006,$A100)/SUMIFS('CRM ACTUALS'!$F$7:$F$2006,'CRM ACTUALS'!$D$7:$D$2006,$A100),""))</f>
        <v/>
      </c>
      <c r="S100" s="21" t="str">
        <f aca="false">IF(OR($Q100="",N($H100)=0),"",$H100/$Q100-1)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36"/>
      <c r="F101" s="11"/>
      <c r="G101" s="37"/>
      <c r="H101" s="38"/>
      <c r="I101" s="37"/>
      <c r="J101" s="36"/>
      <c r="K101" s="11" t="s">
        <v>224</v>
      </c>
      <c r="L101" s="29" t="n">
        <f aca="false">($E101*$G101+$I101)*(1+IF($K101="N",0,INPUTS!$C$23))</f>
        <v>0</v>
      </c>
      <c r="M101" s="39" t="n">
        <f aca="false">$E101*$H101+$J101</f>
        <v>0</v>
      </c>
      <c r="N101" s="29" t="n">
        <f aca="false">$M101*IF(OR($B101="V",$B101="AC"),'LABOUR RATES'!$E$26,'LABOUR RATES'!$E$11)</f>
        <v>0</v>
      </c>
      <c r="O101" s="29" t="n">
        <f aca="false">$M101*IF(OR($B101="V",$B101="AC"),'LABOUR RATES'!$C$27,'LABOUR RATES'!$C$12)</f>
        <v>0</v>
      </c>
      <c r="P101" s="40" t="n">
        <f aca="false">$L101+$N101+$O101</f>
        <v>0</v>
      </c>
      <c r="Q101" s="41" t="str">
        <f aca="false">IF($A101="","",IFERROR(SUMIFS('CRM ACTUALS'!$H$7:$H$2006,'CRM ACTUALS'!$D$7:$D$2006,$A101)/SUMIFS('CRM ACTUALS'!$F$7:$F$2006,'CRM ACTUALS'!$D$7:$D$2006,$A101),""))</f>
        <v/>
      </c>
      <c r="R101" s="28" t="str">
        <f aca="false">IF($A101="","",IFERROR(SUMIFS('CRM ACTUALS'!$J$7:$J$2006,'CRM ACTUALS'!$D$7:$D$2006,$A101)/SUMIFS('CRM ACTUALS'!$F$7:$F$2006,'CRM ACTUALS'!$D$7:$D$2006,$A101),""))</f>
        <v/>
      </c>
      <c r="S101" s="21" t="str">
        <f aca="false">IF(OR($Q101="",N($H101)=0),"",$H101/$Q101-1)</f>
        <v/>
      </c>
    </row>
    <row r="102" customFormat="false" ht="15" hidden="false" customHeight="false" outlineLevel="0" collapsed="false">
      <c r="A102" s="11"/>
      <c r="B102" s="11"/>
      <c r="C102" s="11"/>
      <c r="D102" s="11"/>
      <c r="E102" s="36"/>
      <c r="F102" s="11"/>
      <c r="G102" s="37"/>
      <c r="H102" s="38"/>
      <c r="I102" s="37"/>
      <c r="J102" s="36"/>
      <c r="K102" s="11" t="s">
        <v>224</v>
      </c>
      <c r="L102" s="29" t="n">
        <f aca="false">($E102*$G102+$I102)*(1+IF($K102="N",0,INPUTS!$C$23))</f>
        <v>0</v>
      </c>
      <c r="M102" s="39" t="n">
        <f aca="false">$E102*$H102+$J102</f>
        <v>0</v>
      </c>
      <c r="N102" s="29" t="n">
        <f aca="false">$M102*IF(OR($B102="V",$B102="AC"),'LABOUR RATES'!$E$26,'LABOUR RATES'!$E$11)</f>
        <v>0</v>
      </c>
      <c r="O102" s="29" t="n">
        <f aca="false">$M102*IF(OR($B102="V",$B102="AC"),'LABOUR RATES'!$C$27,'LABOUR RATES'!$C$12)</f>
        <v>0</v>
      </c>
      <c r="P102" s="40" t="n">
        <f aca="false">$L102+$N102+$O102</f>
        <v>0</v>
      </c>
      <c r="Q102" s="41" t="str">
        <f aca="false">IF($A102="","",IFERROR(SUMIFS('CRM ACTUALS'!$H$7:$H$2006,'CRM ACTUALS'!$D$7:$D$2006,$A102)/SUMIFS('CRM ACTUALS'!$F$7:$F$2006,'CRM ACTUALS'!$D$7:$D$2006,$A102),""))</f>
        <v/>
      </c>
      <c r="R102" s="28" t="str">
        <f aca="false">IF($A102="","",IFERROR(SUMIFS('CRM ACTUALS'!$J$7:$J$2006,'CRM ACTUALS'!$D$7:$D$2006,$A102)/SUMIFS('CRM ACTUALS'!$F$7:$F$2006,'CRM ACTUALS'!$D$7:$D$2006,$A102),""))</f>
        <v/>
      </c>
      <c r="S102" s="21" t="str">
        <f aca="false">IF(OR($Q102="",N($H102)=0),"",$H102/$Q102-1)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36"/>
      <c r="F103" s="11"/>
      <c r="G103" s="37"/>
      <c r="H103" s="38"/>
      <c r="I103" s="37"/>
      <c r="J103" s="36"/>
      <c r="K103" s="11" t="s">
        <v>224</v>
      </c>
      <c r="L103" s="29" t="n">
        <f aca="false">($E103*$G103+$I103)*(1+IF($K103="N",0,INPUTS!$C$23))</f>
        <v>0</v>
      </c>
      <c r="M103" s="39" t="n">
        <f aca="false">$E103*$H103+$J103</f>
        <v>0</v>
      </c>
      <c r="N103" s="29" t="n">
        <f aca="false">$M103*IF(OR($B103="V",$B103="AC"),'LABOUR RATES'!$E$26,'LABOUR RATES'!$E$11)</f>
        <v>0</v>
      </c>
      <c r="O103" s="29" t="n">
        <f aca="false">$M103*IF(OR($B103="V",$B103="AC"),'LABOUR RATES'!$C$27,'LABOUR RATES'!$C$12)</f>
        <v>0</v>
      </c>
      <c r="P103" s="40" t="n">
        <f aca="false">$L103+$N103+$O103</f>
        <v>0</v>
      </c>
      <c r="Q103" s="41" t="str">
        <f aca="false">IF($A103="","",IFERROR(SUMIFS('CRM ACTUALS'!$H$7:$H$2006,'CRM ACTUALS'!$D$7:$D$2006,$A103)/SUMIFS('CRM ACTUALS'!$F$7:$F$2006,'CRM ACTUALS'!$D$7:$D$2006,$A103),""))</f>
        <v/>
      </c>
      <c r="R103" s="28" t="str">
        <f aca="false">IF($A103="","",IFERROR(SUMIFS('CRM ACTUALS'!$J$7:$J$2006,'CRM ACTUALS'!$D$7:$D$2006,$A103)/SUMIFS('CRM ACTUALS'!$F$7:$F$2006,'CRM ACTUALS'!$D$7:$D$2006,$A103),""))</f>
        <v/>
      </c>
      <c r="S103" s="21" t="str">
        <f aca="false">IF(OR($Q103="",N($H103)=0),"",$H103/$Q103-1)</f>
        <v/>
      </c>
    </row>
    <row r="104" customFormat="false" ht="15" hidden="false" customHeight="false" outlineLevel="0" collapsed="false">
      <c r="A104" s="11"/>
      <c r="B104" s="11"/>
      <c r="C104" s="11"/>
      <c r="D104" s="11"/>
      <c r="E104" s="36"/>
      <c r="F104" s="11"/>
      <c r="G104" s="37"/>
      <c r="H104" s="38"/>
      <c r="I104" s="37"/>
      <c r="J104" s="36"/>
      <c r="K104" s="11" t="s">
        <v>224</v>
      </c>
      <c r="L104" s="29" t="n">
        <f aca="false">($E104*$G104+$I104)*(1+IF($K104="N",0,INPUTS!$C$23))</f>
        <v>0</v>
      </c>
      <c r="M104" s="39" t="n">
        <f aca="false">$E104*$H104+$J104</f>
        <v>0</v>
      </c>
      <c r="N104" s="29" t="n">
        <f aca="false">$M104*IF(OR($B104="V",$B104="AC"),'LABOUR RATES'!$E$26,'LABOUR RATES'!$E$11)</f>
        <v>0</v>
      </c>
      <c r="O104" s="29" t="n">
        <f aca="false">$M104*IF(OR($B104="V",$B104="AC"),'LABOUR RATES'!$C$27,'LABOUR RATES'!$C$12)</f>
        <v>0</v>
      </c>
      <c r="P104" s="40" t="n">
        <f aca="false">$L104+$N104+$O104</f>
        <v>0</v>
      </c>
      <c r="Q104" s="41" t="str">
        <f aca="false">IF($A104="","",IFERROR(SUMIFS('CRM ACTUALS'!$H$7:$H$2006,'CRM ACTUALS'!$D$7:$D$2006,$A104)/SUMIFS('CRM ACTUALS'!$F$7:$F$2006,'CRM ACTUALS'!$D$7:$D$2006,$A104),""))</f>
        <v/>
      </c>
      <c r="R104" s="28" t="str">
        <f aca="false">IF($A104="","",IFERROR(SUMIFS('CRM ACTUALS'!$J$7:$J$2006,'CRM ACTUALS'!$D$7:$D$2006,$A104)/SUMIFS('CRM ACTUALS'!$F$7:$F$2006,'CRM ACTUALS'!$D$7:$D$2006,$A104),""))</f>
        <v/>
      </c>
      <c r="S104" s="21" t="str">
        <f aca="false">IF(OR($Q104="",N($H104)=0),"",$H104/$Q104-1)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36"/>
      <c r="F105" s="11"/>
      <c r="G105" s="37"/>
      <c r="H105" s="38"/>
      <c r="I105" s="37"/>
      <c r="J105" s="36"/>
      <c r="K105" s="11" t="s">
        <v>224</v>
      </c>
      <c r="L105" s="29" t="n">
        <f aca="false">($E105*$G105+$I105)*(1+IF($K105="N",0,INPUTS!$C$23))</f>
        <v>0</v>
      </c>
      <c r="M105" s="39" t="n">
        <f aca="false">$E105*$H105+$J105</f>
        <v>0</v>
      </c>
      <c r="N105" s="29" t="n">
        <f aca="false">$M105*IF(OR($B105="V",$B105="AC"),'LABOUR RATES'!$E$26,'LABOUR RATES'!$E$11)</f>
        <v>0</v>
      </c>
      <c r="O105" s="29" t="n">
        <f aca="false">$M105*IF(OR($B105="V",$B105="AC"),'LABOUR RATES'!$C$27,'LABOUR RATES'!$C$12)</f>
        <v>0</v>
      </c>
      <c r="P105" s="40" t="n">
        <f aca="false">$L105+$N105+$O105</f>
        <v>0</v>
      </c>
      <c r="Q105" s="41" t="str">
        <f aca="false">IF($A105="","",IFERROR(SUMIFS('CRM ACTUALS'!$H$7:$H$2006,'CRM ACTUALS'!$D$7:$D$2006,$A105)/SUMIFS('CRM ACTUALS'!$F$7:$F$2006,'CRM ACTUALS'!$D$7:$D$2006,$A105),""))</f>
        <v/>
      </c>
      <c r="R105" s="28" t="str">
        <f aca="false">IF($A105="","",IFERROR(SUMIFS('CRM ACTUALS'!$J$7:$J$2006,'CRM ACTUALS'!$D$7:$D$2006,$A105)/SUMIFS('CRM ACTUALS'!$F$7:$F$2006,'CRM ACTUALS'!$D$7:$D$2006,$A105),""))</f>
        <v/>
      </c>
      <c r="S105" s="21" t="str">
        <f aca="false">IF(OR($Q105="",N($H105)=0),"",$H105/$Q105-1)</f>
        <v/>
      </c>
    </row>
    <row r="106" customFormat="false" ht="15" hidden="false" customHeight="false" outlineLevel="0" collapsed="false">
      <c r="A106" s="11"/>
      <c r="B106" s="11"/>
      <c r="C106" s="11"/>
      <c r="D106" s="11"/>
      <c r="E106" s="36"/>
      <c r="F106" s="11"/>
      <c r="G106" s="37"/>
      <c r="H106" s="38"/>
      <c r="I106" s="37"/>
      <c r="J106" s="36"/>
      <c r="K106" s="11" t="s">
        <v>224</v>
      </c>
      <c r="L106" s="29" t="n">
        <f aca="false">($E106*$G106+$I106)*(1+IF($K106="N",0,INPUTS!$C$23))</f>
        <v>0</v>
      </c>
      <c r="M106" s="39" t="n">
        <f aca="false">$E106*$H106+$J106</f>
        <v>0</v>
      </c>
      <c r="N106" s="29" t="n">
        <f aca="false">$M106*IF(OR($B106="V",$B106="AC"),'LABOUR RATES'!$E$26,'LABOUR RATES'!$E$11)</f>
        <v>0</v>
      </c>
      <c r="O106" s="29" t="n">
        <f aca="false">$M106*IF(OR($B106="V",$B106="AC"),'LABOUR RATES'!$C$27,'LABOUR RATES'!$C$12)</f>
        <v>0</v>
      </c>
      <c r="P106" s="40" t="n">
        <f aca="false">$L106+$N106+$O106</f>
        <v>0</v>
      </c>
      <c r="Q106" s="41" t="str">
        <f aca="false">IF($A106="","",IFERROR(SUMIFS('CRM ACTUALS'!$H$7:$H$2006,'CRM ACTUALS'!$D$7:$D$2006,$A106)/SUMIFS('CRM ACTUALS'!$F$7:$F$2006,'CRM ACTUALS'!$D$7:$D$2006,$A106),""))</f>
        <v/>
      </c>
      <c r="R106" s="28" t="str">
        <f aca="false">IF($A106="","",IFERROR(SUMIFS('CRM ACTUALS'!$J$7:$J$2006,'CRM ACTUALS'!$D$7:$D$2006,$A106)/SUMIFS('CRM ACTUALS'!$F$7:$F$2006,'CRM ACTUALS'!$D$7:$D$2006,$A106),""))</f>
        <v/>
      </c>
      <c r="S106" s="21" t="str">
        <f aca="false">IF(OR($Q106="",N($H106)=0),"",$H106/$Q106-1)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36"/>
      <c r="F107" s="11"/>
      <c r="G107" s="37"/>
      <c r="H107" s="38"/>
      <c r="I107" s="37"/>
      <c r="J107" s="36"/>
      <c r="K107" s="11" t="s">
        <v>224</v>
      </c>
      <c r="L107" s="29" t="n">
        <f aca="false">($E107*$G107+$I107)*(1+IF($K107="N",0,INPUTS!$C$23))</f>
        <v>0</v>
      </c>
      <c r="M107" s="39" t="n">
        <f aca="false">$E107*$H107+$J107</f>
        <v>0</v>
      </c>
      <c r="N107" s="29" t="n">
        <f aca="false">$M107*IF(OR($B107="V",$B107="AC"),'LABOUR RATES'!$E$26,'LABOUR RATES'!$E$11)</f>
        <v>0</v>
      </c>
      <c r="O107" s="29" t="n">
        <f aca="false">$M107*IF(OR($B107="V",$B107="AC"),'LABOUR RATES'!$C$27,'LABOUR RATES'!$C$12)</f>
        <v>0</v>
      </c>
      <c r="P107" s="40" t="n">
        <f aca="false">$L107+$N107+$O107</f>
        <v>0</v>
      </c>
      <c r="Q107" s="41" t="str">
        <f aca="false">IF($A107="","",IFERROR(SUMIFS('CRM ACTUALS'!$H$7:$H$2006,'CRM ACTUALS'!$D$7:$D$2006,$A107)/SUMIFS('CRM ACTUALS'!$F$7:$F$2006,'CRM ACTUALS'!$D$7:$D$2006,$A107),""))</f>
        <v/>
      </c>
      <c r="R107" s="28" t="str">
        <f aca="false">IF($A107="","",IFERROR(SUMIFS('CRM ACTUALS'!$J$7:$J$2006,'CRM ACTUALS'!$D$7:$D$2006,$A107)/SUMIFS('CRM ACTUALS'!$F$7:$F$2006,'CRM ACTUALS'!$D$7:$D$2006,$A107),""))</f>
        <v/>
      </c>
      <c r="S107" s="21" t="str">
        <f aca="false">IF(OR($Q107="",N($H107)=0),"",$H107/$Q107-1)</f>
        <v/>
      </c>
    </row>
    <row r="108" customFormat="false" ht="15" hidden="false" customHeight="false" outlineLevel="0" collapsed="false">
      <c r="A108" s="11"/>
      <c r="B108" s="11"/>
      <c r="C108" s="11"/>
      <c r="D108" s="11"/>
      <c r="E108" s="36"/>
      <c r="F108" s="11"/>
      <c r="G108" s="37"/>
      <c r="H108" s="38"/>
      <c r="I108" s="37"/>
      <c r="J108" s="36"/>
      <c r="K108" s="11" t="s">
        <v>224</v>
      </c>
      <c r="L108" s="29" t="n">
        <f aca="false">($E108*$G108+$I108)*(1+IF($K108="N",0,INPUTS!$C$23))</f>
        <v>0</v>
      </c>
      <c r="M108" s="39" t="n">
        <f aca="false">$E108*$H108+$J108</f>
        <v>0</v>
      </c>
      <c r="N108" s="29" t="n">
        <f aca="false">$M108*IF(OR($B108="V",$B108="AC"),'LABOUR RATES'!$E$26,'LABOUR RATES'!$E$11)</f>
        <v>0</v>
      </c>
      <c r="O108" s="29" t="n">
        <f aca="false">$M108*IF(OR($B108="V",$B108="AC"),'LABOUR RATES'!$C$27,'LABOUR RATES'!$C$12)</f>
        <v>0</v>
      </c>
      <c r="P108" s="40" t="n">
        <f aca="false">$L108+$N108+$O108</f>
        <v>0</v>
      </c>
      <c r="Q108" s="41" t="str">
        <f aca="false">IF($A108="","",IFERROR(SUMIFS('CRM ACTUALS'!$H$7:$H$2006,'CRM ACTUALS'!$D$7:$D$2006,$A108)/SUMIFS('CRM ACTUALS'!$F$7:$F$2006,'CRM ACTUALS'!$D$7:$D$2006,$A108),""))</f>
        <v/>
      </c>
      <c r="R108" s="28" t="str">
        <f aca="false">IF($A108="","",IFERROR(SUMIFS('CRM ACTUALS'!$J$7:$J$2006,'CRM ACTUALS'!$D$7:$D$2006,$A108)/SUMIFS('CRM ACTUALS'!$F$7:$F$2006,'CRM ACTUALS'!$D$7:$D$2006,$A108),""))</f>
        <v/>
      </c>
      <c r="S108" s="21" t="str">
        <f aca="false">IF(OR($Q108="",N($H108)=0),"",$H108/$Q108-1)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36"/>
      <c r="F109" s="11"/>
      <c r="G109" s="37"/>
      <c r="H109" s="38"/>
      <c r="I109" s="37"/>
      <c r="J109" s="36"/>
      <c r="K109" s="11" t="s">
        <v>224</v>
      </c>
      <c r="L109" s="29" t="n">
        <f aca="false">($E109*$G109+$I109)*(1+IF($K109="N",0,INPUTS!$C$23))</f>
        <v>0</v>
      </c>
      <c r="M109" s="39" t="n">
        <f aca="false">$E109*$H109+$J109</f>
        <v>0</v>
      </c>
      <c r="N109" s="29" t="n">
        <f aca="false">$M109*IF(OR($B109="V",$B109="AC"),'LABOUR RATES'!$E$26,'LABOUR RATES'!$E$11)</f>
        <v>0</v>
      </c>
      <c r="O109" s="29" t="n">
        <f aca="false">$M109*IF(OR($B109="V",$B109="AC"),'LABOUR RATES'!$C$27,'LABOUR RATES'!$C$12)</f>
        <v>0</v>
      </c>
      <c r="P109" s="40" t="n">
        <f aca="false">$L109+$N109+$O109</f>
        <v>0</v>
      </c>
      <c r="Q109" s="41" t="str">
        <f aca="false">IF($A109="","",IFERROR(SUMIFS('CRM ACTUALS'!$H$7:$H$2006,'CRM ACTUALS'!$D$7:$D$2006,$A109)/SUMIFS('CRM ACTUALS'!$F$7:$F$2006,'CRM ACTUALS'!$D$7:$D$2006,$A109),""))</f>
        <v/>
      </c>
      <c r="R109" s="28" t="str">
        <f aca="false">IF($A109="","",IFERROR(SUMIFS('CRM ACTUALS'!$J$7:$J$2006,'CRM ACTUALS'!$D$7:$D$2006,$A109)/SUMIFS('CRM ACTUALS'!$F$7:$F$2006,'CRM ACTUALS'!$D$7:$D$2006,$A109),""))</f>
        <v/>
      </c>
      <c r="S109" s="21" t="str">
        <f aca="false">IF(OR($Q109="",N($H109)=0),"",$H109/$Q109-1)</f>
        <v/>
      </c>
    </row>
    <row r="110" customFormat="false" ht="15" hidden="false" customHeight="false" outlineLevel="0" collapsed="false">
      <c r="A110" s="11"/>
      <c r="B110" s="11"/>
      <c r="C110" s="11"/>
      <c r="D110" s="11"/>
      <c r="E110" s="36"/>
      <c r="F110" s="11"/>
      <c r="G110" s="37"/>
      <c r="H110" s="38"/>
      <c r="I110" s="37"/>
      <c r="J110" s="36"/>
      <c r="K110" s="11" t="s">
        <v>224</v>
      </c>
      <c r="L110" s="29" t="n">
        <f aca="false">($E110*$G110+$I110)*(1+IF($K110="N",0,INPUTS!$C$23))</f>
        <v>0</v>
      </c>
      <c r="M110" s="39" t="n">
        <f aca="false">$E110*$H110+$J110</f>
        <v>0</v>
      </c>
      <c r="N110" s="29" t="n">
        <f aca="false">$M110*IF(OR($B110="V",$B110="AC"),'LABOUR RATES'!$E$26,'LABOUR RATES'!$E$11)</f>
        <v>0</v>
      </c>
      <c r="O110" s="29" t="n">
        <f aca="false">$M110*IF(OR($B110="V",$B110="AC"),'LABOUR RATES'!$C$27,'LABOUR RATES'!$C$12)</f>
        <v>0</v>
      </c>
      <c r="P110" s="40" t="n">
        <f aca="false">$L110+$N110+$O110</f>
        <v>0</v>
      </c>
      <c r="Q110" s="41" t="str">
        <f aca="false">IF($A110="","",IFERROR(SUMIFS('CRM ACTUALS'!$H$7:$H$2006,'CRM ACTUALS'!$D$7:$D$2006,$A110)/SUMIFS('CRM ACTUALS'!$F$7:$F$2006,'CRM ACTUALS'!$D$7:$D$2006,$A110),""))</f>
        <v/>
      </c>
      <c r="R110" s="28" t="str">
        <f aca="false">IF($A110="","",IFERROR(SUMIFS('CRM ACTUALS'!$J$7:$J$2006,'CRM ACTUALS'!$D$7:$D$2006,$A110)/SUMIFS('CRM ACTUALS'!$F$7:$F$2006,'CRM ACTUALS'!$D$7:$D$2006,$A110),""))</f>
        <v/>
      </c>
      <c r="S110" s="21" t="str">
        <f aca="false">IF(OR($Q110="",N($H110)=0),"",$H110/$Q110-1)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36"/>
      <c r="F111" s="11"/>
      <c r="G111" s="37"/>
      <c r="H111" s="38"/>
      <c r="I111" s="37"/>
      <c r="J111" s="36"/>
      <c r="K111" s="11" t="s">
        <v>224</v>
      </c>
      <c r="L111" s="29" t="n">
        <f aca="false">($E111*$G111+$I111)*(1+IF($K111="N",0,INPUTS!$C$23))</f>
        <v>0</v>
      </c>
      <c r="M111" s="39" t="n">
        <f aca="false">$E111*$H111+$J111</f>
        <v>0</v>
      </c>
      <c r="N111" s="29" t="n">
        <f aca="false">$M111*IF(OR($B111="V",$B111="AC"),'LABOUR RATES'!$E$26,'LABOUR RATES'!$E$11)</f>
        <v>0</v>
      </c>
      <c r="O111" s="29" t="n">
        <f aca="false">$M111*IF(OR($B111="V",$B111="AC"),'LABOUR RATES'!$C$27,'LABOUR RATES'!$C$12)</f>
        <v>0</v>
      </c>
      <c r="P111" s="40" t="n">
        <f aca="false">$L111+$N111+$O111</f>
        <v>0</v>
      </c>
      <c r="Q111" s="41" t="str">
        <f aca="false">IF($A111="","",IFERROR(SUMIFS('CRM ACTUALS'!$H$7:$H$2006,'CRM ACTUALS'!$D$7:$D$2006,$A111)/SUMIFS('CRM ACTUALS'!$F$7:$F$2006,'CRM ACTUALS'!$D$7:$D$2006,$A111),""))</f>
        <v/>
      </c>
      <c r="R111" s="28" t="str">
        <f aca="false">IF($A111="","",IFERROR(SUMIFS('CRM ACTUALS'!$J$7:$J$2006,'CRM ACTUALS'!$D$7:$D$2006,$A111)/SUMIFS('CRM ACTUALS'!$F$7:$F$2006,'CRM ACTUALS'!$D$7:$D$2006,$A111),""))</f>
        <v/>
      </c>
      <c r="S111" s="21" t="str">
        <f aca="false">IF(OR($Q111="",N($H111)=0),"",$H111/$Q111-1)</f>
        <v/>
      </c>
    </row>
    <row r="112" customFormat="false" ht="15" hidden="false" customHeight="false" outlineLevel="0" collapsed="false">
      <c r="A112" s="11"/>
      <c r="B112" s="11"/>
      <c r="C112" s="11"/>
      <c r="D112" s="11"/>
      <c r="E112" s="36"/>
      <c r="F112" s="11"/>
      <c r="G112" s="37"/>
      <c r="H112" s="38"/>
      <c r="I112" s="37"/>
      <c r="J112" s="36"/>
      <c r="K112" s="11" t="s">
        <v>224</v>
      </c>
      <c r="L112" s="29" t="n">
        <f aca="false">($E112*$G112+$I112)*(1+IF($K112="N",0,INPUTS!$C$23))</f>
        <v>0</v>
      </c>
      <c r="M112" s="39" t="n">
        <f aca="false">$E112*$H112+$J112</f>
        <v>0</v>
      </c>
      <c r="N112" s="29" t="n">
        <f aca="false">$M112*IF(OR($B112="V",$B112="AC"),'LABOUR RATES'!$E$26,'LABOUR RATES'!$E$11)</f>
        <v>0</v>
      </c>
      <c r="O112" s="29" t="n">
        <f aca="false">$M112*IF(OR($B112="V",$B112="AC"),'LABOUR RATES'!$C$27,'LABOUR RATES'!$C$12)</f>
        <v>0</v>
      </c>
      <c r="P112" s="40" t="n">
        <f aca="false">$L112+$N112+$O112</f>
        <v>0</v>
      </c>
      <c r="Q112" s="41" t="str">
        <f aca="false">IF($A112="","",IFERROR(SUMIFS('CRM ACTUALS'!$H$7:$H$2006,'CRM ACTUALS'!$D$7:$D$2006,$A112)/SUMIFS('CRM ACTUALS'!$F$7:$F$2006,'CRM ACTUALS'!$D$7:$D$2006,$A112),""))</f>
        <v/>
      </c>
      <c r="R112" s="28" t="str">
        <f aca="false">IF($A112="","",IFERROR(SUMIFS('CRM ACTUALS'!$J$7:$J$2006,'CRM ACTUALS'!$D$7:$D$2006,$A112)/SUMIFS('CRM ACTUALS'!$F$7:$F$2006,'CRM ACTUALS'!$D$7:$D$2006,$A112),""))</f>
        <v/>
      </c>
      <c r="S112" s="21" t="str">
        <f aca="false">IF(OR($Q112="",N($H112)=0),"",$H112/$Q112-1)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36"/>
      <c r="F113" s="11"/>
      <c r="G113" s="37"/>
      <c r="H113" s="38"/>
      <c r="I113" s="37"/>
      <c r="J113" s="36"/>
      <c r="K113" s="11" t="s">
        <v>224</v>
      </c>
      <c r="L113" s="29" t="n">
        <f aca="false">($E113*$G113+$I113)*(1+IF($K113="N",0,INPUTS!$C$23))</f>
        <v>0</v>
      </c>
      <c r="M113" s="39" t="n">
        <f aca="false">$E113*$H113+$J113</f>
        <v>0</v>
      </c>
      <c r="N113" s="29" t="n">
        <f aca="false">$M113*IF(OR($B113="V",$B113="AC"),'LABOUR RATES'!$E$26,'LABOUR RATES'!$E$11)</f>
        <v>0</v>
      </c>
      <c r="O113" s="29" t="n">
        <f aca="false">$M113*IF(OR($B113="V",$B113="AC"),'LABOUR RATES'!$C$27,'LABOUR RATES'!$C$12)</f>
        <v>0</v>
      </c>
      <c r="P113" s="40" t="n">
        <f aca="false">$L113+$N113+$O113</f>
        <v>0</v>
      </c>
      <c r="Q113" s="41" t="str">
        <f aca="false">IF($A113="","",IFERROR(SUMIFS('CRM ACTUALS'!$H$7:$H$2006,'CRM ACTUALS'!$D$7:$D$2006,$A113)/SUMIFS('CRM ACTUALS'!$F$7:$F$2006,'CRM ACTUALS'!$D$7:$D$2006,$A113),""))</f>
        <v/>
      </c>
      <c r="R113" s="28" t="str">
        <f aca="false">IF($A113="","",IFERROR(SUMIFS('CRM ACTUALS'!$J$7:$J$2006,'CRM ACTUALS'!$D$7:$D$2006,$A113)/SUMIFS('CRM ACTUALS'!$F$7:$F$2006,'CRM ACTUALS'!$D$7:$D$2006,$A113),""))</f>
        <v/>
      </c>
      <c r="S113" s="21" t="str">
        <f aca="false">IF(OR($Q113="",N($H113)=0),"",$H113/$Q113-1)</f>
        <v/>
      </c>
    </row>
    <row r="114" customFormat="false" ht="15" hidden="false" customHeight="false" outlineLevel="0" collapsed="false">
      <c r="A114" s="11"/>
      <c r="B114" s="11"/>
      <c r="C114" s="11"/>
      <c r="D114" s="11"/>
      <c r="E114" s="36"/>
      <c r="F114" s="11"/>
      <c r="G114" s="37"/>
      <c r="H114" s="38"/>
      <c r="I114" s="37"/>
      <c r="J114" s="36"/>
      <c r="K114" s="11" t="s">
        <v>224</v>
      </c>
      <c r="L114" s="29" t="n">
        <f aca="false">($E114*$G114+$I114)*(1+IF($K114="N",0,INPUTS!$C$23))</f>
        <v>0</v>
      </c>
      <c r="M114" s="39" t="n">
        <f aca="false">$E114*$H114+$J114</f>
        <v>0</v>
      </c>
      <c r="N114" s="29" t="n">
        <f aca="false">$M114*IF(OR($B114="V",$B114="AC"),'LABOUR RATES'!$E$26,'LABOUR RATES'!$E$11)</f>
        <v>0</v>
      </c>
      <c r="O114" s="29" t="n">
        <f aca="false">$M114*IF(OR($B114="V",$B114="AC"),'LABOUR RATES'!$C$27,'LABOUR RATES'!$C$12)</f>
        <v>0</v>
      </c>
      <c r="P114" s="40" t="n">
        <f aca="false">$L114+$N114+$O114</f>
        <v>0</v>
      </c>
      <c r="Q114" s="41" t="str">
        <f aca="false">IF($A114="","",IFERROR(SUMIFS('CRM ACTUALS'!$H$7:$H$2006,'CRM ACTUALS'!$D$7:$D$2006,$A114)/SUMIFS('CRM ACTUALS'!$F$7:$F$2006,'CRM ACTUALS'!$D$7:$D$2006,$A114),""))</f>
        <v/>
      </c>
      <c r="R114" s="28" t="str">
        <f aca="false">IF($A114="","",IFERROR(SUMIFS('CRM ACTUALS'!$J$7:$J$2006,'CRM ACTUALS'!$D$7:$D$2006,$A114)/SUMIFS('CRM ACTUALS'!$F$7:$F$2006,'CRM ACTUALS'!$D$7:$D$2006,$A114),""))</f>
        <v/>
      </c>
      <c r="S114" s="21" t="str">
        <f aca="false">IF(OR($Q114="",N($H114)=0),"",$H114/$Q114-1)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36"/>
      <c r="F115" s="11"/>
      <c r="G115" s="37"/>
      <c r="H115" s="38"/>
      <c r="I115" s="37"/>
      <c r="J115" s="36"/>
      <c r="K115" s="11" t="s">
        <v>224</v>
      </c>
      <c r="L115" s="29" t="n">
        <f aca="false">($E115*$G115+$I115)*(1+IF($K115="N",0,INPUTS!$C$23))</f>
        <v>0</v>
      </c>
      <c r="M115" s="39" t="n">
        <f aca="false">$E115*$H115+$J115</f>
        <v>0</v>
      </c>
      <c r="N115" s="29" t="n">
        <f aca="false">$M115*IF(OR($B115="V",$B115="AC"),'LABOUR RATES'!$E$26,'LABOUR RATES'!$E$11)</f>
        <v>0</v>
      </c>
      <c r="O115" s="29" t="n">
        <f aca="false">$M115*IF(OR($B115="V",$B115="AC"),'LABOUR RATES'!$C$27,'LABOUR RATES'!$C$12)</f>
        <v>0</v>
      </c>
      <c r="P115" s="40" t="n">
        <f aca="false">$L115+$N115+$O115</f>
        <v>0</v>
      </c>
      <c r="Q115" s="41" t="str">
        <f aca="false">IF($A115="","",IFERROR(SUMIFS('CRM ACTUALS'!$H$7:$H$2006,'CRM ACTUALS'!$D$7:$D$2006,$A115)/SUMIFS('CRM ACTUALS'!$F$7:$F$2006,'CRM ACTUALS'!$D$7:$D$2006,$A115),""))</f>
        <v/>
      </c>
      <c r="R115" s="28" t="str">
        <f aca="false">IF($A115="","",IFERROR(SUMIFS('CRM ACTUALS'!$J$7:$J$2006,'CRM ACTUALS'!$D$7:$D$2006,$A115)/SUMIFS('CRM ACTUALS'!$F$7:$F$2006,'CRM ACTUALS'!$D$7:$D$2006,$A115),""))</f>
        <v/>
      </c>
      <c r="S115" s="21" t="str">
        <f aca="false">IF(OR($Q115="",N($H115)=0),"",$H115/$Q115-1)</f>
        <v/>
      </c>
    </row>
    <row r="116" customFormat="false" ht="15" hidden="false" customHeight="false" outlineLevel="0" collapsed="false">
      <c r="A116" s="11"/>
      <c r="B116" s="11"/>
      <c r="C116" s="11"/>
      <c r="D116" s="11"/>
      <c r="E116" s="36"/>
      <c r="F116" s="11"/>
      <c r="G116" s="37"/>
      <c r="H116" s="38"/>
      <c r="I116" s="37"/>
      <c r="J116" s="36"/>
      <c r="K116" s="11" t="s">
        <v>224</v>
      </c>
      <c r="L116" s="29" t="n">
        <f aca="false">($E116*$G116+$I116)*(1+IF($K116="N",0,INPUTS!$C$23))</f>
        <v>0</v>
      </c>
      <c r="M116" s="39" t="n">
        <f aca="false">$E116*$H116+$J116</f>
        <v>0</v>
      </c>
      <c r="N116" s="29" t="n">
        <f aca="false">$M116*IF(OR($B116="V",$B116="AC"),'LABOUR RATES'!$E$26,'LABOUR RATES'!$E$11)</f>
        <v>0</v>
      </c>
      <c r="O116" s="29" t="n">
        <f aca="false">$M116*IF(OR($B116="V",$B116="AC"),'LABOUR RATES'!$C$27,'LABOUR RATES'!$C$12)</f>
        <v>0</v>
      </c>
      <c r="P116" s="40" t="n">
        <f aca="false">$L116+$N116+$O116</f>
        <v>0</v>
      </c>
      <c r="Q116" s="41" t="str">
        <f aca="false">IF($A116="","",IFERROR(SUMIFS('CRM ACTUALS'!$H$7:$H$2006,'CRM ACTUALS'!$D$7:$D$2006,$A116)/SUMIFS('CRM ACTUALS'!$F$7:$F$2006,'CRM ACTUALS'!$D$7:$D$2006,$A116),""))</f>
        <v/>
      </c>
      <c r="R116" s="28" t="str">
        <f aca="false">IF($A116="","",IFERROR(SUMIFS('CRM ACTUALS'!$J$7:$J$2006,'CRM ACTUALS'!$D$7:$D$2006,$A116)/SUMIFS('CRM ACTUALS'!$F$7:$F$2006,'CRM ACTUALS'!$D$7:$D$2006,$A116),""))</f>
        <v/>
      </c>
      <c r="S116" s="21" t="str">
        <f aca="false">IF(OR($Q116="",N($H116)=0),"",$H116/$Q116-1)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36"/>
      <c r="F117" s="11"/>
      <c r="G117" s="37"/>
      <c r="H117" s="38"/>
      <c r="I117" s="37"/>
      <c r="J117" s="36"/>
      <c r="K117" s="11" t="s">
        <v>224</v>
      </c>
      <c r="L117" s="29" t="n">
        <f aca="false">($E117*$G117+$I117)*(1+IF($K117="N",0,INPUTS!$C$23))</f>
        <v>0</v>
      </c>
      <c r="M117" s="39" t="n">
        <f aca="false">$E117*$H117+$J117</f>
        <v>0</v>
      </c>
      <c r="N117" s="29" t="n">
        <f aca="false">$M117*IF(OR($B117="V",$B117="AC"),'LABOUR RATES'!$E$26,'LABOUR RATES'!$E$11)</f>
        <v>0</v>
      </c>
      <c r="O117" s="29" t="n">
        <f aca="false">$M117*IF(OR($B117="V",$B117="AC"),'LABOUR RATES'!$C$27,'LABOUR RATES'!$C$12)</f>
        <v>0</v>
      </c>
      <c r="P117" s="40" t="n">
        <f aca="false">$L117+$N117+$O117</f>
        <v>0</v>
      </c>
      <c r="Q117" s="41" t="str">
        <f aca="false">IF($A117="","",IFERROR(SUMIFS('CRM ACTUALS'!$H$7:$H$2006,'CRM ACTUALS'!$D$7:$D$2006,$A117)/SUMIFS('CRM ACTUALS'!$F$7:$F$2006,'CRM ACTUALS'!$D$7:$D$2006,$A117),""))</f>
        <v/>
      </c>
      <c r="R117" s="28" t="str">
        <f aca="false">IF($A117="","",IFERROR(SUMIFS('CRM ACTUALS'!$J$7:$J$2006,'CRM ACTUALS'!$D$7:$D$2006,$A117)/SUMIFS('CRM ACTUALS'!$F$7:$F$2006,'CRM ACTUALS'!$D$7:$D$2006,$A117),""))</f>
        <v/>
      </c>
      <c r="S117" s="21" t="str">
        <f aca="false">IF(OR($Q117="",N($H117)=0),"",$H117/$Q117-1)</f>
        <v/>
      </c>
    </row>
    <row r="118" customFormat="false" ht="15" hidden="false" customHeight="false" outlineLevel="0" collapsed="false">
      <c r="A118" s="11"/>
      <c r="B118" s="11"/>
      <c r="C118" s="11"/>
      <c r="D118" s="11"/>
      <c r="E118" s="36"/>
      <c r="F118" s="11"/>
      <c r="G118" s="37"/>
      <c r="H118" s="38"/>
      <c r="I118" s="37"/>
      <c r="J118" s="36"/>
      <c r="K118" s="11" t="s">
        <v>224</v>
      </c>
      <c r="L118" s="29" t="n">
        <f aca="false">($E118*$G118+$I118)*(1+IF($K118="N",0,INPUTS!$C$23))</f>
        <v>0</v>
      </c>
      <c r="M118" s="39" t="n">
        <f aca="false">$E118*$H118+$J118</f>
        <v>0</v>
      </c>
      <c r="N118" s="29" t="n">
        <f aca="false">$M118*IF(OR($B118="V",$B118="AC"),'LABOUR RATES'!$E$26,'LABOUR RATES'!$E$11)</f>
        <v>0</v>
      </c>
      <c r="O118" s="29" t="n">
        <f aca="false">$M118*IF(OR($B118="V",$B118="AC"),'LABOUR RATES'!$C$27,'LABOUR RATES'!$C$12)</f>
        <v>0</v>
      </c>
      <c r="P118" s="40" t="n">
        <f aca="false">$L118+$N118+$O118</f>
        <v>0</v>
      </c>
      <c r="Q118" s="41" t="str">
        <f aca="false">IF($A118="","",IFERROR(SUMIFS('CRM ACTUALS'!$H$7:$H$2006,'CRM ACTUALS'!$D$7:$D$2006,$A118)/SUMIFS('CRM ACTUALS'!$F$7:$F$2006,'CRM ACTUALS'!$D$7:$D$2006,$A118),""))</f>
        <v/>
      </c>
      <c r="R118" s="28" t="str">
        <f aca="false">IF($A118="","",IFERROR(SUMIFS('CRM ACTUALS'!$J$7:$J$2006,'CRM ACTUALS'!$D$7:$D$2006,$A118)/SUMIFS('CRM ACTUALS'!$F$7:$F$2006,'CRM ACTUALS'!$D$7:$D$2006,$A118),""))</f>
        <v/>
      </c>
      <c r="S118" s="21" t="str">
        <f aca="false">IF(OR($Q118="",N($H118)=0),"",$H118/$Q118-1)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36"/>
      <c r="F119" s="11"/>
      <c r="G119" s="37"/>
      <c r="H119" s="38"/>
      <c r="I119" s="37"/>
      <c r="J119" s="36"/>
      <c r="K119" s="11" t="s">
        <v>224</v>
      </c>
      <c r="L119" s="29" t="n">
        <f aca="false">($E119*$G119+$I119)*(1+IF($K119="N",0,INPUTS!$C$23))</f>
        <v>0</v>
      </c>
      <c r="M119" s="39" t="n">
        <f aca="false">$E119*$H119+$J119</f>
        <v>0</v>
      </c>
      <c r="N119" s="29" t="n">
        <f aca="false">$M119*IF(OR($B119="V",$B119="AC"),'LABOUR RATES'!$E$26,'LABOUR RATES'!$E$11)</f>
        <v>0</v>
      </c>
      <c r="O119" s="29" t="n">
        <f aca="false">$M119*IF(OR($B119="V",$B119="AC"),'LABOUR RATES'!$C$27,'LABOUR RATES'!$C$12)</f>
        <v>0</v>
      </c>
      <c r="P119" s="40" t="n">
        <f aca="false">$L119+$N119+$O119</f>
        <v>0</v>
      </c>
      <c r="Q119" s="41" t="str">
        <f aca="false">IF($A119="","",IFERROR(SUMIFS('CRM ACTUALS'!$H$7:$H$2006,'CRM ACTUALS'!$D$7:$D$2006,$A119)/SUMIFS('CRM ACTUALS'!$F$7:$F$2006,'CRM ACTUALS'!$D$7:$D$2006,$A119),""))</f>
        <v/>
      </c>
      <c r="R119" s="28" t="str">
        <f aca="false">IF($A119="","",IFERROR(SUMIFS('CRM ACTUALS'!$J$7:$J$2006,'CRM ACTUALS'!$D$7:$D$2006,$A119)/SUMIFS('CRM ACTUALS'!$F$7:$F$2006,'CRM ACTUALS'!$D$7:$D$2006,$A119),""))</f>
        <v/>
      </c>
      <c r="S119" s="21" t="str">
        <f aca="false">IF(OR($Q119="",N($H119)=0),"",$H119/$Q119-1)</f>
        <v/>
      </c>
    </row>
    <row r="120" customFormat="false" ht="15" hidden="false" customHeight="false" outlineLevel="0" collapsed="false">
      <c r="A120" s="11"/>
      <c r="B120" s="11"/>
      <c r="C120" s="11"/>
      <c r="D120" s="11"/>
      <c r="E120" s="36"/>
      <c r="F120" s="11"/>
      <c r="G120" s="37"/>
      <c r="H120" s="38"/>
      <c r="I120" s="37"/>
      <c r="J120" s="36"/>
      <c r="K120" s="11" t="s">
        <v>224</v>
      </c>
      <c r="L120" s="29" t="n">
        <f aca="false">($E120*$G120+$I120)*(1+IF($K120="N",0,INPUTS!$C$23))</f>
        <v>0</v>
      </c>
      <c r="M120" s="39" t="n">
        <f aca="false">$E120*$H120+$J120</f>
        <v>0</v>
      </c>
      <c r="N120" s="29" t="n">
        <f aca="false">$M120*IF(OR($B120="V",$B120="AC"),'LABOUR RATES'!$E$26,'LABOUR RATES'!$E$11)</f>
        <v>0</v>
      </c>
      <c r="O120" s="29" t="n">
        <f aca="false">$M120*IF(OR($B120="V",$B120="AC"),'LABOUR RATES'!$C$27,'LABOUR RATES'!$C$12)</f>
        <v>0</v>
      </c>
      <c r="P120" s="40" t="n">
        <f aca="false">$L120+$N120+$O120</f>
        <v>0</v>
      </c>
      <c r="Q120" s="41" t="str">
        <f aca="false">IF($A120="","",IFERROR(SUMIFS('CRM ACTUALS'!$H$7:$H$2006,'CRM ACTUALS'!$D$7:$D$2006,$A120)/SUMIFS('CRM ACTUALS'!$F$7:$F$2006,'CRM ACTUALS'!$D$7:$D$2006,$A120),""))</f>
        <v/>
      </c>
      <c r="R120" s="28" t="str">
        <f aca="false">IF($A120="","",IFERROR(SUMIFS('CRM ACTUALS'!$J$7:$J$2006,'CRM ACTUALS'!$D$7:$D$2006,$A120)/SUMIFS('CRM ACTUALS'!$F$7:$F$2006,'CRM ACTUALS'!$D$7:$D$2006,$A120),""))</f>
        <v/>
      </c>
      <c r="S120" s="21" t="str">
        <f aca="false">IF(OR($Q120="",N($H120)=0),"",$H120/$Q120-1)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36"/>
      <c r="F121" s="11"/>
      <c r="G121" s="37"/>
      <c r="H121" s="38"/>
      <c r="I121" s="37"/>
      <c r="J121" s="36"/>
      <c r="K121" s="11" t="s">
        <v>224</v>
      </c>
      <c r="L121" s="29" t="n">
        <f aca="false">($E121*$G121+$I121)*(1+IF($K121="N",0,INPUTS!$C$23))</f>
        <v>0</v>
      </c>
      <c r="M121" s="39" t="n">
        <f aca="false">$E121*$H121+$J121</f>
        <v>0</v>
      </c>
      <c r="N121" s="29" t="n">
        <f aca="false">$M121*IF(OR($B121="V",$B121="AC"),'LABOUR RATES'!$E$26,'LABOUR RATES'!$E$11)</f>
        <v>0</v>
      </c>
      <c r="O121" s="29" t="n">
        <f aca="false">$M121*IF(OR($B121="V",$B121="AC"),'LABOUR RATES'!$C$27,'LABOUR RATES'!$C$12)</f>
        <v>0</v>
      </c>
      <c r="P121" s="40" t="n">
        <f aca="false">$L121+$N121+$O121</f>
        <v>0</v>
      </c>
      <c r="Q121" s="41" t="str">
        <f aca="false">IF($A121="","",IFERROR(SUMIFS('CRM ACTUALS'!$H$7:$H$2006,'CRM ACTUALS'!$D$7:$D$2006,$A121)/SUMIFS('CRM ACTUALS'!$F$7:$F$2006,'CRM ACTUALS'!$D$7:$D$2006,$A121),""))</f>
        <v/>
      </c>
      <c r="R121" s="28" t="str">
        <f aca="false">IF($A121="","",IFERROR(SUMIFS('CRM ACTUALS'!$J$7:$J$2006,'CRM ACTUALS'!$D$7:$D$2006,$A121)/SUMIFS('CRM ACTUALS'!$F$7:$F$2006,'CRM ACTUALS'!$D$7:$D$2006,$A121),""))</f>
        <v/>
      </c>
      <c r="S121" s="21" t="str">
        <f aca="false">IF(OR($Q121="",N($H121)=0),"",$H121/$Q121-1)</f>
        <v/>
      </c>
    </row>
    <row r="122" customFormat="false" ht="15" hidden="false" customHeight="false" outlineLevel="0" collapsed="false">
      <c r="A122" s="11"/>
      <c r="B122" s="11"/>
      <c r="C122" s="11"/>
      <c r="D122" s="11"/>
      <c r="E122" s="36"/>
      <c r="F122" s="11"/>
      <c r="G122" s="37"/>
      <c r="H122" s="38"/>
      <c r="I122" s="37"/>
      <c r="J122" s="36"/>
      <c r="K122" s="11" t="s">
        <v>224</v>
      </c>
      <c r="L122" s="29" t="n">
        <f aca="false">($E122*$G122+$I122)*(1+IF($K122="N",0,INPUTS!$C$23))</f>
        <v>0</v>
      </c>
      <c r="M122" s="39" t="n">
        <f aca="false">$E122*$H122+$J122</f>
        <v>0</v>
      </c>
      <c r="N122" s="29" t="n">
        <f aca="false">$M122*IF(OR($B122="V",$B122="AC"),'LABOUR RATES'!$E$26,'LABOUR RATES'!$E$11)</f>
        <v>0</v>
      </c>
      <c r="O122" s="29" t="n">
        <f aca="false">$M122*IF(OR($B122="V",$B122="AC"),'LABOUR RATES'!$C$27,'LABOUR RATES'!$C$12)</f>
        <v>0</v>
      </c>
      <c r="P122" s="40" t="n">
        <f aca="false">$L122+$N122+$O122</f>
        <v>0</v>
      </c>
      <c r="Q122" s="41" t="str">
        <f aca="false">IF($A122="","",IFERROR(SUMIFS('CRM ACTUALS'!$H$7:$H$2006,'CRM ACTUALS'!$D$7:$D$2006,$A122)/SUMIFS('CRM ACTUALS'!$F$7:$F$2006,'CRM ACTUALS'!$D$7:$D$2006,$A122),""))</f>
        <v/>
      </c>
      <c r="R122" s="28" t="str">
        <f aca="false">IF($A122="","",IFERROR(SUMIFS('CRM ACTUALS'!$J$7:$J$2006,'CRM ACTUALS'!$D$7:$D$2006,$A122)/SUMIFS('CRM ACTUALS'!$F$7:$F$2006,'CRM ACTUALS'!$D$7:$D$2006,$A122),""))</f>
        <v/>
      </c>
      <c r="S122" s="21" t="str">
        <f aca="false">IF(OR($Q122="",N($H122)=0),"",$H122/$Q122-1)</f>
        <v/>
      </c>
    </row>
    <row r="123" customFormat="false" ht="15" hidden="false" customHeight="false" outlineLevel="0" collapsed="false">
      <c r="A123" s="11"/>
      <c r="B123" s="11"/>
      <c r="C123" s="11"/>
      <c r="D123" s="11"/>
      <c r="E123" s="36"/>
      <c r="F123" s="11"/>
      <c r="G123" s="37"/>
      <c r="H123" s="38"/>
      <c r="I123" s="37"/>
      <c r="J123" s="36"/>
      <c r="K123" s="11" t="s">
        <v>224</v>
      </c>
      <c r="L123" s="29" t="n">
        <f aca="false">($E123*$G123+$I123)*(1+IF($K123="N",0,INPUTS!$C$23))</f>
        <v>0</v>
      </c>
      <c r="M123" s="39" t="n">
        <f aca="false">$E123*$H123+$J123</f>
        <v>0</v>
      </c>
      <c r="N123" s="29" t="n">
        <f aca="false">$M123*IF(OR($B123="V",$B123="AC"),'LABOUR RATES'!$E$26,'LABOUR RATES'!$E$11)</f>
        <v>0</v>
      </c>
      <c r="O123" s="29" t="n">
        <f aca="false">$M123*IF(OR($B123="V",$B123="AC"),'LABOUR RATES'!$C$27,'LABOUR RATES'!$C$12)</f>
        <v>0</v>
      </c>
      <c r="P123" s="40" t="n">
        <f aca="false">$L123+$N123+$O123</f>
        <v>0</v>
      </c>
      <c r="Q123" s="41" t="str">
        <f aca="false">IF($A123="","",IFERROR(SUMIFS('CRM ACTUALS'!$H$7:$H$2006,'CRM ACTUALS'!$D$7:$D$2006,$A123)/SUMIFS('CRM ACTUALS'!$F$7:$F$2006,'CRM ACTUALS'!$D$7:$D$2006,$A123),""))</f>
        <v/>
      </c>
      <c r="R123" s="28" t="str">
        <f aca="false">IF($A123="","",IFERROR(SUMIFS('CRM ACTUALS'!$J$7:$J$2006,'CRM ACTUALS'!$D$7:$D$2006,$A123)/SUMIFS('CRM ACTUALS'!$F$7:$F$2006,'CRM ACTUALS'!$D$7:$D$2006,$A123),""))</f>
        <v/>
      </c>
      <c r="S123" s="21" t="str">
        <f aca="false">IF(OR($Q123="",N($H123)=0),"",$H123/$Q123-1)</f>
        <v/>
      </c>
    </row>
    <row r="124" customFormat="false" ht="15" hidden="false" customHeight="false" outlineLevel="0" collapsed="false">
      <c r="A124" s="11"/>
      <c r="B124" s="11"/>
      <c r="C124" s="11"/>
      <c r="D124" s="11"/>
      <c r="E124" s="36"/>
      <c r="F124" s="11"/>
      <c r="G124" s="37"/>
      <c r="H124" s="38"/>
      <c r="I124" s="37"/>
      <c r="J124" s="36"/>
      <c r="K124" s="11" t="s">
        <v>224</v>
      </c>
      <c r="L124" s="29" t="n">
        <f aca="false">($E124*$G124+$I124)*(1+IF($K124="N",0,INPUTS!$C$23))</f>
        <v>0</v>
      </c>
      <c r="M124" s="39" t="n">
        <f aca="false">$E124*$H124+$J124</f>
        <v>0</v>
      </c>
      <c r="N124" s="29" t="n">
        <f aca="false">$M124*IF(OR($B124="V",$B124="AC"),'LABOUR RATES'!$E$26,'LABOUR RATES'!$E$11)</f>
        <v>0</v>
      </c>
      <c r="O124" s="29" t="n">
        <f aca="false">$M124*IF(OR($B124="V",$B124="AC"),'LABOUR RATES'!$C$27,'LABOUR RATES'!$C$12)</f>
        <v>0</v>
      </c>
      <c r="P124" s="40" t="n">
        <f aca="false">$L124+$N124+$O124</f>
        <v>0</v>
      </c>
      <c r="Q124" s="41" t="str">
        <f aca="false">IF($A124="","",IFERROR(SUMIFS('CRM ACTUALS'!$H$7:$H$2006,'CRM ACTUALS'!$D$7:$D$2006,$A124)/SUMIFS('CRM ACTUALS'!$F$7:$F$2006,'CRM ACTUALS'!$D$7:$D$2006,$A124),""))</f>
        <v/>
      </c>
      <c r="R124" s="28" t="str">
        <f aca="false">IF($A124="","",IFERROR(SUMIFS('CRM ACTUALS'!$J$7:$J$2006,'CRM ACTUALS'!$D$7:$D$2006,$A124)/SUMIFS('CRM ACTUALS'!$F$7:$F$2006,'CRM ACTUALS'!$D$7:$D$2006,$A124),""))</f>
        <v/>
      </c>
      <c r="S124" s="21" t="str">
        <f aca="false">IF(OR($Q124="",N($H124)=0),"",$H124/$Q124-1)</f>
        <v/>
      </c>
    </row>
    <row r="125" customFormat="false" ht="15" hidden="false" customHeight="false" outlineLevel="0" collapsed="false">
      <c r="A125" s="11"/>
      <c r="B125" s="11"/>
      <c r="C125" s="11"/>
      <c r="D125" s="11"/>
      <c r="E125" s="36"/>
      <c r="F125" s="11"/>
      <c r="G125" s="37"/>
      <c r="H125" s="38"/>
      <c r="I125" s="37"/>
      <c r="J125" s="36"/>
      <c r="K125" s="11" t="s">
        <v>224</v>
      </c>
      <c r="L125" s="29" t="n">
        <f aca="false">($E125*$G125+$I125)*(1+IF($K125="N",0,INPUTS!$C$23))</f>
        <v>0</v>
      </c>
      <c r="M125" s="39" t="n">
        <f aca="false">$E125*$H125+$J125</f>
        <v>0</v>
      </c>
      <c r="N125" s="29" t="n">
        <f aca="false">$M125*IF(OR($B125="V",$B125="AC"),'LABOUR RATES'!$E$26,'LABOUR RATES'!$E$11)</f>
        <v>0</v>
      </c>
      <c r="O125" s="29" t="n">
        <f aca="false">$M125*IF(OR($B125="V",$B125="AC"),'LABOUR RATES'!$C$27,'LABOUR RATES'!$C$12)</f>
        <v>0</v>
      </c>
      <c r="P125" s="40" t="n">
        <f aca="false">$L125+$N125+$O125</f>
        <v>0</v>
      </c>
      <c r="Q125" s="41" t="str">
        <f aca="false">IF($A125="","",IFERROR(SUMIFS('CRM ACTUALS'!$H$7:$H$2006,'CRM ACTUALS'!$D$7:$D$2006,$A125)/SUMIFS('CRM ACTUALS'!$F$7:$F$2006,'CRM ACTUALS'!$D$7:$D$2006,$A125),""))</f>
        <v/>
      </c>
      <c r="R125" s="28" t="str">
        <f aca="false">IF($A125="","",IFERROR(SUMIFS('CRM ACTUALS'!$J$7:$J$2006,'CRM ACTUALS'!$D$7:$D$2006,$A125)/SUMIFS('CRM ACTUALS'!$F$7:$F$2006,'CRM ACTUALS'!$D$7:$D$2006,$A125),""))</f>
        <v/>
      </c>
      <c r="S125" s="21" t="str">
        <f aca="false">IF(OR($Q125="",N($H125)=0),"",$H125/$Q125-1)</f>
        <v/>
      </c>
    </row>
    <row r="126" customFormat="false" ht="15" hidden="false" customHeight="false" outlineLevel="0" collapsed="false">
      <c r="A126" s="11"/>
      <c r="B126" s="11"/>
      <c r="C126" s="11"/>
      <c r="D126" s="11"/>
      <c r="E126" s="36"/>
      <c r="F126" s="11"/>
      <c r="G126" s="37"/>
      <c r="H126" s="38"/>
      <c r="I126" s="37"/>
      <c r="J126" s="36"/>
      <c r="K126" s="11" t="s">
        <v>224</v>
      </c>
      <c r="L126" s="29" t="n">
        <f aca="false">($E126*$G126+$I126)*(1+IF($K126="N",0,INPUTS!$C$23))</f>
        <v>0</v>
      </c>
      <c r="M126" s="39" t="n">
        <f aca="false">$E126*$H126+$J126</f>
        <v>0</v>
      </c>
      <c r="N126" s="29" t="n">
        <f aca="false">$M126*IF(OR($B126="V",$B126="AC"),'LABOUR RATES'!$E$26,'LABOUR RATES'!$E$11)</f>
        <v>0</v>
      </c>
      <c r="O126" s="29" t="n">
        <f aca="false">$M126*IF(OR($B126="V",$B126="AC"),'LABOUR RATES'!$C$27,'LABOUR RATES'!$C$12)</f>
        <v>0</v>
      </c>
      <c r="P126" s="40" t="n">
        <f aca="false">$L126+$N126+$O126</f>
        <v>0</v>
      </c>
      <c r="Q126" s="41" t="str">
        <f aca="false">IF($A126="","",IFERROR(SUMIFS('CRM ACTUALS'!$H$7:$H$2006,'CRM ACTUALS'!$D$7:$D$2006,$A126)/SUMIFS('CRM ACTUALS'!$F$7:$F$2006,'CRM ACTUALS'!$D$7:$D$2006,$A126),""))</f>
        <v/>
      </c>
      <c r="R126" s="28" t="str">
        <f aca="false">IF($A126="","",IFERROR(SUMIFS('CRM ACTUALS'!$J$7:$J$2006,'CRM ACTUALS'!$D$7:$D$2006,$A126)/SUMIFS('CRM ACTUALS'!$F$7:$F$2006,'CRM ACTUALS'!$D$7:$D$2006,$A126),""))</f>
        <v/>
      </c>
      <c r="S126" s="21" t="str">
        <f aca="false">IF(OR($Q126="",N($H126)=0),"",$H126/$Q126-1)</f>
        <v/>
      </c>
    </row>
    <row r="127" customFormat="false" ht="15" hidden="false" customHeight="false" outlineLevel="0" collapsed="false">
      <c r="A127" s="11"/>
      <c r="B127" s="11"/>
      <c r="C127" s="11"/>
      <c r="D127" s="11"/>
      <c r="E127" s="36"/>
      <c r="F127" s="11"/>
      <c r="G127" s="37"/>
      <c r="H127" s="38"/>
      <c r="I127" s="37"/>
      <c r="J127" s="36"/>
      <c r="K127" s="11" t="s">
        <v>224</v>
      </c>
      <c r="L127" s="29" t="n">
        <f aca="false">($E127*$G127+$I127)*(1+IF($K127="N",0,INPUTS!$C$23))</f>
        <v>0</v>
      </c>
      <c r="M127" s="39" t="n">
        <f aca="false">$E127*$H127+$J127</f>
        <v>0</v>
      </c>
      <c r="N127" s="29" t="n">
        <f aca="false">$M127*IF(OR($B127="V",$B127="AC"),'LABOUR RATES'!$E$26,'LABOUR RATES'!$E$11)</f>
        <v>0</v>
      </c>
      <c r="O127" s="29" t="n">
        <f aca="false">$M127*IF(OR($B127="V",$B127="AC"),'LABOUR RATES'!$C$27,'LABOUR RATES'!$C$12)</f>
        <v>0</v>
      </c>
      <c r="P127" s="40" t="n">
        <f aca="false">$L127+$N127+$O127</f>
        <v>0</v>
      </c>
      <c r="Q127" s="41" t="str">
        <f aca="false">IF($A127="","",IFERROR(SUMIFS('CRM ACTUALS'!$H$7:$H$2006,'CRM ACTUALS'!$D$7:$D$2006,$A127)/SUMIFS('CRM ACTUALS'!$F$7:$F$2006,'CRM ACTUALS'!$D$7:$D$2006,$A127),""))</f>
        <v/>
      </c>
      <c r="R127" s="28" t="str">
        <f aca="false">IF($A127="","",IFERROR(SUMIFS('CRM ACTUALS'!$J$7:$J$2006,'CRM ACTUALS'!$D$7:$D$2006,$A127)/SUMIFS('CRM ACTUALS'!$F$7:$F$2006,'CRM ACTUALS'!$D$7:$D$2006,$A127),""))</f>
        <v/>
      </c>
      <c r="S127" s="21" t="str">
        <f aca="false">IF(OR($Q127="",N($H127)=0),"",$H127/$Q127-1)</f>
        <v/>
      </c>
    </row>
    <row r="128" customFormat="false" ht="15" hidden="false" customHeight="false" outlineLevel="0" collapsed="false">
      <c r="A128" s="11"/>
      <c r="B128" s="11"/>
      <c r="C128" s="11"/>
      <c r="D128" s="11"/>
      <c r="E128" s="36"/>
      <c r="F128" s="11"/>
      <c r="G128" s="37"/>
      <c r="H128" s="38"/>
      <c r="I128" s="37"/>
      <c r="J128" s="36"/>
      <c r="K128" s="11" t="s">
        <v>224</v>
      </c>
      <c r="L128" s="29" t="n">
        <f aca="false">($E128*$G128+$I128)*(1+IF($K128="N",0,INPUTS!$C$23))</f>
        <v>0</v>
      </c>
      <c r="M128" s="39" t="n">
        <f aca="false">$E128*$H128+$J128</f>
        <v>0</v>
      </c>
      <c r="N128" s="29" t="n">
        <f aca="false">$M128*IF(OR($B128="V",$B128="AC"),'LABOUR RATES'!$E$26,'LABOUR RATES'!$E$11)</f>
        <v>0</v>
      </c>
      <c r="O128" s="29" t="n">
        <f aca="false">$M128*IF(OR($B128="V",$B128="AC"),'LABOUR RATES'!$C$27,'LABOUR RATES'!$C$12)</f>
        <v>0</v>
      </c>
      <c r="P128" s="40" t="n">
        <f aca="false">$L128+$N128+$O128</f>
        <v>0</v>
      </c>
      <c r="Q128" s="41" t="str">
        <f aca="false">IF($A128="","",IFERROR(SUMIFS('CRM ACTUALS'!$H$7:$H$2006,'CRM ACTUALS'!$D$7:$D$2006,$A128)/SUMIFS('CRM ACTUALS'!$F$7:$F$2006,'CRM ACTUALS'!$D$7:$D$2006,$A128),""))</f>
        <v/>
      </c>
      <c r="R128" s="28" t="str">
        <f aca="false">IF($A128="","",IFERROR(SUMIFS('CRM ACTUALS'!$J$7:$J$2006,'CRM ACTUALS'!$D$7:$D$2006,$A128)/SUMIFS('CRM ACTUALS'!$F$7:$F$2006,'CRM ACTUALS'!$D$7:$D$2006,$A128),""))</f>
        <v/>
      </c>
      <c r="S128" s="21" t="str">
        <f aca="false">IF(OR($Q128="",N($H128)=0),"",$H128/$Q128-1)</f>
        <v/>
      </c>
    </row>
    <row r="129" customFormat="false" ht="15" hidden="false" customHeight="false" outlineLevel="0" collapsed="false">
      <c r="A129" s="11"/>
      <c r="B129" s="11"/>
      <c r="C129" s="11"/>
      <c r="D129" s="11"/>
      <c r="E129" s="36"/>
      <c r="F129" s="11"/>
      <c r="G129" s="37"/>
      <c r="H129" s="38"/>
      <c r="I129" s="37"/>
      <c r="J129" s="36"/>
      <c r="K129" s="11" t="s">
        <v>224</v>
      </c>
      <c r="L129" s="29" t="n">
        <f aca="false">($E129*$G129+$I129)*(1+IF($K129="N",0,INPUTS!$C$23))</f>
        <v>0</v>
      </c>
      <c r="M129" s="39" t="n">
        <f aca="false">$E129*$H129+$J129</f>
        <v>0</v>
      </c>
      <c r="N129" s="29" t="n">
        <f aca="false">$M129*IF(OR($B129="V",$B129="AC"),'LABOUR RATES'!$E$26,'LABOUR RATES'!$E$11)</f>
        <v>0</v>
      </c>
      <c r="O129" s="29" t="n">
        <f aca="false">$M129*IF(OR($B129="V",$B129="AC"),'LABOUR RATES'!$C$27,'LABOUR RATES'!$C$12)</f>
        <v>0</v>
      </c>
      <c r="P129" s="40" t="n">
        <f aca="false">$L129+$N129+$O129</f>
        <v>0</v>
      </c>
      <c r="Q129" s="41" t="str">
        <f aca="false">IF($A129="","",IFERROR(SUMIFS('CRM ACTUALS'!$H$7:$H$2006,'CRM ACTUALS'!$D$7:$D$2006,$A129)/SUMIFS('CRM ACTUALS'!$F$7:$F$2006,'CRM ACTUALS'!$D$7:$D$2006,$A129),""))</f>
        <v/>
      </c>
      <c r="R129" s="28" t="str">
        <f aca="false">IF($A129="","",IFERROR(SUMIFS('CRM ACTUALS'!$J$7:$J$2006,'CRM ACTUALS'!$D$7:$D$2006,$A129)/SUMIFS('CRM ACTUALS'!$F$7:$F$2006,'CRM ACTUALS'!$D$7:$D$2006,$A129),""))</f>
        <v/>
      </c>
      <c r="S129" s="21" t="str">
        <f aca="false">IF(OR($Q129="",N($H129)=0),"",$H129/$Q129-1)</f>
        <v/>
      </c>
    </row>
    <row r="130" customFormat="false" ht="15" hidden="false" customHeight="false" outlineLevel="0" collapsed="false">
      <c r="A130" s="11"/>
      <c r="B130" s="11"/>
      <c r="C130" s="11"/>
      <c r="D130" s="11"/>
      <c r="E130" s="36"/>
      <c r="F130" s="11"/>
      <c r="G130" s="37"/>
      <c r="H130" s="38"/>
      <c r="I130" s="37"/>
      <c r="J130" s="36"/>
      <c r="K130" s="11" t="s">
        <v>224</v>
      </c>
      <c r="L130" s="29" t="n">
        <f aca="false">($E130*$G130+$I130)*(1+IF($K130="N",0,INPUTS!$C$23))</f>
        <v>0</v>
      </c>
      <c r="M130" s="39" t="n">
        <f aca="false">$E130*$H130+$J130</f>
        <v>0</v>
      </c>
      <c r="N130" s="29" t="n">
        <f aca="false">$M130*IF(OR($B130="V",$B130="AC"),'LABOUR RATES'!$E$26,'LABOUR RATES'!$E$11)</f>
        <v>0</v>
      </c>
      <c r="O130" s="29" t="n">
        <f aca="false">$M130*IF(OR($B130="V",$B130="AC"),'LABOUR RATES'!$C$27,'LABOUR RATES'!$C$12)</f>
        <v>0</v>
      </c>
      <c r="P130" s="40" t="n">
        <f aca="false">$L130+$N130+$O130</f>
        <v>0</v>
      </c>
      <c r="Q130" s="41" t="str">
        <f aca="false">IF($A130="","",IFERROR(SUMIFS('CRM ACTUALS'!$H$7:$H$2006,'CRM ACTUALS'!$D$7:$D$2006,$A130)/SUMIFS('CRM ACTUALS'!$F$7:$F$2006,'CRM ACTUALS'!$D$7:$D$2006,$A130),""))</f>
        <v/>
      </c>
      <c r="R130" s="28" t="str">
        <f aca="false">IF($A130="","",IFERROR(SUMIFS('CRM ACTUALS'!$J$7:$J$2006,'CRM ACTUALS'!$D$7:$D$2006,$A130)/SUMIFS('CRM ACTUALS'!$F$7:$F$2006,'CRM ACTUALS'!$D$7:$D$2006,$A130),""))</f>
        <v/>
      </c>
      <c r="S130" s="21" t="str">
        <f aca="false">IF(OR($Q130="",N($H130)=0),"",$H130/$Q130-1)</f>
        <v/>
      </c>
    </row>
    <row r="131" customFormat="false" ht="15" hidden="false" customHeight="false" outlineLevel="0" collapsed="false">
      <c r="A131" s="11"/>
      <c r="B131" s="11"/>
      <c r="C131" s="11"/>
      <c r="D131" s="11"/>
      <c r="E131" s="36"/>
      <c r="F131" s="11"/>
      <c r="G131" s="37"/>
      <c r="H131" s="38"/>
      <c r="I131" s="37"/>
      <c r="J131" s="36"/>
      <c r="K131" s="11" t="s">
        <v>224</v>
      </c>
      <c r="L131" s="29" t="n">
        <f aca="false">($E131*$G131+$I131)*(1+IF($K131="N",0,INPUTS!$C$23))</f>
        <v>0</v>
      </c>
      <c r="M131" s="39" t="n">
        <f aca="false">$E131*$H131+$J131</f>
        <v>0</v>
      </c>
      <c r="N131" s="29" t="n">
        <f aca="false">$M131*IF(OR($B131="V",$B131="AC"),'LABOUR RATES'!$E$26,'LABOUR RATES'!$E$11)</f>
        <v>0</v>
      </c>
      <c r="O131" s="29" t="n">
        <f aca="false">$M131*IF(OR($B131="V",$B131="AC"),'LABOUR RATES'!$C$27,'LABOUR RATES'!$C$12)</f>
        <v>0</v>
      </c>
      <c r="P131" s="40" t="n">
        <f aca="false">$L131+$N131+$O131</f>
        <v>0</v>
      </c>
      <c r="Q131" s="41" t="str">
        <f aca="false">IF($A131="","",IFERROR(SUMIFS('CRM ACTUALS'!$H$7:$H$2006,'CRM ACTUALS'!$D$7:$D$2006,$A131)/SUMIFS('CRM ACTUALS'!$F$7:$F$2006,'CRM ACTUALS'!$D$7:$D$2006,$A131),""))</f>
        <v/>
      </c>
      <c r="R131" s="28" t="str">
        <f aca="false">IF($A131="","",IFERROR(SUMIFS('CRM ACTUALS'!$J$7:$J$2006,'CRM ACTUALS'!$D$7:$D$2006,$A131)/SUMIFS('CRM ACTUALS'!$F$7:$F$2006,'CRM ACTUALS'!$D$7:$D$2006,$A131),""))</f>
        <v/>
      </c>
      <c r="S131" s="21" t="str">
        <f aca="false">IF(OR($Q131="",N($H131)=0),"",$H131/$Q131-1)</f>
        <v/>
      </c>
    </row>
    <row r="132" customFormat="false" ht="15" hidden="false" customHeight="false" outlineLevel="0" collapsed="false">
      <c r="A132" s="11"/>
      <c r="B132" s="11"/>
      <c r="C132" s="11"/>
      <c r="D132" s="11"/>
      <c r="E132" s="36"/>
      <c r="F132" s="11"/>
      <c r="G132" s="37"/>
      <c r="H132" s="38"/>
      <c r="I132" s="37"/>
      <c r="J132" s="36"/>
      <c r="K132" s="11" t="s">
        <v>224</v>
      </c>
      <c r="L132" s="29" t="n">
        <f aca="false">($E132*$G132+$I132)*(1+IF($K132="N",0,INPUTS!$C$23))</f>
        <v>0</v>
      </c>
      <c r="M132" s="39" t="n">
        <f aca="false">$E132*$H132+$J132</f>
        <v>0</v>
      </c>
      <c r="N132" s="29" t="n">
        <f aca="false">$M132*IF(OR($B132="V",$B132="AC"),'LABOUR RATES'!$E$26,'LABOUR RATES'!$E$11)</f>
        <v>0</v>
      </c>
      <c r="O132" s="29" t="n">
        <f aca="false">$M132*IF(OR($B132="V",$B132="AC"),'LABOUR RATES'!$C$27,'LABOUR RATES'!$C$12)</f>
        <v>0</v>
      </c>
      <c r="P132" s="40" t="n">
        <f aca="false">$L132+$N132+$O132</f>
        <v>0</v>
      </c>
      <c r="Q132" s="41" t="str">
        <f aca="false">IF($A132="","",IFERROR(SUMIFS('CRM ACTUALS'!$H$7:$H$2006,'CRM ACTUALS'!$D$7:$D$2006,$A132)/SUMIFS('CRM ACTUALS'!$F$7:$F$2006,'CRM ACTUALS'!$D$7:$D$2006,$A132),""))</f>
        <v/>
      </c>
      <c r="R132" s="28" t="str">
        <f aca="false">IF($A132="","",IFERROR(SUMIFS('CRM ACTUALS'!$J$7:$J$2006,'CRM ACTUALS'!$D$7:$D$2006,$A132)/SUMIFS('CRM ACTUALS'!$F$7:$F$2006,'CRM ACTUALS'!$D$7:$D$2006,$A132),""))</f>
        <v/>
      </c>
      <c r="S132" s="21" t="str">
        <f aca="false">IF(OR($Q132="",N($H132)=0),"",$H132/$Q132-1)</f>
        <v/>
      </c>
    </row>
    <row r="133" customFormat="false" ht="15" hidden="false" customHeight="false" outlineLevel="0" collapsed="false">
      <c r="A133" s="11"/>
      <c r="B133" s="11"/>
      <c r="C133" s="11"/>
      <c r="D133" s="11"/>
      <c r="E133" s="36"/>
      <c r="F133" s="11"/>
      <c r="G133" s="37"/>
      <c r="H133" s="38"/>
      <c r="I133" s="37"/>
      <c r="J133" s="36"/>
      <c r="K133" s="11" t="s">
        <v>224</v>
      </c>
      <c r="L133" s="29" t="n">
        <f aca="false">($E133*$G133+$I133)*(1+IF($K133="N",0,INPUTS!$C$23))</f>
        <v>0</v>
      </c>
      <c r="M133" s="39" t="n">
        <f aca="false">$E133*$H133+$J133</f>
        <v>0</v>
      </c>
      <c r="N133" s="29" t="n">
        <f aca="false">$M133*IF(OR($B133="V",$B133="AC"),'LABOUR RATES'!$E$26,'LABOUR RATES'!$E$11)</f>
        <v>0</v>
      </c>
      <c r="O133" s="29" t="n">
        <f aca="false">$M133*IF(OR($B133="V",$B133="AC"),'LABOUR RATES'!$C$27,'LABOUR RATES'!$C$12)</f>
        <v>0</v>
      </c>
      <c r="P133" s="40" t="n">
        <f aca="false">$L133+$N133+$O133</f>
        <v>0</v>
      </c>
      <c r="Q133" s="41" t="str">
        <f aca="false">IF($A133="","",IFERROR(SUMIFS('CRM ACTUALS'!$H$7:$H$2006,'CRM ACTUALS'!$D$7:$D$2006,$A133)/SUMIFS('CRM ACTUALS'!$F$7:$F$2006,'CRM ACTUALS'!$D$7:$D$2006,$A133),""))</f>
        <v/>
      </c>
      <c r="R133" s="28" t="str">
        <f aca="false">IF($A133="","",IFERROR(SUMIFS('CRM ACTUALS'!$J$7:$J$2006,'CRM ACTUALS'!$D$7:$D$2006,$A133)/SUMIFS('CRM ACTUALS'!$F$7:$F$2006,'CRM ACTUALS'!$D$7:$D$2006,$A133),""))</f>
        <v/>
      </c>
      <c r="S133" s="21" t="str">
        <f aca="false">IF(OR($Q133="",N($H133)=0),"",$H133/$Q133-1)</f>
        <v/>
      </c>
    </row>
    <row r="134" customFormat="false" ht="15" hidden="false" customHeight="false" outlineLevel="0" collapsed="false">
      <c r="A134" s="11"/>
      <c r="B134" s="11"/>
      <c r="C134" s="11"/>
      <c r="D134" s="11"/>
      <c r="E134" s="36"/>
      <c r="F134" s="11"/>
      <c r="G134" s="37"/>
      <c r="H134" s="38"/>
      <c r="I134" s="37"/>
      <c r="J134" s="36"/>
      <c r="K134" s="11" t="s">
        <v>224</v>
      </c>
      <c r="L134" s="29" t="n">
        <f aca="false">($E134*$G134+$I134)*(1+IF($K134="N",0,INPUTS!$C$23))</f>
        <v>0</v>
      </c>
      <c r="M134" s="39" t="n">
        <f aca="false">$E134*$H134+$J134</f>
        <v>0</v>
      </c>
      <c r="N134" s="29" t="n">
        <f aca="false">$M134*IF(OR($B134="V",$B134="AC"),'LABOUR RATES'!$E$26,'LABOUR RATES'!$E$11)</f>
        <v>0</v>
      </c>
      <c r="O134" s="29" t="n">
        <f aca="false">$M134*IF(OR($B134="V",$B134="AC"),'LABOUR RATES'!$C$27,'LABOUR RATES'!$C$12)</f>
        <v>0</v>
      </c>
      <c r="P134" s="40" t="n">
        <f aca="false">$L134+$N134+$O134</f>
        <v>0</v>
      </c>
      <c r="Q134" s="41" t="str">
        <f aca="false">IF($A134="","",IFERROR(SUMIFS('CRM ACTUALS'!$H$7:$H$2006,'CRM ACTUALS'!$D$7:$D$2006,$A134)/SUMIFS('CRM ACTUALS'!$F$7:$F$2006,'CRM ACTUALS'!$D$7:$D$2006,$A134),""))</f>
        <v/>
      </c>
      <c r="R134" s="28" t="str">
        <f aca="false">IF($A134="","",IFERROR(SUMIFS('CRM ACTUALS'!$J$7:$J$2006,'CRM ACTUALS'!$D$7:$D$2006,$A134)/SUMIFS('CRM ACTUALS'!$F$7:$F$2006,'CRM ACTUALS'!$D$7:$D$2006,$A134),""))</f>
        <v/>
      </c>
      <c r="S134" s="21" t="str">
        <f aca="false">IF(OR($Q134="",N($H134)=0),"",$H134/$Q134-1)</f>
        <v/>
      </c>
    </row>
    <row r="135" customFormat="false" ht="15" hidden="false" customHeight="false" outlineLevel="0" collapsed="false">
      <c r="A135" s="11"/>
      <c r="B135" s="11"/>
      <c r="C135" s="11"/>
      <c r="D135" s="11"/>
      <c r="E135" s="36"/>
      <c r="F135" s="11"/>
      <c r="G135" s="37"/>
      <c r="H135" s="38"/>
      <c r="I135" s="37"/>
      <c r="J135" s="36"/>
      <c r="K135" s="11" t="s">
        <v>224</v>
      </c>
      <c r="L135" s="29" t="n">
        <f aca="false">($E135*$G135+$I135)*(1+IF($K135="N",0,INPUTS!$C$23))</f>
        <v>0</v>
      </c>
      <c r="M135" s="39" t="n">
        <f aca="false">$E135*$H135+$J135</f>
        <v>0</v>
      </c>
      <c r="N135" s="29" t="n">
        <f aca="false">$M135*IF(OR($B135="V",$B135="AC"),'LABOUR RATES'!$E$26,'LABOUR RATES'!$E$11)</f>
        <v>0</v>
      </c>
      <c r="O135" s="29" t="n">
        <f aca="false">$M135*IF(OR($B135="V",$B135="AC"),'LABOUR RATES'!$C$27,'LABOUR RATES'!$C$12)</f>
        <v>0</v>
      </c>
      <c r="P135" s="40" t="n">
        <f aca="false">$L135+$N135+$O135</f>
        <v>0</v>
      </c>
      <c r="Q135" s="41" t="str">
        <f aca="false">IF($A135="","",IFERROR(SUMIFS('CRM ACTUALS'!$H$7:$H$2006,'CRM ACTUALS'!$D$7:$D$2006,$A135)/SUMIFS('CRM ACTUALS'!$F$7:$F$2006,'CRM ACTUALS'!$D$7:$D$2006,$A135),""))</f>
        <v/>
      </c>
      <c r="R135" s="28" t="str">
        <f aca="false">IF($A135="","",IFERROR(SUMIFS('CRM ACTUALS'!$J$7:$J$2006,'CRM ACTUALS'!$D$7:$D$2006,$A135)/SUMIFS('CRM ACTUALS'!$F$7:$F$2006,'CRM ACTUALS'!$D$7:$D$2006,$A135),""))</f>
        <v/>
      </c>
      <c r="S135" s="21" t="str">
        <f aca="false">IF(OR($Q135="",N($H135)=0),"",$H135/$Q135-1)</f>
        <v/>
      </c>
    </row>
    <row r="136" customFormat="false" ht="15" hidden="false" customHeight="false" outlineLevel="0" collapsed="false">
      <c r="A136" s="11"/>
      <c r="B136" s="11"/>
      <c r="C136" s="11"/>
      <c r="D136" s="11"/>
      <c r="E136" s="36"/>
      <c r="F136" s="11"/>
      <c r="G136" s="37"/>
      <c r="H136" s="38"/>
      <c r="I136" s="37"/>
      <c r="J136" s="36"/>
      <c r="K136" s="11" t="s">
        <v>224</v>
      </c>
      <c r="L136" s="29" t="n">
        <f aca="false">($E136*$G136+$I136)*(1+IF($K136="N",0,INPUTS!$C$23))</f>
        <v>0</v>
      </c>
      <c r="M136" s="39" t="n">
        <f aca="false">$E136*$H136+$J136</f>
        <v>0</v>
      </c>
      <c r="N136" s="29" t="n">
        <f aca="false">$M136*IF(OR($B136="V",$B136="AC"),'LABOUR RATES'!$E$26,'LABOUR RATES'!$E$11)</f>
        <v>0</v>
      </c>
      <c r="O136" s="29" t="n">
        <f aca="false">$M136*IF(OR($B136="V",$B136="AC"),'LABOUR RATES'!$C$27,'LABOUR RATES'!$C$12)</f>
        <v>0</v>
      </c>
      <c r="P136" s="40" t="n">
        <f aca="false">$L136+$N136+$O136</f>
        <v>0</v>
      </c>
      <c r="Q136" s="41" t="str">
        <f aca="false">IF($A136="","",IFERROR(SUMIFS('CRM ACTUALS'!$H$7:$H$2006,'CRM ACTUALS'!$D$7:$D$2006,$A136)/SUMIFS('CRM ACTUALS'!$F$7:$F$2006,'CRM ACTUALS'!$D$7:$D$2006,$A136),""))</f>
        <v/>
      </c>
      <c r="R136" s="28" t="str">
        <f aca="false">IF($A136="","",IFERROR(SUMIFS('CRM ACTUALS'!$J$7:$J$2006,'CRM ACTUALS'!$D$7:$D$2006,$A136)/SUMIFS('CRM ACTUALS'!$F$7:$F$2006,'CRM ACTUALS'!$D$7:$D$2006,$A136),""))</f>
        <v/>
      </c>
      <c r="S136" s="21" t="str">
        <f aca="false">IF(OR($Q136="",N($H136)=0),"",$H136/$Q136-1)</f>
        <v/>
      </c>
    </row>
    <row r="137" customFormat="false" ht="15" hidden="false" customHeight="false" outlineLevel="0" collapsed="false">
      <c r="A137" s="11"/>
      <c r="B137" s="11"/>
      <c r="C137" s="11"/>
      <c r="D137" s="11"/>
      <c r="E137" s="36"/>
      <c r="F137" s="11"/>
      <c r="G137" s="37"/>
      <c r="H137" s="38"/>
      <c r="I137" s="37"/>
      <c r="J137" s="36"/>
      <c r="K137" s="11" t="s">
        <v>224</v>
      </c>
      <c r="L137" s="29" t="n">
        <f aca="false">($E137*$G137+$I137)*(1+IF($K137="N",0,INPUTS!$C$23))</f>
        <v>0</v>
      </c>
      <c r="M137" s="39" t="n">
        <f aca="false">$E137*$H137+$J137</f>
        <v>0</v>
      </c>
      <c r="N137" s="29" t="n">
        <f aca="false">$M137*IF(OR($B137="V",$B137="AC"),'LABOUR RATES'!$E$26,'LABOUR RATES'!$E$11)</f>
        <v>0</v>
      </c>
      <c r="O137" s="29" t="n">
        <f aca="false">$M137*IF(OR($B137="V",$B137="AC"),'LABOUR RATES'!$C$27,'LABOUR RATES'!$C$12)</f>
        <v>0</v>
      </c>
      <c r="P137" s="40" t="n">
        <f aca="false">$L137+$N137+$O137</f>
        <v>0</v>
      </c>
      <c r="Q137" s="41" t="str">
        <f aca="false">IF($A137="","",IFERROR(SUMIFS('CRM ACTUALS'!$H$7:$H$2006,'CRM ACTUALS'!$D$7:$D$2006,$A137)/SUMIFS('CRM ACTUALS'!$F$7:$F$2006,'CRM ACTUALS'!$D$7:$D$2006,$A137),""))</f>
        <v/>
      </c>
      <c r="R137" s="28" t="str">
        <f aca="false">IF($A137="","",IFERROR(SUMIFS('CRM ACTUALS'!$J$7:$J$2006,'CRM ACTUALS'!$D$7:$D$2006,$A137)/SUMIFS('CRM ACTUALS'!$F$7:$F$2006,'CRM ACTUALS'!$D$7:$D$2006,$A137),""))</f>
        <v/>
      </c>
      <c r="S137" s="21" t="str">
        <f aca="false">IF(OR($Q137="",N($H137)=0),"",$H137/$Q137-1)</f>
        <v/>
      </c>
    </row>
    <row r="138" customFormat="false" ht="15" hidden="false" customHeight="false" outlineLevel="0" collapsed="false">
      <c r="A138" s="11"/>
      <c r="B138" s="11"/>
      <c r="C138" s="11"/>
      <c r="D138" s="11"/>
      <c r="E138" s="36"/>
      <c r="F138" s="11"/>
      <c r="G138" s="37"/>
      <c r="H138" s="38"/>
      <c r="I138" s="37"/>
      <c r="J138" s="36"/>
      <c r="K138" s="11" t="s">
        <v>224</v>
      </c>
      <c r="L138" s="29" t="n">
        <f aca="false">($E138*$G138+$I138)*(1+IF($K138="N",0,INPUTS!$C$23))</f>
        <v>0</v>
      </c>
      <c r="M138" s="39" t="n">
        <f aca="false">$E138*$H138+$J138</f>
        <v>0</v>
      </c>
      <c r="N138" s="29" t="n">
        <f aca="false">$M138*IF(OR($B138="V",$B138="AC"),'LABOUR RATES'!$E$26,'LABOUR RATES'!$E$11)</f>
        <v>0</v>
      </c>
      <c r="O138" s="29" t="n">
        <f aca="false">$M138*IF(OR($B138="V",$B138="AC"),'LABOUR RATES'!$C$27,'LABOUR RATES'!$C$12)</f>
        <v>0</v>
      </c>
      <c r="P138" s="40" t="n">
        <f aca="false">$L138+$N138+$O138</f>
        <v>0</v>
      </c>
      <c r="Q138" s="41" t="str">
        <f aca="false">IF($A138="","",IFERROR(SUMIFS('CRM ACTUALS'!$H$7:$H$2006,'CRM ACTUALS'!$D$7:$D$2006,$A138)/SUMIFS('CRM ACTUALS'!$F$7:$F$2006,'CRM ACTUALS'!$D$7:$D$2006,$A138),""))</f>
        <v/>
      </c>
      <c r="R138" s="28" t="str">
        <f aca="false">IF($A138="","",IFERROR(SUMIFS('CRM ACTUALS'!$J$7:$J$2006,'CRM ACTUALS'!$D$7:$D$2006,$A138)/SUMIFS('CRM ACTUALS'!$F$7:$F$2006,'CRM ACTUALS'!$D$7:$D$2006,$A138),""))</f>
        <v/>
      </c>
      <c r="S138" s="21" t="str">
        <f aca="false">IF(OR($Q138="",N($H138)=0),"",$H138/$Q138-1)</f>
        <v/>
      </c>
    </row>
    <row r="139" customFormat="false" ht="15" hidden="false" customHeight="false" outlineLevel="0" collapsed="false">
      <c r="A139" s="11"/>
      <c r="B139" s="11"/>
      <c r="C139" s="11"/>
      <c r="D139" s="11"/>
      <c r="E139" s="36"/>
      <c r="F139" s="11"/>
      <c r="G139" s="37"/>
      <c r="H139" s="38"/>
      <c r="I139" s="37"/>
      <c r="J139" s="36"/>
      <c r="K139" s="11" t="s">
        <v>224</v>
      </c>
      <c r="L139" s="29" t="n">
        <f aca="false">($E139*$G139+$I139)*(1+IF($K139="N",0,INPUTS!$C$23))</f>
        <v>0</v>
      </c>
      <c r="M139" s="39" t="n">
        <f aca="false">$E139*$H139+$J139</f>
        <v>0</v>
      </c>
      <c r="N139" s="29" t="n">
        <f aca="false">$M139*IF(OR($B139="V",$B139="AC"),'LABOUR RATES'!$E$26,'LABOUR RATES'!$E$11)</f>
        <v>0</v>
      </c>
      <c r="O139" s="29" t="n">
        <f aca="false">$M139*IF(OR($B139="V",$B139="AC"),'LABOUR RATES'!$C$27,'LABOUR RATES'!$C$12)</f>
        <v>0</v>
      </c>
      <c r="P139" s="40" t="n">
        <f aca="false">$L139+$N139+$O139</f>
        <v>0</v>
      </c>
      <c r="Q139" s="41" t="str">
        <f aca="false">IF($A139="","",IFERROR(SUMIFS('CRM ACTUALS'!$H$7:$H$2006,'CRM ACTUALS'!$D$7:$D$2006,$A139)/SUMIFS('CRM ACTUALS'!$F$7:$F$2006,'CRM ACTUALS'!$D$7:$D$2006,$A139),""))</f>
        <v/>
      </c>
      <c r="R139" s="28" t="str">
        <f aca="false">IF($A139="","",IFERROR(SUMIFS('CRM ACTUALS'!$J$7:$J$2006,'CRM ACTUALS'!$D$7:$D$2006,$A139)/SUMIFS('CRM ACTUALS'!$F$7:$F$2006,'CRM ACTUALS'!$D$7:$D$2006,$A139),""))</f>
        <v/>
      </c>
      <c r="S139" s="21" t="str">
        <f aca="false">IF(OR($Q139="",N($H139)=0),"",$H139/$Q139-1)</f>
        <v/>
      </c>
    </row>
    <row r="140" customFormat="false" ht="15" hidden="false" customHeight="false" outlineLevel="0" collapsed="false">
      <c r="A140" s="11"/>
      <c r="B140" s="11"/>
      <c r="C140" s="11"/>
      <c r="D140" s="11"/>
      <c r="E140" s="36"/>
      <c r="F140" s="11"/>
      <c r="G140" s="37"/>
      <c r="H140" s="38"/>
      <c r="I140" s="37"/>
      <c r="J140" s="36"/>
      <c r="K140" s="11" t="s">
        <v>224</v>
      </c>
      <c r="L140" s="29" t="n">
        <f aca="false">($E140*$G140+$I140)*(1+IF($K140="N",0,INPUTS!$C$23))</f>
        <v>0</v>
      </c>
      <c r="M140" s="39" t="n">
        <f aca="false">$E140*$H140+$J140</f>
        <v>0</v>
      </c>
      <c r="N140" s="29" t="n">
        <f aca="false">$M140*IF(OR($B140="V",$B140="AC"),'LABOUR RATES'!$E$26,'LABOUR RATES'!$E$11)</f>
        <v>0</v>
      </c>
      <c r="O140" s="29" t="n">
        <f aca="false">$M140*IF(OR($B140="V",$B140="AC"),'LABOUR RATES'!$C$27,'LABOUR RATES'!$C$12)</f>
        <v>0</v>
      </c>
      <c r="P140" s="40" t="n">
        <f aca="false">$L140+$N140+$O140</f>
        <v>0</v>
      </c>
      <c r="Q140" s="41" t="str">
        <f aca="false">IF($A140="","",IFERROR(SUMIFS('CRM ACTUALS'!$H$7:$H$2006,'CRM ACTUALS'!$D$7:$D$2006,$A140)/SUMIFS('CRM ACTUALS'!$F$7:$F$2006,'CRM ACTUALS'!$D$7:$D$2006,$A140),""))</f>
        <v/>
      </c>
      <c r="R140" s="28" t="str">
        <f aca="false">IF($A140="","",IFERROR(SUMIFS('CRM ACTUALS'!$J$7:$J$2006,'CRM ACTUALS'!$D$7:$D$2006,$A140)/SUMIFS('CRM ACTUALS'!$F$7:$F$2006,'CRM ACTUALS'!$D$7:$D$2006,$A140),""))</f>
        <v/>
      </c>
      <c r="S140" s="21" t="str">
        <f aca="false">IF(OR($Q140="",N($H140)=0),"",$H140/$Q140-1)</f>
        <v/>
      </c>
    </row>
    <row r="141" customFormat="false" ht="15" hidden="false" customHeight="false" outlineLevel="0" collapsed="false">
      <c r="A141" s="11"/>
      <c r="B141" s="11"/>
      <c r="C141" s="11"/>
      <c r="D141" s="11"/>
      <c r="E141" s="36"/>
      <c r="F141" s="11"/>
      <c r="G141" s="37"/>
      <c r="H141" s="38"/>
      <c r="I141" s="37"/>
      <c r="J141" s="36"/>
      <c r="K141" s="11" t="s">
        <v>224</v>
      </c>
      <c r="L141" s="29" t="n">
        <f aca="false">($E141*$G141+$I141)*(1+IF($K141="N",0,INPUTS!$C$23))</f>
        <v>0</v>
      </c>
      <c r="M141" s="39" t="n">
        <f aca="false">$E141*$H141+$J141</f>
        <v>0</v>
      </c>
      <c r="N141" s="29" t="n">
        <f aca="false">$M141*IF(OR($B141="V",$B141="AC"),'LABOUR RATES'!$E$26,'LABOUR RATES'!$E$11)</f>
        <v>0</v>
      </c>
      <c r="O141" s="29" t="n">
        <f aca="false">$M141*IF(OR($B141="V",$B141="AC"),'LABOUR RATES'!$C$27,'LABOUR RATES'!$C$12)</f>
        <v>0</v>
      </c>
      <c r="P141" s="40" t="n">
        <f aca="false">$L141+$N141+$O141</f>
        <v>0</v>
      </c>
      <c r="Q141" s="41" t="str">
        <f aca="false">IF($A141="","",IFERROR(SUMIFS('CRM ACTUALS'!$H$7:$H$2006,'CRM ACTUALS'!$D$7:$D$2006,$A141)/SUMIFS('CRM ACTUALS'!$F$7:$F$2006,'CRM ACTUALS'!$D$7:$D$2006,$A141),""))</f>
        <v/>
      </c>
      <c r="R141" s="28" t="str">
        <f aca="false">IF($A141="","",IFERROR(SUMIFS('CRM ACTUALS'!$J$7:$J$2006,'CRM ACTUALS'!$D$7:$D$2006,$A141)/SUMIFS('CRM ACTUALS'!$F$7:$F$2006,'CRM ACTUALS'!$D$7:$D$2006,$A141),""))</f>
        <v/>
      </c>
      <c r="S141" s="21" t="str">
        <f aca="false">IF(OR($Q141="",N($H141)=0),"",$H141/$Q141-1)</f>
        <v/>
      </c>
    </row>
    <row r="142" customFormat="false" ht="15" hidden="false" customHeight="false" outlineLevel="0" collapsed="false">
      <c r="A142" s="11"/>
      <c r="B142" s="11"/>
      <c r="C142" s="11"/>
      <c r="D142" s="11"/>
      <c r="E142" s="36"/>
      <c r="F142" s="11"/>
      <c r="G142" s="37"/>
      <c r="H142" s="38"/>
      <c r="I142" s="37"/>
      <c r="J142" s="36"/>
      <c r="K142" s="11" t="s">
        <v>224</v>
      </c>
      <c r="L142" s="29" t="n">
        <f aca="false">($E142*$G142+$I142)*(1+IF($K142="N",0,INPUTS!$C$23))</f>
        <v>0</v>
      </c>
      <c r="M142" s="39" t="n">
        <f aca="false">$E142*$H142+$J142</f>
        <v>0</v>
      </c>
      <c r="N142" s="29" t="n">
        <f aca="false">$M142*IF(OR($B142="V",$B142="AC"),'LABOUR RATES'!$E$26,'LABOUR RATES'!$E$11)</f>
        <v>0</v>
      </c>
      <c r="O142" s="29" t="n">
        <f aca="false">$M142*IF(OR($B142="V",$B142="AC"),'LABOUR RATES'!$C$27,'LABOUR RATES'!$C$12)</f>
        <v>0</v>
      </c>
      <c r="P142" s="40" t="n">
        <f aca="false">$L142+$N142+$O142</f>
        <v>0</v>
      </c>
      <c r="Q142" s="41" t="str">
        <f aca="false">IF($A142="","",IFERROR(SUMIFS('CRM ACTUALS'!$H$7:$H$2006,'CRM ACTUALS'!$D$7:$D$2006,$A142)/SUMIFS('CRM ACTUALS'!$F$7:$F$2006,'CRM ACTUALS'!$D$7:$D$2006,$A142),""))</f>
        <v/>
      </c>
      <c r="R142" s="28" t="str">
        <f aca="false">IF($A142="","",IFERROR(SUMIFS('CRM ACTUALS'!$J$7:$J$2006,'CRM ACTUALS'!$D$7:$D$2006,$A142)/SUMIFS('CRM ACTUALS'!$F$7:$F$2006,'CRM ACTUALS'!$D$7:$D$2006,$A142),""))</f>
        <v/>
      </c>
      <c r="S142" s="21" t="str">
        <f aca="false">IF(OR($Q142="",N($H142)=0),"",$H142/$Q142-1)</f>
        <v/>
      </c>
    </row>
    <row r="143" customFormat="false" ht="15" hidden="false" customHeight="false" outlineLevel="0" collapsed="false">
      <c r="A143" s="11"/>
      <c r="B143" s="11"/>
      <c r="C143" s="11"/>
      <c r="D143" s="11"/>
      <c r="E143" s="36"/>
      <c r="F143" s="11"/>
      <c r="G143" s="37"/>
      <c r="H143" s="38"/>
      <c r="I143" s="37"/>
      <c r="J143" s="36"/>
      <c r="K143" s="11" t="s">
        <v>224</v>
      </c>
      <c r="L143" s="29" t="n">
        <f aca="false">($E143*$G143+$I143)*(1+IF($K143="N",0,INPUTS!$C$23))</f>
        <v>0</v>
      </c>
      <c r="M143" s="39" t="n">
        <f aca="false">$E143*$H143+$J143</f>
        <v>0</v>
      </c>
      <c r="N143" s="29" t="n">
        <f aca="false">$M143*IF(OR($B143="V",$B143="AC"),'LABOUR RATES'!$E$26,'LABOUR RATES'!$E$11)</f>
        <v>0</v>
      </c>
      <c r="O143" s="29" t="n">
        <f aca="false">$M143*IF(OR($B143="V",$B143="AC"),'LABOUR RATES'!$C$27,'LABOUR RATES'!$C$12)</f>
        <v>0</v>
      </c>
      <c r="P143" s="40" t="n">
        <f aca="false">$L143+$N143+$O143</f>
        <v>0</v>
      </c>
      <c r="Q143" s="41" t="str">
        <f aca="false">IF($A143="","",IFERROR(SUMIFS('CRM ACTUALS'!$H$7:$H$2006,'CRM ACTUALS'!$D$7:$D$2006,$A143)/SUMIFS('CRM ACTUALS'!$F$7:$F$2006,'CRM ACTUALS'!$D$7:$D$2006,$A143),""))</f>
        <v/>
      </c>
      <c r="R143" s="28" t="str">
        <f aca="false">IF($A143="","",IFERROR(SUMIFS('CRM ACTUALS'!$J$7:$J$2006,'CRM ACTUALS'!$D$7:$D$2006,$A143)/SUMIFS('CRM ACTUALS'!$F$7:$F$2006,'CRM ACTUALS'!$D$7:$D$2006,$A143),""))</f>
        <v/>
      </c>
      <c r="S143" s="21" t="str">
        <f aca="false">IF(OR($Q143="",N($H143)=0),"",$H143/$Q143-1)</f>
        <v/>
      </c>
    </row>
    <row r="144" customFormat="false" ht="15" hidden="false" customHeight="false" outlineLevel="0" collapsed="false">
      <c r="A144" s="11"/>
      <c r="B144" s="11"/>
      <c r="C144" s="11"/>
      <c r="D144" s="11"/>
      <c r="E144" s="36"/>
      <c r="F144" s="11"/>
      <c r="G144" s="37"/>
      <c r="H144" s="38"/>
      <c r="I144" s="37"/>
      <c r="J144" s="36"/>
      <c r="K144" s="11" t="s">
        <v>224</v>
      </c>
      <c r="L144" s="29" t="n">
        <f aca="false">($E144*$G144+$I144)*(1+IF($K144="N",0,INPUTS!$C$23))</f>
        <v>0</v>
      </c>
      <c r="M144" s="39" t="n">
        <f aca="false">$E144*$H144+$J144</f>
        <v>0</v>
      </c>
      <c r="N144" s="29" t="n">
        <f aca="false">$M144*IF(OR($B144="V",$B144="AC"),'LABOUR RATES'!$E$26,'LABOUR RATES'!$E$11)</f>
        <v>0</v>
      </c>
      <c r="O144" s="29" t="n">
        <f aca="false">$M144*IF(OR($B144="V",$B144="AC"),'LABOUR RATES'!$C$27,'LABOUR RATES'!$C$12)</f>
        <v>0</v>
      </c>
      <c r="P144" s="40" t="n">
        <f aca="false">$L144+$N144+$O144</f>
        <v>0</v>
      </c>
      <c r="Q144" s="41" t="str">
        <f aca="false">IF($A144="","",IFERROR(SUMIFS('CRM ACTUALS'!$H$7:$H$2006,'CRM ACTUALS'!$D$7:$D$2006,$A144)/SUMIFS('CRM ACTUALS'!$F$7:$F$2006,'CRM ACTUALS'!$D$7:$D$2006,$A144),""))</f>
        <v/>
      </c>
      <c r="R144" s="28" t="str">
        <f aca="false">IF($A144="","",IFERROR(SUMIFS('CRM ACTUALS'!$J$7:$J$2006,'CRM ACTUALS'!$D$7:$D$2006,$A144)/SUMIFS('CRM ACTUALS'!$F$7:$F$2006,'CRM ACTUALS'!$D$7:$D$2006,$A144),""))</f>
        <v/>
      </c>
      <c r="S144" s="21" t="str">
        <f aca="false">IF(OR($Q144="",N($H144)=0),"",$H144/$Q144-1)</f>
        <v/>
      </c>
    </row>
    <row r="145" customFormat="false" ht="15" hidden="false" customHeight="false" outlineLevel="0" collapsed="false">
      <c r="A145" s="11"/>
      <c r="B145" s="11"/>
      <c r="C145" s="11"/>
      <c r="D145" s="11"/>
      <c r="E145" s="36"/>
      <c r="F145" s="11"/>
      <c r="G145" s="37"/>
      <c r="H145" s="38"/>
      <c r="I145" s="37"/>
      <c r="J145" s="36"/>
      <c r="K145" s="11" t="s">
        <v>224</v>
      </c>
      <c r="L145" s="29" t="n">
        <f aca="false">($E145*$G145+$I145)*(1+IF($K145="N",0,INPUTS!$C$23))</f>
        <v>0</v>
      </c>
      <c r="M145" s="39" t="n">
        <f aca="false">$E145*$H145+$J145</f>
        <v>0</v>
      </c>
      <c r="N145" s="29" t="n">
        <f aca="false">$M145*IF(OR($B145="V",$B145="AC"),'LABOUR RATES'!$E$26,'LABOUR RATES'!$E$11)</f>
        <v>0</v>
      </c>
      <c r="O145" s="29" t="n">
        <f aca="false">$M145*IF(OR($B145="V",$B145="AC"),'LABOUR RATES'!$C$27,'LABOUR RATES'!$C$12)</f>
        <v>0</v>
      </c>
      <c r="P145" s="40" t="n">
        <f aca="false">$L145+$N145+$O145</f>
        <v>0</v>
      </c>
      <c r="Q145" s="41" t="str">
        <f aca="false">IF($A145="","",IFERROR(SUMIFS('CRM ACTUALS'!$H$7:$H$2006,'CRM ACTUALS'!$D$7:$D$2006,$A145)/SUMIFS('CRM ACTUALS'!$F$7:$F$2006,'CRM ACTUALS'!$D$7:$D$2006,$A145),""))</f>
        <v/>
      </c>
      <c r="R145" s="28" t="str">
        <f aca="false">IF($A145="","",IFERROR(SUMIFS('CRM ACTUALS'!$J$7:$J$2006,'CRM ACTUALS'!$D$7:$D$2006,$A145)/SUMIFS('CRM ACTUALS'!$F$7:$F$2006,'CRM ACTUALS'!$D$7:$D$2006,$A145),""))</f>
        <v/>
      </c>
      <c r="S145" s="21" t="str">
        <f aca="false">IF(OR($Q145="",N($H145)=0),"",$H145/$Q145-1)</f>
        <v/>
      </c>
    </row>
    <row r="146" customFormat="false" ht="15" hidden="false" customHeight="false" outlineLevel="0" collapsed="false">
      <c r="A146" s="11"/>
      <c r="B146" s="11"/>
      <c r="C146" s="11"/>
      <c r="D146" s="11"/>
      <c r="E146" s="36"/>
      <c r="F146" s="11"/>
      <c r="G146" s="37"/>
      <c r="H146" s="38"/>
      <c r="I146" s="37"/>
      <c r="J146" s="36"/>
      <c r="K146" s="11" t="s">
        <v>224</v>
      </c>
      <c r="L146" s="29" t="n">
        <f aca="false">($E146*$G146+$I146)*(1+IF($K146="N",0,INPUTS!$C$23))</f>
        <v>0</v>
      </c>
      <c r="M146" s="39" t="n">
        <f aca="false">$E146*$H146+$J146</f>
        <v>0</v>
      </c>
      <c r="N146" s="29" t="n">
        <f aca="false">$M146*IF(OR($B146="V",$B146="AC"),'LABOUR RATES'!$E$26,'LABOUR RATES'!$E$11)</f>
        <v>0</v>
      </c>
      <c r="O146" s="29" t="n">
        <f aca="false">$M146*IF(OR($B146="V",$B146="AC"),'LABOUR RATES'!$C$27,'LABOUR RATES'!$C$12)</f>
        <v>0</v>
      </c>
      <c r="P146" s="40" t="n">
        <f aca="false">$L146+$N146+$O146</f>
        <v>0</v>
      </c>
      <c r="Q146" s="41" t="str">
        <f aca="false">IF($A146="","",IFERROR(SUMIFS('CRM ACTUALS'!$H$7:$H$2006,'CRM ACTUALS'!$D$7:$D$2006,$A146)/SUMIFS('CRM ACTUALS'!$F$7:$F$2006,'CRM ACTUALS'!$D$7:$D$2006,$A146),""))</f>
        <v/>
      </c>
      <c r="R146" s="28" t="str">
        <f aca="false">IF($A146="","",IFERROR(SUMIFS('CRM ACTUALS'!$J$7:$J$2006,'CRM ACTUALS'!$D$7:$D$2006,$A146)/SUMIFS('CRM ACTUALS'!$F$7:$F$2006,'CRM ACTUALS'!$D$7:$D$2006,$A146),""))</f>
        <v/>
      </c>
      <c r="S146" s="21" t="str">
        <f aca="false">IF(OR($Q146="",N($H146)=0),"",$H146/$Q146-1)</f>
        <v/>
      </c>
    </row>
    <row r="147" customFormat="false" ht="15" hidden="false" customHeight="false" outlineLevel="0" collapsed="false">
      <c r="A147" s="11"/>
      <c r="B147" s="11"/>
      <c r="C147" s="11"/>
      <c r="D147" s="11"/>
      <c r="E147" s="36"/>
      <c r="F147" s="11"/>
      <c r="G147" s="37"/>
      <c r="H147" s="38"/>
      <c r="I147" s="37"/>
      <c r="J147" s="36"/>
      <c r="K147" s="11" t="s">
        <v>224</v>
      </c>
      <c r="L147" s="29" t="n">
        <f aca="false">($E147*$G147+$I147)*(1+IF($K147="N",0,INPUTS!$C$23))</f>
        <v>0</v>
      </c>
      <c r="M147" s="39" t="n">
        <f aca="false">$E147*$H147+$J147</f>
        <v>0</v>
      </c>
      <c r="N147" s="29" t="n">
        <f aca="false">$M147*IF(OR($B147="V",$B147="AC"),'LABOUR RATES'!$E$26,'LABOUR RATES'!$E$11)</f>
        <v>0</v>
      </c>
      <c r="O147" s="29" t="n">
        <f aca="false">$M147*IF(OR($B147="V",$B147="AC"),'LABOUR RATES'!$C$27,'LABOUR RATES'!$C$12)</f>
        <v>0</v>
      </c>
      <c r="P147" s="40" t="n">
        <f aca="false">$L147+$N147+$O147</f>
        <v>0</v>
      </c>
      <c r="Q147" s="41" t="str">
        <f aca="false">IF($A147="","",IFERROR(SUMIFS('CRM ACTUALS'!$H$7:$H$2006,'CRM ACTUALS'!$D$7:$D$2006,$A147)/SUMIFS('CRM ACTUALS'!$F$7:$F$2006,'CRM ACTUALS'!$D$7:$D$2006,$A147),""))</f>
        <v/>
      </c>
      <c r="R147" s="28" t="str">
        <f aca="false">IF($A147="","",IFERROR(SUMIFS('CRM ACTUALS'!$J$7:$J$2006,'CRM ACTUALS'!$D$7:$D$2006,$A147)/SUMIFS('CRM ACTUALS'!$F$7:$F$2006,'CRM ACTUALS'!$D$7:$D$2006,$A147),""))</f>
        <v/>
      </c>
      <c r="S147" s="21" t="str">
        <f aca="false">IF(OR($Q147="",N($H147)=0),"",$H147/$Q147-1)</f>
        <v/>
      </c>
    </row>
    <row r="148" customFormat="false" ht="15" hidden="false" customHeight="false" outlineLevel="0" collapsed="false">
      <c r="A148" s="11"/>
      <c r="B148" s="11"/>
      <c r="C148" s="11"/>
      <c r="D148" s="11"/>
      <c r="E148" s="36"/>
      <c r="F148" s="11"/>
      <c r="G148" s="37"/>
      <c r="H148" s="38"/>
      <c r="I148" s="37"/>
      <c r="J148" s="36"/>
      <c r="K148" s="11" t="s">
        <v>224</v>
      </c>
      <c r="L148" s="29" t="n">
        <f aca="false">($E148*$G148+$I148)*(1+IF($K148="N",0,INPUTS!$C$23))</f>
        <v>0</v>
      </c>
      <c r="M148" s="39" t="n">
        <f aca="false">$E148*$H148+$J148</f>
        <v>0</v>
      </c>
      <c r="N148" s="29" t="n">
        <f aca="false">$M148*IF(OR($B148="V",$B148="AC"),'LABOUR RATES'!$E$26,'LABOUR RATES'!$E$11)</f>
        <v>0</v>
      </c>
      <c r="O148" s="29" t="n">
        <f aca="false">$M148*IF(OR($B148="V",$B148="AC"),'LABOUR RATES'!$C$27,'LABOUR RATES'!$C$12)</f>
        <v>0</v>
      </c>
      <c r="P148" s="40" t="n">
        <f aca="false">$L148+$N148+$O148</f>
        <v>0</v>
      </c>
      <c r="Q148" s="41" t="str">
        <f aca="false">IF($A148="","",IFERROR(SUMIFS('CRM ACTUALS'!$H$7:$H$2006,'CRM ACTUALS'!$D$7:$D$2006,$A148)/SUMIFS('CRM ACTUALS'!$F$7:$F$2006,'CRM ACTUALS'!$D$7:$D$2006,$A148),""))</f>
        <v/>
      </c>
      <c r="R148" s="28" t="str">
        <f aca="false">IF($A148="","",IFERROR(SUMIFS('CRM ACTUALS'!$J$7:$J$2006,'CRM ACTUALS'!$D$7:$D$2006,$A148)/SUMIFS('CRM ACTUALS'!$F$7:$F$2006,'CRM ACTUALS'!$D$7:$D$2006,$A148),""))</f>
        <v/>
      </c>
      <c r="S148" s="21" t="str">
        <f aca="false">IF(OR($Q148="",N($H148)=0),"",$H148/$Q148-1)</f>
        <v/>
      </c>
    </row>
    <row r="149" customFormat="false" ht="15" hidden="false" customHeight="false" outlineLevel="0" collapsed="false">
      <c r="A149" s="11"/>
      <c r="B149" s="11"/>
      <c r="C149" s="11"/>
      <c r="D149" s="11"/>
      <c r="E149" s="36"/>
      <c r="F149" s="11"/>
      <c r="G149" s="37"/>
      <c r="H149" s="38"/>
      <c r="I149" s="37"/>
      <c r="J149" s="36"/>
      <c r="K149" s="11" t="s">
        <v>224</v>
      </c>
      <c r="L149" s="29" t="n">
        <f aca="false">($E149*$G149+$I149)*(1+IF($K149="N",0,INPUTS!$C$23))</f>
        <v>0</v>
      </c>
      <c r="M149" s="39" t="n">
        <f aca="false">$E149*$H149+$J149</f>
        <v>0</v>
      </c>
      <c r="N149" s="29" t="n">
        <f aca="false">$M149*IF(OR($B149="V",$B149="AC"),'LABOUR RATES'!$E$26,'LABOUR RATES'!$E$11)</f>
        <v>0</v>
      </c>
      <c r="O149" s="29" t="n">
        <f aca="false">$M149*IF(OR($B149="V",$B149="AC"),'LABOUR RATES'!$C$27,'LABOUR RATES'!$C$12)</f>
        <v>0</v>
      </c>
      <c r="P149" s="40" t="n">
        <f aca="false">$L149+$N149+$O149</f>
        <v>0</v>
      </c>
      <c r="Q149" s="41" t="str">
        <f aca="false">IF($A149="","",IFERROR(SUMIFS('CRM ACTUALS'!$H$7:$H$2006,'CRM ACTUALS'!$D$7:$D$2006,$A149)/SUMIFS('CRM ACTUALS'!$F$7:$F$2006,'CRM ACTUALS'!$D$7:$D$2006,$A149),""))</f>
        <v/>
      </c>
      <c r="R149" s="28" t="str">
        <f aca="false">IF($A149="","",IFERROR(SUMIFS('CRM ACTUALS'!$J$7:$J$2006,'CRM ACTUALS'!$D$7:$D$2006,$A149)/SUMIFS('CRM ACTUALS'!$F$7:$F$2006,'CRM ACTUALS'!$D$7:$D$2006,$A149),""))</f>
        <v/>
      </c>
      <c r="S149" s="21" t="str">
        <f aca="false">IF(OR($Q149="",N($H149)=0),"",$H149/$Q149-1)</f>
        <v/>
      </c>
    </row>
    <row r="150" customFormat="false" ht="15" hidden="false" customHeight="false" outlineLevel="0" collapsed="false">
      <c r="A150" s="11"/>
      <c r="B150" s="11"/>
      <c r="C150" s="11"/>
      <c r="D150" s="11"/>
      <c r="E150" s="36"/>
      <c r="F150" s="11"/>
      <c r="G150" s="37"/>
      <c r="H150" s="38"/>
      <c r="I150" s="37"/>
      <c r="J150" s="36"/>
      <c r="K150" s="11" t="s">
        <v>224</v>
      </c>
      <c r="L150" s="29" t="n">
        <f aca="false">($E150*$G150+$I150)*(1+IF($K150="N",0,INPUTS!$C$23))</f>
        <v>0</v>
      </c>
      <c r="M150" s="39" t="n">
        <f aca="false">$E150*$H150+$J150</f>
        <v>0</v>
      </c>
      <c r="N150" s="29" t="n">
        <f aca="false">$M150*IF(OR($B150="V",$B150="AC"),'LABOUR RATES'!$E$26,'LABOUR RATES'!$E$11)</f>
        <v>0</v>
      </c>
      <c r="O150" s="29" t="n">
        <f aca="false">$M150*IF(OR($B150="V",$B150="AC"),'LABOUR RATES'!$C$27,'LABOUR RATES'!$C$12)</f>
        <v>0</v>
      </c>
      <c r="P150" s="40" t="n">
        <f aca="false">$L150+$N150+$O150</f>
        <v>0</v>
      </c>
      <c r="Q150" s="41" t="str">
        <f aca="false">IF($A150="","",IFERROR(SUMIFS('CRM ACTUALS'!$H$7:$H$2006,'CRM ACTUALS'!$D$7:$D$2006,$A150)/SUMIFS('CRM ACTUALS'!$F$7:$F$2006,'CRM ACTUALS'!$D$7:$D$2006,$A150),""))</f>
        <v/>
      </c>
      <c r="R150" s="28" t="str">
        <f aca="false">IF($A150="","",IFERROR(SUMIFS('CRM ACTUALS'!$J$7:$J$2006,'CRM ACTUALS'!$D$7:$D$2006,$A150)/SUMIFS('CRM ACTUALS'!$F$7:$F$2006,'CRM ACTUALS'!$D$7:$D$2006,$A150),""))</f>
        <v/>
      </c>
      <c r="S150" s="21" t="str">
        <f aca="false">IF(OR($Q150="",N($H150)=0),"",$H150/$Q150-1)</f>
        <v/>
      </c>
    </row>
    <row r="151" customFormat="false" ht="15" hidden="false" customHeight="false" outlineLevel="0" collapsed="false">
      <c r="A151" s="11"/>
      <c r="B151" s="11"/>
      <c r="C151" s="11"/>
      <c r="D151" s="11"/>
      <c r="E151" s="36"/>
      <c r="F151" s="11"/>
      <c r="G151" s="37"/>
      <c r="H151" s="38"/>
      <c r="I151" s="37"/>
      <c r="J151" s="36"/>
      <c r="K151" s="11" t="s">
        <v>224</v>
      </c>
      <c r="L151" s="29" t="n">
        <f aca="false">($E151*$G151+$I151)*(1+IF($K151="N",0,INPUTS!$C$23))</f>
        <v>0</v>
      </c>
      <c r="M151" s="39" t="n">
        <f aca="false">$E151*$H151+$J151</f>
        <v>0</v>
      </c>
      <c r="N151" s="29" t="n">
        <f aca="false">$M151*IF(OR($B151="V",$B151="AC"),'LABOUR RATES'!$E$26,'LABOUR RATES'!$E$11)</f>
        <v>0</v>
      </c>
      <c r="O151" s="29" t="n">
        <f aca="false">$M151*IF(OR($B151="V",$B151="AC"),'LABOUR RATES'!$C$27,'LABOUR RATES'!$C$12)</f>
        <v>0</v>
      </c>
      <c r="P151" s="40" t="n">
        <f aca="false">$L151+$N151+$O151</f>
        <v>0</v>
      </c>
      <c r="Q151" s="41" t="str">
        <f aca="false">IF($A151="","",IFERROR(SUMIFS('CRM ACTUALS'!$H$7:$H$2006,'CRM ACTUALS'!$D$7:$D$2006,$A151)/SUMIFS('CRM ACTUALS'!$F$7:$F$2006,'CRM ACTUALS'!$D$7:$D$2006,$A151),""))</f>
        <v/>
      </c>
      <c r="R151" s="28" t="str">
        <f aca="false">IF($A151="","",IFERROR(SUMIFS('CRM ACTUALS'!$J$7:$J$2006,'CRM ACTUALS'!$D$7:$D$2006,$A151)/SUMIFS('CRM ACTUALS'!$F$7:$F$2006,'CRM ACTUALS'!$D$7:$D$2006,$A151),""))</f>
        <v/>
      </c>
      <c r="S151" s="21" t="str">
        <f aca="false">IF(OR($Q151="",N($H151)=0),"",$H151/$Q151-1)</f>
        <v/>
      </c>
    </row>
    <row r="152" customFormat="false" ht="15" hidden="false" customHeight="false" outlineLevel="0" collapsed="false">
      <c r="A152" s="11"/>
      <c r="B152" s="11"/>
      <c r="C152" s="11"/>
      <c r="D152" s="11"/>
      <c r="E152" s="36"/>
      <c r="F152" s="11"/>
      <c r="G152" s="37"/>
      <c r="H152" s="38"/>
      <c r="I152" s="37"/>
      <c r="J152" s="36"/>
      <c r="K152" s="11" t="s">
        <v>224</v>
      </c>
      <c r="L152" s="29" t="n">
        <f aca="false">($E152*$G152+$I152)*(1+IF($K152="N",0,INPUTS!$C$23))</f>
        <v>0</v>
      </c>
      <c r="M152" s="39" t="n">
        <f aca="false">$E152*$H152+$J152</f>
        <v>0</v>
      </c>
      <c r="N152" s="29" t="n">
        <f aca="false">$M152*IF(OR($B152="V",$B152="AC"),'LABOUR RATES'!$E$26,'LABOUR RATES'!$E$11)</f>
        <v>0</v>
      </c>
      <c r="O152" s="29" t="n">
        <f aca="false">$M152*IF(OR($B152="V",$B152="AC"),'LABOUR RATES'!$C$27,'LABOUR RATES'!$C$12)</f>
        <v>0</v>
      </c>
      <c r="P152" s="40" t="n">
        <f aca="false">$L152+$N152+$O152</f>
        <v>0</v>
      </c>
      <c r="Q152" s="41" t="str">
        <f aca="false">IF($A152="","",IFERROR(SUMIFS('CRM ACTUALS'!$H$7:$H$2006,'CRM ACTUALS'!$D$7:$D$2006,$A152)/SUMIFS('CRM ACTUALS'!$F$7:$F$2006,'CRM ACTUALS'!$D$7:$D$2006,$A152),""))</f>
        <v/>
      </c>
      <c r="R152" s="28" t="str">
        <f aca="false">IF($A152="","",IFERROR(SUMIFS('CRM ACTUALS'!$J$7:$J$2006,'CRM ACTUALS'!$D$7:$D$2006,$A152)/SUMIFS('CRM ACTUALS'!$F$7:$F$2006,'CRM ACTUALS'!$D$7:$D$2006,$A152),""))</f>
        <v/>
      </c>
      <c r="S152" s="21" t="str">
        <f aca="false">IF(OR($Q152="",N($H152)=0),"",$H152/$Q152-1)</f>
        <v/>
      </c>
    </row>
    <row r="153" customFormat="false" ht="15" hidden="false" customHeight="false" outlineLevel="0" collapsed="false">
      <c r="A153" s="11"/>
      <c r="B153" s="11"/>
      <c r="C153" s="11"/>
      <c r="D153" s="11"/>
      <c r="E153" s="36"/>
      <c r="F153" s="11"/>
      <c r="G153" s="37"/>
      <c r="H153" s="38"/>
      <c r="I153" s="37"/>
      <c r="J153" s="36"/>
      <c r="K153" s="11" t="s">
        <v>224</v>
      </c>
      <c r="L153" s="29" t="n">
        <f aca="false">($E153*$G153+$I153)*(1+IF($K153="N",0,INPUTS!$C$23))</f>
        <v>0</v>
      </c>
      <c r="M153" s="39" t="n">
        <f aca="false">$E153*$H153+$J153</f>
        <v>0</v>
      </c>
      <c r="N153" s="29" t="n">
        <f aca="false">$M153*IF(OR($B153="V",$B153="AC"),'LABOUR RATES'!$E$26,'LABOUR RATES'!$E$11)</f>
        <v>0</v>
      </c>
      <c r="O153" s="29" t="n">
        <f aca="false">$M153*IF(OR($B153="V",$B153="AC"),'LABOUR RATES'!$C$27,'LABOUR RATES'!$C$12)</f>
        <v>0</v>
      </c>
      <c r="P153" s="40" t="n">
        <f aca="false">$L153+$N153+$O153</f>
        <v>0</v>
      </c>
      <c r="Q153" s="41" t="str">
        <f aca="false">IF($A153="","",IFERROR(SUMIFS('CRM ACTUALS'!$H$7:$H$2006,'CRM ACTUALS'!$D$7:$D$2006,$A153)/SUMIFS('CRM ACTUALS'!$F$7:$F$2006,'CRM ACTUALS'!$D$7:$D$2006,$A153),""))</f>
        <v/>
      </c>
      <c r="R153" s="28" t="str">
        <f aca="false">IF($A153="","",IFERROR(SUMIFS('CRM ACTUALS'!$J$7:$J$2006,'CRM ACTUALS'!$D$7:$D$2006,$A153)/SUMIFS('CRM ACTUALS'!$F$7:$F$2006,'CRM ACTUALS'!$D$7:$D$2006,$A153),""))</f>
        <v/>
      </c>
      <c r="S153" s="21" t="str">
        <f aca="false">IF(OR($Q153="",N($H153)=0),"",$H153/$Q153-1)</f>
        <v/>
      </c>
    </row>
    <row r="154" customFormat="false" ht="15" hidden="false" customHeight="false" outlineLevel="0" collapsed="false">
      <c r="A154" s="11"/>
      <c r="B154" s="11"/>
      <c r="C154" s="11"/>
      <c r="D154" s="11"/>
      <c r="E154" s="36"/>
      <c r="F154" s="11"/>
      <c r="G154" s="37"/>
      <c r="H154" s="38"/>
      <c r="I154" s="37"/>
      <c r="J154" s="36"/>
      <c r="K154" s="11" t="s">
        <v>224</v>
      </c>
      <c r="L154" s="29" t="n">
        <f aca="false">($E154*$G154+$I154)*(1+IF($K154="N",0,INPUTS!$C$23))</f>
        <v>0</v>
      </c>
      <c r="M154" s="39" t="n">
        <f aca="false">$E154*$H154+$J154</f>
        <v>0</v>
      </c>
      <c r="N154" s="29" t="n">
        <f aca="false">$M154*IF(OR($B154="V",$B154="AC"),'LABOUR RATES'!$E$26,'LABOUR RATES'!$E$11)</f>
        <v>0</v>
      </c>
      <c r="O154" s="29" t="n">
        <f aca="false">$M154*IF(OR($B154="V",$B154="AC"),'LABOUR RATES'!$C$27,'LABOUR RATES'!$C$12)</f>
        <v>0</v>
      </c>
      <c r="P154" s="40" t="n">
        <f aca="false">$L154+$N154+$O154</f>
        <v>0</v>
      </c>
      <c r="Q154" s="41" t="str">
        <f aca="false">IF($A154="","",IFERROR(SUMIFS('CRM ACTUALS'!$H$7:$H$2006,'CRM ACTUALS'!$D$7:$D$2006,$A154)/SUMIFS('CRM ACTUALS'!$F$7:$F$2006,'CRM ACTUALS'!$D$7:$D$2006,$A154),""))</f>
        <v/>
      </c>
      <c r="R154" s="28" t="str">
        <f aca="false">IF($A154="","",IFERROR(SUMIFS('CRM ACTUALS'!$J$7:$J$2006,'CRM ACTUALS'!$D$7:$D$2006,$A154)/SUMIFS('CRM ACTUALS'!$F$7:$F$2006,'CRM ACTUALS'!$D$7:$D$2006,$A154),""))</f>
        <v/>
      </c>
      <c r="S154" s="21" t="str">
        <f aca="false">IF(OR($Q154="",N($H154)=0),"",$H154/$Q154-1)</f>
        <v/>
      </c>
    </row>
    <row r="155" customFormat="false" ht="15" hidden="false" customHeight="false" outlineLevel="0" collapsed="false">
      <c r="A155" s="11"/>
      <c r="B155" s="11"/>
      <c r="C155" s="11"/>
      <c r="D155" s="11"/>
      <c r="E155" s="36"/>
      <c r="F155" s="11"/>
      <c r="G155" s="37"/>
      <c r="H155" s="38"/>
      <c r="I155" s="37"/>
      <c r="J155" s="36"/>
      <c r="K155" s="11" t="s">
        <v>224</v>
      </c>
      <c r="L155" s="29" t="n">
        <f aca="false">($E155*$G155+$I155)*(1+IF($K155="N",0,INPUTS!$C$23))</f>
        <v>0</v>
      </c>
      <c r="M155" s="39" t="n">
        <f aca="false">$E155*$H155+$J155</f>
        <v>0</v>
      </c>
      <c r="N155" s="29" t="n">
        <f aca="false">$M155*IF(OR($B155="V",$B155="AC"),'LABOUR RATES'!$E$26,'LABOUR RATES'!$E$11)</f>
        <v>0</v>
      </c>
      <c r="O155" s="29" t="n">
        <f aca="false">$M155*IF(OR($B155="V",$B155="AC"),'LABOUR RATES'!$C$27,'LABOUR RATES'!$C$12)</f>
        <v>0</v>
      </c>
      <c r="P155" s="40" t="n">
        <f aca="false">$L155+$N155+$O155</f>
        <v>0</v>
      </c>
      <c r="Q155" s="41" t="str">
        <f aca="false">IF($A155="","",IFERROR(SUMIFS('CRM ACTUALS'!$H$7:$H$2006,'CRM ACTUALS'!$D$7:$D$2006,$A155)/SUMIFS('CRM ACTUALS'!$F$7:$F$2006,'CRM ACTUALS'!$D$7:$D$2006,$A155),""))</f>
        <v/>
      </c>
      <c r="R155" s="28" t="str">
        <f aca="false">IF($A155="","",IFERROR(SUMIFS('CRM ACTUALS'!$J$7:$J$2006,'CRM ACTUALS'!$D$7:$D$2006,$A155)/SUMIFS('CRM ACTUALS'!$F$7:$F$2006,'CRM ACTUALS'!$D$7:$D$2006,$A155),""))</f>
        <v/>
      </c>
      <c r="S155" s="21" t="str">
        <f aca="false">IF(OR($Q155="",N($H155)=0),"",$H155/$Q155-1)</f>
        <v/>
      </c>
    </row>
    <row r="156" customFormat="false" ht="15" hidden="false" customHeight="false" outlineLevel="0" collapsed="false">
      <c r="A156" s="11"/>
      <c r="B156" s="11"/>
      <c r="C156" s="11"/>
      <c r="D156" s="11"/>
      <c r="E156" s="36"/>
      <c r="F156" s="11"/>
      <c r="G156" s="37"/>
      <c r="H156" s="38"/>
      <c r="I156" s="37"/>
      <c r="J156" s="36"/>
      <c r="K156" s="11" t="s">
        <v>224</v>
      </c>
      <c r="L156" s="29" t="n">
        <f aca="false">($E156*$G156+$I156)*(1+IF($K156="N",0,INPUTS!$C$23))</f>
        <v>0</v>
      </c>
      <c r="M156" s="39" t="n">
        <f aca="false">$E156*$H156+$J156</f>
        <v>0</v>
      </c>
      <c r="N156" s="29" t="n">
        <f aca="false">$M156*IF(OR($B156="V",$B156="AC"),'LABOUR RATES'!$E$26,'LABOUR RATES'!$E$11)</f>
        <v>0</v>
      </c>
      <c r="O156" s="29" t="n">
        <f aca="false">$M156*IF(OR($B156="V",$B156="AC"),'LABOUR RATES'!$C$27,'LABOUR RATES'!$C$12)</f>
        <v>0</v>
      </c>
      <c r="P156" s="40" t="n">
        <f aca="false">$L156+$N156+$O156</f>
        <v>0</v>
      </c>
      <c r="Q156" s="41" t="str">
        <f aca="false">IF($A156="","",IFERROR(SUMIFS('CRM ACTUALS'!$H$7:$H$2006,'CRM ACTUALS'!$D$7:$D$2006,$A156)/SUMIFS('CRM ACTUALS'!$F$7:$F$2006,'CRM ACTUALS'!$D$7:$D$2006,$A156),""))</f>
        <v/>
      </c>
      <c r="R156" s="28" t="str">
        <f aca="false">IF($A156="","",IFERROR(SUMIFS('CRM ACTUALS'!$J$7:$J$2006,'CRM ACTUALS'!$D$7:$D$2006,$A156)/SUMIFS('CRM ACTUALS'!$F$7:$F$2006,'CRM ACTUALS'!$D$7:$D$2006,$A156),""))</f>
        <v/>
      </c>
      <c r="S156" s="21" t="str">
        <f aca="false">IF(OR($Q156="",N($H156)=0),"",$H156/$Q156-1)</f>
        <v/>
      </c>
    </row>
  </sheetData>
  <autoFilter ref="A6:S156"/>
  <conditionalFormatting sqref="S7:S156">
    <cfRule type="expression" priority="2" aboveAverage="0" equalAverage="0" bottom="0" percent="0" rank="0" text="" dxfId="9">
      <formula>AND(ISNUMBER(S7),ABS(S7)&gt;0.15)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INPUTS!$B$58:$B$65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1"/>
    <col collapsed="false" customWidth="true" hidden="false" outlineLevel="0" max="18" min="18" style="0" width="12"/>
    <col collapsed="false" customWidth="true" hidden="false" outlineLevel="0" max="19" min="19" style="0" width="11"/>
  </cols>
  <sheetData>
    <row r="1" customFormat="false" ht="17.3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3" customFormat="false" ht="15" hidden="false" customHeight="false" outlineLevel="0" collapsed="false">
      <c r="A3" s="4" t="s">
        <v>201</v>
      </c>
      <c r="L3" s="34" t="n">
        <f aca="false">SUM(L7:L156)</f>
        <v>0</v>
      </c>
      <c r="M3" s="35" t="n">
        <f aca="false">SUM(M7:M156)</f>
        <v>0</v>
      </c>
      <c r="N3" s="34" t="n">
        <f aca="false">SUM(N7:N156)</f>
        <v>0</v>
      </c>
      <c r="O3" s="34" t="n">
        <f aca="false">SUM(O7:O156)</f>
        <v>0</v>
      </c>
      <c r="P3" s="34" t="n">
        <f aca="false">SUM(P7:P156)</f>
        <v>0</v>
      </c>
    </row>
    <row r="4" customFormat="false" ht="15" hidden="false" customHeight="false" outlineLevel="0" collapsed="false">
      <c r="A4" s="2" t="s">
        <v>202</v>
      </c>
    </row>
    <row r="6" customFormat="false" ht="30" hidden="false" customHeight="true" outlineLevel="0" collapsed="false">
      <c r="A6" s="18" t="s">
        <v>203</v>
      </c>
      <c r="B6" s="18" t="s">
        <v>204</v>
      </c>
      <c r="C6" s="18" t="s">
        <v>205</v>
      </c>
      <c r="D6" s="18" t="s">
        <v>206</v>
      </c>
      <c r="E6" s="18" t="s">
        <v>207</v>
      </c>
      <c r="F6" s="18" t="s">
        <v>208</v>
      </c>
      <c r="G6" s="18" t="s">
        <v>209</v>
      </c>
      <c r="H6" s="18" t="s">
        <v>210</v>
      </c>
      <c r="I6" s="18" t="s">
        <v>211</v>
      </c>
      <c r="J6" s="18" t="s">
        <v>212</v>
      </c>
      <c r="K6" s="18" t="s">
        <v>213</v>
      </c>
      <c r="L6" s="18" t="s">
        <v>214</v>
      </c>
      <c r="M6" s="18" t="s">
        <v>170</v>
      </c>
      <c r="N6" s="18" t="s">
        <v>215</v>
      </c>
      <c r="O6" s="18" t="s">
        <v>216</v>
      </c>
      <c r="P6" s="18" t="s">
        <v>217</v>
      </c>
      <c r="Q6" s="18" t="s">
        <v>218</v>
      </c>
      <c r="R6" s="18" t="s">
        <v>219</v>
      </c>
      <c r="S6" s="18" t="s">
        <v>220</v>
      </c>
    </row>
    <row r="7" customFormat="false" ht="15" hidden="false" customHeight="false" outlineLevel="0" collapsed="false">
      <c r="A7" s="11" t="s">
        <v>315</v>
      </c>
      <c r="B7" s="11" t="s">
        <v>100</v>
      </c>
      <c r="C7" s="11" t="s">
        <v>145</v>
      </c>
      <c r="D7" s="11" t="s">
        <v>316</v>
      </c>
      <c r="E7" s="36"/>
      <c r="F7" s="11" t="s">
        <v>317</v>
      </c>
      <c r="G7" s="37"/>
      <c r="H7" s="38"/>
      <c r="I7" s="37"/>
      <c r="J7" s="36"/>
      <c r="K7" s="11" t="s">
        <v>224</v>
      </c>
      <c r="L7" s="29" t="n">
        <f aca="false">($E7*$G7+$I7)*(1+IF($K7="N",0,INPUTS!$C$23))</f>
        <v>0</v>
      </c>
      <c r="M7" s="39" t="n">
        <f aca="false">$E7*$H7+$J7</f>
        <v>0</v>
      </c>
      <c r="N7" s="29" t="n">
        <f aca="false">$M7*IF(OR($B7="V",$B7="AC"),'LABOUR RATES'!$E$26,'LABOUR RATES'!$E$11)</f>
        <v>0</v>
      </c>
      <c r="O7" s="29" t="n">
        <f aca="false">$M7*IF(OR($B7="V",$B7="AC"),'LABOUR RATES'!$C$27,'LABOUR RATES'!$C$12)</f>
        <v>0</v>
      </c>
      <c r="P7" s="40" t="n">
        <f aca="false">$L7+$N7+$O7</f>
        <v>0</v>
      </c>
      <c r="Q7" s="41" t="str">
        <f aca="false">IF($A7="","",IFERROR(SUMIFS('CRM ACTUALS'!$H$7:$H$2006,'CRM ACTUALS'!$D$7:$D$2006,$A7)/SUMIFS('CRM ACTUALS'!$F$7:$F$2006,'CRM ACTUALS'!$D$7:$D$2006,$A7),""))</f>
        <v/>
      </c>
      <c r="R7" s="28" t="str">
        <f aca="false">IF($A7="","",IFERROR(SUMIFS('CRM ACTUALS'!$J$7:$J$2006,'CRM ACTUALS'!$D$7:$D$2006,$A7)/SUMIFS('CRM ACTUALS'!$F$7:$F$2006,'CRM ACTUALS'!$D$7:$D$2006,$A7),""))</f>
        <v/>
      </c>
      <c r="S7" s="21" t="str">
        <f aca="false">IF(OR($Q7="",N($H7)=0),"",$H7/$Q7-1)</f>
        <v/>
      </c>
    </row>
    <row r="8" customFormat="false" ht="15" hidden="false" customHeight="false" outlineLevel="0" collapsed="false">
      <c r="A8" s="11" t="s">
        <v>318</v>
      </c>
      <c r="B8" s="11" t="s">
        <v>100</v>
      </c>
      <c r="C8" s="11" t="s">
        <v>145</v>
      </c>
      <c r="D8" s="11" t="s">
        <v>319</v>
      </c>
      <c r="E8" s="36"/>
      <c r="F8" s="11" t="s">
        <v>260</v>
      </c>
      <c r="G8" s="37"/>
      <c r="H8" s="38"/>
      <c r="I8" s="37"/>
      <c r="J8" s="36"/>
      <c r="K8" s="11" t="s">
        <v>224</v>
      </c>
      <c r="L8" s="29" t="n">
        <f aca="false">($E8*$G8+$I8)*(1+IF($K8="N",0,INPUTS!$C$23))</f>
        <v>0</v>
      </c>
      <c r="M8" s="39" t="n">
        <f aca="false">$E8*$H8+$J8</f>
        <v>0</v>
      </c>
      <c r="N8" s="29" t="n">
        <f aca="false">$M8*IF(OR($B8="V",$B8="AC"),'LABOUR RATES'!$E$26,'LABOUR RATES'!$E$11)</f>
        <v>0</v>
      </c>
      <c r="O8" s="29" t="n">
        <f aca="false">$M8*IF(OR($B8="V",$B8="AC"),'LABOUR RATES'!$C$27,'LABOUR RATES'!$C$12)</f>
        <v>0</v>
      </c>
      <c r="P8" s="40" t="n">
        <f aca="false">$L8+$N8+$O8</f>
        <v>0</v>
      </c>
      <c r="Q8" s="41" t="str">
        <f aca="false">IF($A8="","",IFERROR(SUMIFS('CRM ACTUALS'!$H$7:$H$2006,'CRM ACTUALS'!$D$7:$D$2006,$A8)/SUMIFS('CRM ACTUALS'!$F$7:$F$2006,'CRM ACTUALS'!$D$7:$D$2006,$A8),""))</f>
        <v/>
      </c>
      <c r="R8" s="28" t="str">
        <f aca="false">IF($A8="","",IFERROR(SUMIFS('CRM ACTUALS'!$J$7:$J$2006,'CRM ACTUALS'!$D$7:$D$2006,$A8)/SUMIFS('CRM ACTUALS'!$F$7:$F$2006,'CRM ACTUALS'!$D$7:$D$2006,$A8),""))</f>
        <v/>
      </c>
      <c r="S8" s="21" t="str">
        <f aca="false">IF(OR($Q8="",N($H8)=0),"",$H8/$Q8-1)</f>
        <v/>
      </c>
    </row>
    <row r="9" customFormat="false" ht="15" hidden="false" customHeight="false" outlineLevel="0" collapsed="false">
      <c r="A9" s="11" t="s">
        <v>320</v>
      </c>
      <c r="B9" s="11" t="s">
        <v>100</v>
      </c>
      <c r="C9" s="11" t="s">
        <v>145</v>
      </c>
      <c r="D9" s="11" t="s">
        <v>321</v>
      </c>
      <c r="E9" s="36"/>
      <c r="F9" s="11" t="s">
        <v>263</v>
      </c>
      <c r="G9" s="37"/>
      <c r="H9" s="38"/>
      <c r="I9" s="37"/>
      <c r="J9" s="36"/>
      <c r="K9" s="11" t="s">
        <v>224</v>
      </c>
      <c r="L9" s="29" t="n">
        <f aca="false">($E9*$G9+$I9)*(1+IF($K9="N",0,INPUTS!$C$23))</f>
        <v>0</v>
      </c>
      <c r="M9" s="39" t="n">
        <f aca="false">$E9*$H9+$J9</f>
        <v>0</v>
      </c>
      <c r="N9" s="29" t="n">
        <f aca="false">$M9*IF(OR($B9="V",$B9="AC"),'LABOUR RATES'!$E$26,'LABOUR RATES'!$E$11)</f>
        <v>0</v>
      </c>
      <c r="O9" s="29" t="n">
        <f aca="false">$M9*IF(OR($B9="V",$B9="AC"),'LABOUR RATES'!$C$27,'LABOUR RATES'!$C$12)</f>
        <v>0</v>
      </c>
      <c r="P9" s="40" t="n">
        <f aca="false">$L9+$N9+$O9</f>
        <v>0</v>
      </c>
      <c r="Q9" s="41" t="str">
        <f aca="false">IF($A9="","",IFERROR(SUMIFS('CRM ACTUALS'!$H$7:$H$2006,'CRM ACTUALS'!$D$7:$D$2006,$A9)/SUMIFS('CRM ACTUALS'!$F$7:$F$2006,'CRM ACTUALS'!$D$7:$D$2006,$A9),""))</f>
        <v/>
      </c>
      <c r="R9" s="28" t="str">
        <f aca="false">IF($A9="","",IFERROR(SUMIFS('CRM ACTUALS'!$J$7:$J$2006,'CRM ACTUALS'!$D$7:$D$2006,$A9)/SUMIFS('CRM ACTUALS'!$F$7:$F$2006,'CRM ACTUALS'!$D$7:$D$2006,$A9),""))</f>
        <v/>
      </c>
      <c r="S9" s="21" t="str">
        <f aca="false">IF(OR($Q9="",N($H9)=0),"",$H9/$Q9-1)</f>
        <v/>
      </c>
    </row>
    <row r="10" customFormat="false" ht="15" hidden="false" customHeight="false" outlineLevel="0" collapsed="false">
      <c r="A10" s="11" t="s">
        <v>322</v>
      </c>
      <c r="B10" s="11" t="s">
        <v>100</v>
      </c>
      <c r="C10" s="11" t="s">
        <v>145</v>
      </c>
      <c r="D10" s="11" t="s">
        <v>323</v>
      </c>
      <c r="E10" s="36"/>
      <c r="F10" s="11" t="s">
        <v>263</v>
      </c>
      <c r="G10" s="37"/>
      <c r="H10" s="38"/>
      <c r="I10" s="37"/>
      <c r="J10" s="36"/>
      <c r="K10" s="11" t="s">
        <v>224</v>
      </c>
      <c r="L10" s="29" t="n">
        <f aca="false">($E10*$G10+$I10)*(1+IF($K10="N",0,INPUTS!$C$23))</f>
        <v>0</v>
      </c>
      <c r="M10" s="39" t="n">
        <f aca="false">$E10*$H10+$J10</f>
        <v>0</v>
      </c>
      <c r="N10" s="29" t="n">
        <f aca="false">$M10*IF(OR($B10="V",$B10="AC"),'LABOUR RATES'!$E$26,'LABOUR RATES'!$E$11)</f>
        <v>0</v>
      </c>
      <c r="O10" s="29" t="n">
        <f aca="false">$M10*IF(OR($B10="V",$B10="AC"),'LABOUR RATES'!$C$27,'LABOUR RATES'!$C$12)</f>
        <v>0</v>
      </c>
      <c r="P10" s="40" t="n">
        <f aca="false">$L10+$N10+$O10</f>
        <v>0</v>
      </c>
      <c r="Q10" s="41" t="str">
        <f aca="false">IF($A10="","",IFERROR(SUMIFS('CRM ACTUALS'!$H$7:$H$2006,'CRM ACTUALS'!$D$7:$D$2006,$A10)/SUMIFS('CRM ACTUALS'!$F$7:$F$2006,'CRM ACTUALS'!$D$7:$D$2006,$A10),""))</f>
        <v/>
      </c>
      <c r="R10" s="28" t="str">
        <f aca="false">IF($A10="","",IFERROR(SUMIFS('CRM ACTUALS'!$J$7:$J$2006,'CRM ACTUALS'!$D$7:$D$2006,$A10)/SUMIFS('CRM ACTUALS'!$F$7:$F$2006,'CRM ACTUALS'!$D$7:$D$2006,$A10),""))</f>
        <v/>
      </c>
      <c r="S10" s="21" t="str">
        <f aca="false">IF(OR($Q10="",N($H10)=0),"",$H10/$Q10-1)</f>
        <v/>
      </c>
    </row>
    <row r="11" customFormat="false" ht="15" hidden="false" customHeight="false" outlineLevel="0" collapsed="false">
      <c r="A11" s="11" t="s">
        <v>324</v>
      </c>
      <c r="B11" s="11" t="s">
        <v>100</v>
      </c>
      <c r="C11" s="11" t="s">
        <v>145</v>
      </c>
      <c r="D11" s="11" t="s">
        <v>275</v>
      </c>
      <c r="E11" s="36"/>
      <c r="F11" s="11" t="s">
        <v>263</v>
      </c>
      <c r="G11" s="37"/>
      <c r="H11" s="38"/>
      <c r="I11" s="37"/>
      <c r="J11" s="36"/>
      <c r="K11" s="11" t="s">
        <v>224</v>
      </c>
      <c r="L11" s="29" t="n">
        <f aca="false">($E11*$G11+$I11)*(1+IF($K11="N",0,INPUTS!$C$23))</f>
        <v>0</v>
      </c>
      <c r="M11" s="39" t="n">
        <f aca="false">$E11*$H11+$J11</f>
        <v>0</v>
      </c>
      <c r="N11" s="29" t="n">
        <f aca="false">$M11*IF(OR($B11="V",$B11="AC"),'LABOUR RATES'!$E$26,'LABOUR RATES'!$E$11)</f>
        <v>0</v>
      </c>
      <c r="O11" s="29" t="n">
        <f aca="false">$M11*IF(OR($B11="V",$B11="AC"),'LABOUR RATES'!$C$27,'LABOUR RATES'!$C$12)</f>
        <v>0</v>
      </c>
      <c r="P11" s="40" t="n">
        <f aca="false">$L11+$N11+$O11</f>
        <v>0</v>
      </c>
      <c r="Q11" s="41" t="str">
        <f aca="false">IF($A11="","",IFERROR(SUMIFS('CRM ACTUALS'!$H$7:$H$2006,'CRM ACTUALS'!$D$7:$D$2006,$A11)/SUMIFS('CRM ACTUALS'!$F$7:$F$2006,'CRM ACTUALS'!$D$7:$D$2006,$A11),""))</f>
        <v/>
      </c>
      <c r="R11" s="28" t="str">
        <f aca="false">IF($A11="","",IFERROR(SUMIFS('CRM ACTUALS'!$J$7:$J$2006,'CRM ACTUALS'!$D$7:$D$2006,$A11)/SUMIFS('CRM ACTUALS'!$F$7:$F$2006,'CRM ACTUALS'!$D$7:$D$2006,$A11),""))</f>
        <v/>
      </c>
      <c r="S11" s="21" t="str">
        <f aca="false">IF(OR($Q11="",N($H11)=0),"",$H11/$Q11-1)</f>
        <v/>
      </c>
    </row>
    <row r="12" customFormat="false" ht="15" hidden="false" customHeight="false" outlineLevel="0" collapsed="false">
      <c r="A12" s="11" t="s">
        <v>325</v>
      </c>
      <c r="B12" s="11" t="s">
        <v>100</v>
      </c>
      <c r="C12" s="11" t="s">
        <v>145</v>
      </c>
      <c r="D12" s="11" t="s">
        <v>277</v>
      </c>
      <c r="E12" s="36"/>
      <c r="F12" s="11" t="s">
        <v>263</v>
      </c>
      <c r="G12" s="37"/>
      <c r="H12" s="38"/>
      <c r="I12" s="37"/>
      <c r="J12" s="36"/>
      <c r="K12" s="11" t="s">
        <v>224</v>
      </c>
      <c r="L12" s="29" t="n">
        <f aca="false">($E12*$G12+$I12)*(1+IF($K12="N",0,INPUTS!$C$23))</f>
        <v>0</v>
      </c>
      <c r="M12" s="39" t="n">
        <f aca="false">$E12*$H12+$J12</f>
        <v>0</v>
      </c>
      <c r="N12" s="29" t="n">
        <f aca="false">$M12*IF(OR($B12="V",$B12="AC"),'LABOUR RATES'!$E$26,'LABOUR RATES'!$E$11)</f>
        <v>0</v>
      </c>
      <c r="O12" s="29" t="n">
        <f aca="false">$M12*IF(OR($B12="V",$B12="AC"),'LABOUR RATES'!$C$27,'LABOUR RATES'!$C$12)</f>
        <v>0</v>
      </c>
      <c r="P12" s="40" t="n">
        <f aca="false">$L12+$N12+$O12</f>
        <v>0</v>
      </c>
      <c r="Q12" s="41" t="str">
        <f aca="false">IF($A12="","",IFERROR(SUMIFS('CRM ACTUALS'!$H$7:$H$2006,'CRM ACTUALS'!$D$7:$D$2006,$A12)/SUMIFS('CRM ACTUALS'!$F$7:$F$2006,'CRM ACTUALS'!$D$7:$D$2006,$A12),""))</f>
        <v/>
      </c>
      <c r="R12" s="28" t="str">
        <f aca="false">IF($A12="","",IFERROR(SUMIFS('CRM ACTUALS'!$J$7:$J$2006,'CRM ACTUALS'!$D$7:$D$2006,$A12)/SUMIFS('CRM ACTUALS'!$F$7:$F$2006,'CRM ACTUALS'!$D$7:$D$2006,$A12),""))</f>
        <v/>
      </c>
      <c r="S12" s="21" t="str">
        <f aca="false">IF(OR($Q12="",N($H12)=0),"",$H12/$Q12-1)</f>
        <v/>
      </c>
    </row>
    <row r="13" customFormat="false" ht="15" hidden="false" customHeight="false" outlineLevel="0" collapsed="false">
      <c r="A13" s="11" t="s">
        <v>326</v>
      </c>
      <c r="B13" s="11" t="s">
        <v>100</v>
      </c>
      <c r="C13" s="11" t="s">
        <v>146</v>
      </c>
      <c r="D13" s="11" t="s">
        <v>327</v>
      </c>
      <c r="E13" s="36"/>
      <c r="F13" s="11" t="s">
        <v>223</v>
      </c>
      <c r="G13" s="37"/>
      <c r="H13" s="38"/>
      <c r="I13" s="37"/>
      <c r="J13" s="36"/>
      <c r="K13" s="11" t="s">
        <v>224</v>
      </c>
      <c r="L13" s="29" t="n">
        <f aca="false">($E13*$G13+$I13)*(1+IF($K13="N",0,INPUTS!$C$23))</f>
        <v>0</v>
      </c>
      <c r="M13" s="39" t="n">
        <f aca="false">$E13*$H13+$J13</f>
        <v>0</v>
      </c>
      <c r="N13" s="29" t="n">
        <f aca="false">$M13*IF(OR($B13="V",$B13="AC"),'LABOUR RATES'!$E$26,'LABOUR RATES'!$E$11)</f>
        <v>0</v>
      </c>
      <c r="O13" s="29" t="n">
        <f aca="false">$M13*IF(OR($B13="V",$B13="AC"),'LABOUR RATES'!$C$27,'LABOUR RATES'!$C$12)</f>
        <v>0</v>
      </c>
      <c r="P13" s="40" t="n">
        <f aca="false">$L13+$N13+$O13</f>
        <v>0</v>
      </c>
      <c r="Q13" s="41" t="str">
        <f aca="false">IF($A13="","",IFERROR(SUMIFS('CRM ACTUALS'!$H$7:$H$2006,'CRM ACTUALS'!$D$7:$D$2006,$A13)/SUMIFS('CRM ACTUALS'!$F$7:$F$2006,'CRM ACTUALS'!$D$7:$D$2006,$A13),""))</f>
        <v/>
      </c>
      <c r="R13" s="28" t="str">
        <f aca="false">IF($A13="","",IFERROR(SUMIFS('CRM ACTUALS'!$J$7:$J$2006,'CRM ACTUALS'!$D$7:$D$2006,$A13)/SUMIFS('CRM ACTUALS'!$F$7:$F$2006,'CRM ACTUALS'!$D$7:$D$2006,$A13),""))</f>
        <v/>
      </c>
      <c r="S13" s="21" t="str">
        <f aca="false">IF(OR($Q13="",N($H13)=0),"",$H13/$Q13-1)</f>
        <v/>
      </c>
    </row>
    <row r="14" customFormat="false" ht="15" hidden="false" customHeight="false" outlineLevel="0" collapsed="false">
      <c r="A14" s="11" t="s">
        <v>328</v>
      </c>
      <c r="B14" s="11" t="s">
        <v>100</v>
      </c>
      <c r="C14" s="11" t="s">
        <v>146</v>
      </c>
      <c r="D14" s="11" t="s">
        <v>281</v>
      </c>
      <c r="E14" s="36"/>
      <c r="F14" s="11" t="s">
        <v>223</v>
      </c>
      <c r="G14" s="37"/>
      <c r="H14" s="38"/>
      <c r="I14" s="37"/>
      <c r="J14" s="36"/>
      <c r="K14" s="11" t="s">
        <v>224</v>
      </c>
      <c r="L14" s="29" t="n">
        <f aca="false">($E14*$G14+$I14)*(1+IF($K14="N",0,INPUTS!$C$23))</f>
        <v>0</v>
      </c>
      <c r="M14" s="39" t="n">
        <f aca="false">$E14*$H14+$J14</f>
        <v>0</v>
      </c>
      <c r="N14" s="29" t="n">
        <f aca="false">$M14*IF(OR($B14="V",$B14="AC"),'LABOUR RATES'!$E$26,'LABOUR RATES'!$E$11)</f>
        <v>0</v>
      </c>
      <c r="O14" s="29" t="n">
        <f aca="false">$M14*IF(OR($B14="V",$B14="AC"),'LABOUR RATES'!$C$27,'LABOUR RATES'!$C$12)</f>
        <v>0</v>
      </c>
      <c r="P14" s="40" t="n">
        <f aca="false">$L14+$N14+$O14</f>
        <v>0</v>
      </c>
      <c r="Q14" s="41" t="str">
        <f aca="false">IF($A14="","",IFERROR(SUMIFS('CRM ACTUALS'!$H$7:$H$2006,'CRM ACTUALS'!$D$7:$D$2006,$A14)/SUMIFS('CRM ACTUALS'!$F$7:$F$2006,'CRM ACTUALS'!$D$7:$D$2006,$A14),""))</f>
        <v/>
      </c>
      <c r="R14" s="28" t="str">
        <f aca="false">IF($A14="","",IFERROR(SUMIFS('CRM ACTUALS'!$J$7:$J$2006,'CRM ACTUALS'!$D$7:$D$2006,$A14)/SUMIFS('CRM ACTUALS'!$F$7:$F$2006,'CRM ACTUALS'!$D$7:$D$2006,$A14),""))</f>
        <v/>
      </c>
      <c r="S14" s="21" t="str">
        <f aca="false">IF(OR($Q14="",N($H14)=0),"",$H14/$Q14-1)</f>
        <v/>
      </c>
    </row>
    <row r="15" customFormat="false" ht="15" hidden="false" customHeight="false" outlineLevel="0" collapsed="false">
      <c r="A15" s="11" t="s">
        <v>329</v>
      </c>
      <c r="B15" s="11" t="s">
        <v>100</v>
      </c>
      <c r="C15" s="11" t="s">
        <v>146</v>
      </c>
      <c r="D15" s="11" t="s">
        <v>330</v>
      </c>
      <c r="E15" s="36"/>
      <c r="F15" s="11" t="s">
        <v>263</v>
      </c>
      <c r="G15" s="37"/>
      <c r="H15" s="38"/>
      <c r="I15" s="37"/>
      <c r="J15" s="36"/>
      <c r="K15" s="11" t="s">
        <v>224</v>
      </c>
      <c r="L15" s="29" t="n">
        <f aca="false">($E15*$G15+$I15)*(1+IF($K15="N",0,INPUTS!$C$23))</f>
        <v>0</v>
      </c>
      <c r="M15" s="39" t="n">
        <f aca="false">$E15*$H15+$J15</f>
        <v>0</v>
      </c>
      <c r="N15" s="29" t="n">
        <f aca="false">$M15*IF(OR($B15="V",$B15="AC"),'LABOUR RATES'!$E$26,'LABOUR RATES'!$E$11)</f>
        <v>0</v>
      </c>
      <c r="O15" s="29" t="n">
        <f aca="false">$M15*IF(OR($B15="V",$B15="AC"),'LABOUR RATES'!$C$27,'LABOUR RATES'!$C$12)</f>
        <v>0</v>
      </c>
      <c r="P15" s="40" t="n">
        <f aca="false">$L15+$N15+$O15</f>
        <v>0</v>
      </c>
      <c r="Q15" s="41" t="str">
        <f aca="false">IF($A15="","",IFERROR(SUMIFS('CRM ACTUALS'!$H$7:$H$2006,'CRM ACTUALS'!$D$7:$D$2006,$A15)/SUMIFS('CRM ACTUALS'!$F$7:$F$2006,'CRM ACTUALS'!$D$7:$D$2006,$A15),""))</f>
        <v/>
      </c>
      <c r="R15" s="28" t="str">
        <f aca="false">IF($A15="","",IFERROR(SUMIFS('CRM ACTUALS'!$J$7:$J$2006,'CRM ACTUALS'!$D$7:$D$2006,$A15)/SUMIFS('CRM ACTUALS'!$F$7:$F$2006,'CRM ACTUALS'!$D$7:$D$2006,$A15),""))</f>
        <v/>
      </c>
      <c r="S15" s="21" t="str">
        <f aca="false">IF(OR($Q15="",N($H15)=0),"",$H15/$Q15-1)</f>
        <v/>
      </c>
    </row>
    <row r="16" customFormat="false" ht="15" hidden="false" customHeight="false" outlineLevel="0" collapsed="false">
      <c r="A16" s="11" t="s">
        <v>331</v>
      </c>
      <c r="B16" s="11" t="s">
        <v>100</v>
      </c>
      <c r="C16" s="11" t="s">
        <v>147</v>
      </c>
      <c r="D16" s="11" t="s">
        <v>332</v>
      </c>
      <c r="E16" s="36"/>
      <c r="F16" s="11" t="s">
        <v>223</v>
      </c>
      <c r="G16" s="37"/>
      <c r="H16" s="38"/>
      <c r="I16" s="37"/>
      <c r="J16" s="36"/>
      <c r="K16" s="11" t="s">
        <v>224</v>
      </c>
      <c r="L16" s="29" t="n">
        <f aca="false">($E16*$G16+$I16)*(1+IF($K16="N",0,INPUTS!$C$23))</f>
        <v>0</v>
      </c>
      <c r="M16" s="39" t="n">
        <f aca="false">$E16*$H16+$J16</f>
        <v>0</v>
      </c>
      <c r="N16" s="29" t="n">
        <f aca="false">$M16*IF(OR($B16="V",$B16="AC"),'LABOUR RATES'!$E$26,'LABOUR RATES'!$E$11)</f>
        <v>0</v>
      </c>
      <c r="O16" s="29" t="n">
        <f aca="false">$M16*IF(OR($B16="V",$B16="AC"),'LABOUR RATES'!$C$27,'LABOUR RATES'!$C$12)</f>
        <v>0</v>
      </c>
      <c r="P16" s="40" t="n">
        <f aca="false">$L16+$N16+$O16</f>
        <v>0</v>
      </c>
      <c r="Q16" s="41" t="str">
        <f aca="false">IF($A16="","",IFERROR(SUMIFS('CRM ACTUALS'!$H$7:$H$2006,'CRM ACTUALS'!$D$7:$D$2006,$A16)/SUMIFS('CRM ACTUALS'!$F$7:$F$2006,'CRM ACTUALS'!$D$7:$D$2006,$A16),""))</f>
        <v/>
      </c>
      <c r="R16" s="28" t="str">
        <f aca="false">IF($A16="","",IFERROR(SUMIFS('CRM ACTUALS'!$J$7:$J$2006,'CRM ACTUALS'!$D$7:$D$2006,$A16)/SUMIFS('CRM ACTUALS'!$F$7:$F$2006,'CRM ACTUALS'!$D$7:$D$2006,$A16),""))</f>
        <v/>
      </c>
      <c r="S16" s="21" t="str">
        <f aca="false">IF(OR($Q16="",N($H16)=0),"",$H16/$Q16-1)</f>
        <v/>
      </c>
    </row>
    <row r="17" customFormat="false" ht="15" hidden="false" customHeight="false" outlineLevel="0" collapsed="false">
      <c r="A17" s="11" t="s">
        <v>333</v>
      </c>
      <c r="B17" s="11" t="s">
        <v>100</v>
      </c>
      <c r="C17" s="11" t="s">
        <v>148</v>
      </c>
      <c r="D17" s="11" t="s">
        <v>291</v>
      </c>
      <c r="E17" s="36"/>
      <c r="F17" s="11" t="s">
        <v>263</v>
      </c>
      <c r="G17" s="37"/>
      <c r="H17" s="38"/>
      <c r="I17" s="37"/>
      <c r="J17" s="36"/>
      <c r="K17" s="11" t="s">
        <v>224</v>
      </c>
      <c r="L17" s="29" t="n">
        <f aca="false">($E17*$G17+$I17)*(1+IF($K17="N",0,INPUTS!$C$23))</f>
        <v>0</v>
      </c>
      <c r="M17" s="39" t="n">
        <f aca="false">$E17*$H17+$J17</f>
        <v>0</v>
      </c>
      <c r="N17" s="29" t="n">
        <f aca="false">$M17*IF(OR($B17="V",$B17="AC"),'LABOUR RATES'!$E$26,'LABOUR RATES'!$E$11)</f>
        <v>0</v>
      </c>
      <c r="O17" s="29" t="n">
        <f aca="false">$M17*IF(OR($B17="V",$B17="AC"),'LABOUR RATES'!$C$27,'LABOUR RATES'!$C$12)</f>
        <v>0</v>
      </c>
      <c r="P17" s="40" t="n">
        <f aca="false">$L17+$N17+$O17</f>
        <v>0</v>
      </c>
      <c r="Q17" s="41" t="str">
        <f aca="false">IF($A17="","",IFERROR(SUMIFS('CRM ACTUALS'!$H$7:$H$2006,'CRM ACTUALS'!$D$7:$D$2006,$A17)/SUMIFS('CRM ACTUALS'!$F$7:$F$2006,'CRM ACTUALS'!$D$7:$D$2006,$A17),""))</f>
        <v/>
      </c>
      <c r="R17" s="28" t="str">
        <f aca="false">IF($A17="","",IFERROR(SUMIFS('CRM ACTUALS'!$J$7:$J$2006,'CRM ACTUALS'!$D$7:$D$2006,$A17)/SUMIFS('CRM ACTUALS'!$F$7:$F$2006,'CRM ACTUALS'!$D$7:$D$2006,$A17),""))</f>
        <v/>
      </c>
      <c r="S17" s="21" t="str">
        <f aca="false">IF(OR($Q17="",N($H17)=0),"",$H17/$Q17-1)</f>
        <v/>
      </c>
    </row>
    <row r="18" customFormat="false" ht="15" hidden="false" customHeight="false" outlineLevel="0" collapsed="false">
      <c r="A18" s="11" t="s">
        <v>334</v>
      </c>
      <c r="B18" s="11" t="s">
        <v>103</v>
      </c>
      <c r="C18" s="11" t="s">
        <v>145</v>
      </c>
      <c r="D18" s="11" t="s">
        <v>316</v>
      </c>
      <c r="E18" s="36"/>
      <c r="F18" s="11" t="s">
        <v>317</v>
      </c>
      <c r="G18" s="37"/>
      <c r="H18" s="38"/>
      <c r="I18" s="37"/>
      <c r="J18" s="36"/>
      <c r="K18" s="11" t="s">
        <v>224</v>
      </c>
      <c r="L18" s="29" t="n">
        <f aca="false">($E18*$G18+$I18)*(1+IF($K18="N",0,INPUTS!$C$23))</f>
        <v>0</v>
      </c>
      <c r="M18" s="39" t="n">
        <f aca="false">$E18*$H18+$J18</f>
        <v>0</v>
      </c>
      <c r="N18" s="29" t="n">
        <f aca="false">$M18*IF(OR($B18="V",$B18="AC"),'LABOUR RATES'!$E$26,'LABOUR RATES'!$E$11)</f>
        <v>0</v>
      </c>
      <c r="O18" s="29" t="n">
        <f aca="false">$M18*IF(OR($B18="V",$B18="AC"),'LABOUR RATES'!$C$27,'LABOUR RATES'!$C$12)</f>
        <v>0</v>
      </c>
      <c r="P18" s="40" t="n">
        <f aca="false">$L18+$N18+$O18</f>
        <v>0</v>
      </c>
      <c r="Q18" s="41" t="str">
        <f aca="false">IF($A18="","",IFERROR(SUMIFS('CRM ACTUALS'!$H$7:$H$2006,'CRM ACTUALS'!$D$7:$D$2006,$A18)/SUMIFS('CRM ACTUALS'!$F$7:$F$2006,'CRM ACTUALS'!$D$7:$D$2006,$A18),""))</f>
        <v/>
      </c>
      <c r="R18" s="28" t="str">
        <f aca="false">IF($A18="","",IFERROR(SUMIFS('CRM ACTUALS'!$J$7:$J$2006,'CRM ACTUALS'!$D$7:$D$2006,$A18)/SUMIFS('CRM ACTUALS'!$F$7:$F$2006,'CRM ACTUALS'!$D$7:$D$2006,$A18),""))</f>
        <v/>
      </c>
      <c r="S18" s="21" t="str">
        <f aca="false">IF(OR($Q18="",N($H18)=0),"",$H18/$Q18-1)</f>
        <v/>
      </c>
    </row>
    <row r="19" customFormat="false" ht="15" hidden="false" customHeight="false" outlineLevel="0" collapsed="false">
      <c r="A19" s="11" t="s">
        <v>335</v>
      </c>
      <c r="B19" s="11" t="s">
        <v>103</v>
      </c>
      <c r="C19" s="11" t="s">
        <v>145</v>
      </c>
      <c r="D19" s="11" t="s">
        <v>319</v>
      </c>
      <c r="E19" s="36"/>
      <c r="F19" s="11" t="s">
        <v>260</v>
      </c>
      <c r="G19" s="37"/>
      <c r="H19" s="38"/>
      <c r="I19" s="37"/>
      <c r="J19" s="36"/>
      <c r="K19" s="11" t="s">
        <v>224</v>
      </c>
      <c r="L19" s="29" t="n">
        <f aca="false">($E19*$G19+$I19)*(1+IF($K19="N",0,INPUTS!$C$23))</f>
        <v>0</v>
      </c>
      <c r="M19" s="39" t="n">
        <f aca="false">$E19*$H19+$J19</f>
        <v>0</v>
      </c>
      <c r="N19" s="29" t="n">
        <f aca="false">$M19*IF(OR($B19="V",$B19="AC"),'LABOUR RATES'!$E$26,'LABOUR RATES'!$E$11)</f>
        <v>0</v>
      </c>
      <c r="O19" s="29" t="n">
        <f aca="false">$M19*IF(OR($B19="V",$B19="AC"),'LABOUR RATES'!$C$27,'LABOUR RATES'!$C$12)</f>
        <v>0</v>
      </c>
      <c r="P19" s="40" t="n">
        <f aca="false">$L19+$N19+$O19</f>
        <v>0</v>
      </c>
      <c r="Q19" s="41" t="str">
        <f aca="false">IF($A19="","",IFERROR(SUMIFS('CRM ACTUALS'!$H$7:$H$2006,'CRM ACTUALS'!$D$7:$D$2006,$A19)/SUMIFS('CRM ACTUALS'!$F$7:$F$2006,'CRM ACTUALS'!$D$7:$D$2006,$A19),""))</f>
        <v/>
      </c>
      <c r="R19" s="28" t="str">
        <f aca="false">IF($A19="","",IFERROR(SUMIFS('CRM ACTUALS'!$J$7:$J$2006,'CRM ACTUALS'!$D$7:$D$2006,$A19)/SUMIFS('CRM ACTUALS'!$F$7:$F$2006,'CRM ACTUALS'!$D$7:$D$2006,$A19),""))</f>
        <v/>
      </c>
      <c r="S19" s="21" t="str">
        <f aca="false">IF(OR($Q19="",N($H19)=0),"",$H19/$Q19-1)</f>
        <v/>
      </c>
    </row>
    <row r="20" customFormat="false" ht="15" hidden="false" customHeight="false" outlineLevel="0" collapsed="false">
      <c r="A20" s="11" t="s">
        <v>336</v>
      </c>
      <c r="B20" s="11" t="s">
        <v>103</v>
      </c>
      <c r="C20" s="11" t="s">
        <v>145</v>
      </c>
      <c r="D20" s="11" t="s">
        <v>321</v>
      </c>
      <c r="E20" s="36"/>
      <c r="F20" s="11" t="s">
        <v>263</v>
      </c>
      <c r="G20" s="37"/>
      <c r="H20" s="38"/>
      <c r="I20" s="37"/>
      <c r="J20" s="36"/>
      <c r="K20" s="11" t="s">
        <v>224</v>
      </c>
      <c r="L20" s="29" t="n">
        <f aca="false">($E20*$G20+$I20)*(1+IF($K20="N",0,INPUTS!$C$23))</f>
        <v>0</v>
      </c>
      <c r="M20" s="39" t="n">
        <f aca="false">$E20*$H20+$J20</f>
        <v>0</v>
      </c>
      <c r="N20" s="29" t="n">
        <f aca="false">$M20*IF(OR($B20="V",$B20="AC"),'LABOUR RATES'!$E$26,'LABOUR RATES'!$E$11)</f>
        <v>0</v>
      </c>
      <c r="O20" s="29" t="n">
        <f aca="false">$M20*IF(OR($B20="V",$B20="AC"),'LABOUR RATES'!$C$27,'LABOUR RATES'!$C$12)</f>
        <v>0</v>
      </c>
      <c r="P20" s="40" t="n">
        <f aca="false">$L20+$N20+$O20</f>
        <v>0</v>
      </c>
      <c r="Q20" s="41" t="str">
        <f aca="false">IF($A20="","",IFERROR(SUMIFS('CRM ACTUALS'!$H$7:$H$2006,'CRM ACTUALS'!$D$7:$D$2006,$A20)/SUMIFS('CRM ACTUALS'!$F$7:$F$2006,'CRM ACTUALS'!$D$7:$D$2006,$A20),""))</f>
        <v/>
      </c>
      <c r="R20" s="28" t="str">
        <f aca="false">IF($A20="","",IFERROR(SUMIFS('CRM ACTUALS'!$J$7:$J$2006,'CRM ACTUALS'!$D$7:$D$2006,$A20)/SUMIFS('CRM ACTUALS'!$F$7:$F$2006,'CRM ACTUALS'!$D$7:$D$2006,$A20),""))</f>
        <v/>
      </c>
      <c r="S20" s="21" t="str">
        <f aca="false">IF(OR($Q20="",N($H20)=0),"",$H20/$Q20-1)</f>
        <v/>
      </c>
    </row>
    <row r="21" customFormat="false" ht="15" hidden="false" customHeight="false" outlineLevel="0" collapsed="false">
      <c r="A21" s="11" t="s">
        <v>337</v>
      </c>
      <c r="B21" s="11" t="s">
        <v>103</v>
      </c>
      <c r="C21" s="11" t="s">
        <v>145</v>
      </c>
      <c r="D21" s="11" t="s">
        <v>338</v>
      </c>
      <c r="E21" s="36"/>
      <c r="F21" s="11" t="s">
        <v>227</v>
      </c>
      <c r="G21" s="37"/>
      <c r="H21" s="38"/>
      <c r="I21" s="37"/>
      <c r="J21" s="36"/>
      <c r="K21" s="11" t="s">
        <v>224</v>
      </c>
      <c r="L21" s="29" t="n">
        <f aca="false">($E21*$G21+$I21)*(1+IF($K21="N",0,INPUTS!$C$23))</f>
        <v>0</v>
      </c>
      <c r="M21" s="39" t="n">
        <f aca="false">$E21*$H21+$J21</f>
        <v>0</v>
      </c>
      <c r="N21" s="29" t="n">
        <f aca="false">$M21*IF(OR($B21="V",$B21="AC"),'LABOUR RATES'!$E$26,'LABOUR RATES'!$E$11)</f>
        <v>0</v>
      </c>
      <c r="O21" s="29" t="n">
        <f aca="false">$M21*IF(OR($B21="V",$B21="AC"),'LABOUR RATES'!$C$27,'LABOUR RATES'!$C$12)</f>
        <v>0</v>
      </c>
      <c r="P21" s="40" t="n">
        <f aca="false">$L21+$N21+$O21</f>
        <v>0</v>
      </c>
      <c r="Q21" s="41" t="str">
        <f aca="false">IF($A21="","",IFERROR(SUMIFS('CRM ACTUALS'!$H$7:$H$2006,'CRM ACTUALS'!$D$7:$D$2006,$A21)/SUMIFS('CRM ACTUALS'!$F$7:$F$2006,'CRM ACTUALS'!$D$7:$D$2006,$A21),""))</f>
        <v/>
      </c>
      <c r="R21" s="28" t="str">
        <f aca="false">IF($A21="","",IFERROR(SUMIFS('CRM ACTUALS'!$J$7:$J$2006,'CRM ACTUALS'!$D$7:$D$2006,$A21)/SUMIFS('CRM ACTUALS'!$F$7:$F$2006,'CRM ACTUALS'!$D$7:$D$2006,$A21),""))</f>
        <v/>
      </c>
      <c r="S21" s="21" t="str">
        <f aca="false">IF(OR($Q21="",N($H21)=0),"",$H21/$Q21-1)</f>
        <v/>
      </c>
    </row>
    <row r="22" customFormat="false" ht="15" hidden="false" customHeight="false" outlineLevel="0" collapsed="false">
      <c r="A22" s="11" t="s">
        <v>339</v>
      </c>
      <c r="B22" s="11" t="s">
        <v>103</v>
      </c>
      <c r="C22" s="11" t="s">
        <v>145</v>
      </c>
      <c r="D22" s="11" t="s">
        <v>340</v>
      </c>
      <c r="E22" s="36"/>
      <c r="F22" s="11" t="s">
        <v>223</v>
      </c>
      <c r="G22" s="37"/>
      <c r="H22" s="38"/>
      <c r="I22" s="37"/>
      <c r="J22" s="36"/>
      <c r="K22" s="11" t="s">
        <v>224</v>
      </c>
      <c r="L22" s="29" t="n">
        <f aca="false">($E22*$G22+$I22)*(1+IF($K22="N",0,INPUTS!$C$23))</f>
        <v>0</v>
      </c>
      <c r="M22" s="39" t="n">
        <f aca="false">$E22*$H22+$J22</f>
        <v>0</v>
      </c>
      <c r="N22" s="29" t="n">
        <f aca="false">$M22*IF(OR($B22="V",$B22="AC"),'LABOUR RATES'!$E$26,'LABOUR RATES'!$E$11)</f>
        <v>0</v>
      </c>
      <c r="O22" s="29" t="n">
        <f aca="false">$M22*IF(OR($B22="V",$B22="AC"),'LABOUR RATES'!$C$27,'LABOUR RATES'!$C$12)</f>
        <v>0</v>
      </c>
      <c r="P22" s="40" t="n">
        <f aca="false">$L22+$N22+$O22</f>
        <v>0</v>
      </c>
      <c r="Q22" s="41" t="str">
        <f aca="false">IF($A22="","",IFERROR(SUMIFS('CRM ACTUALS'!$H$7:$H$2006,'CRM ACTUALS'!$D$7:$D$2006,$A22)/SUMIFS('CRM ACTUALS'!$F$7:$F$2006,'CRM ACTUALS'!$D$7:$D$2006,$A22),""))</f>
        <v/>
      </c>
      <c r="R22" s="28" t="str">
        <f aca="false">IF($A22="","",IFERROR(SUMIFS('CRM ACTUALS'!$J$7:$J$2006,'CRM ACTUALS'!$D$7:$D$2006,$A22)/SUMIFS('CRM ACTUALS'!$F$7:$F$2006,'CRM ACTUALS'!$D$7:$D$2006,$A22),""))</f>
        <v/>
      </c>
      <c r="S22" s="21" t="str">
        <f aca="false">IF(OR($Q22="",N($H22)=0),"",$H22/$Q22-1)</f>
        <v/>
      </c>
    </row>
    <row r="23" customFormat="false" ht="15" hidden="false" customHeight="false" outlineLevel="0" collapsed="false">
      <c r="A23" s="11" t="s">
        <v>341</v>
      </c>
      <c r="B23" s="11" t="s">
        <v>103</v>
      </c>
      <c r="C23" s="11" t="s">
        <v>145</v>
      </c>
      <c r="D23" s="11" t="s">
        <v>342</v>
      </c>
      <c r="E23" s="36"/>
      <c r="F23" s="11" t="s">
        <v>223</v>
      </c>
      <c r="G23" s="37"/>
      <c r="H23" s="38"/>
      <c r="I23" s="37"/>
      <c r="J23" s="36"/>
      <c r="K23" s="11" t="s">
        <v>224</v>
      </c>
      <c r="L23" s="29" t="n">
        <f aca="false">($E23*$G23+$I23)*(1+IF($K23="N",0,INPUTS!$C$23))</f>
        <v>0</v>
      </c>
      <c r="M23" s="39" t="n">
        <f aca="false">$E23*$H23+$J23</f>
        <v>0</v>
      </c>
      <c r="N23" s="29" t="n">
        <f aca="false">$M23*IF(OR($B23="V",$B23="AC"),'LABOUR RATES'!$E$26,'LABOUR RATES'!$E$11)</f>
        <v>0</v>
      </c>
      <c r="O23" s="29" t="n">
        <f aca="false">$M23*IF(OR($B23="V",$B23="AC"),'LABOUR RATES'!$C$27,'LABOUR RATES'!$C$12)</f>
        <v>0</v>
      </c>
      <c r="P23" s="40" t="n">
        <f aca="false">$L23+$N23+$O23</f>
        <v>0</v>
      </c>
      <c r="Q23" s="41" t="str">
        <f aca="false">IF($A23="","",IFERROR(SUMIFS('CRM ACTUALS'!$H$7:$H$2006,'CRM ACTUALS'!$D$7:$D$2006,$A23)/SUMIFS('CRM ACTUALS'!$F$7:$F$2006,'CRM ACTUALS'!$D$7:$D$2006,$A23),""))</f>
        <v/>
      </c>
      <c r="R23" s="28" t="str">
        <f aca="false">IF($A23="","",IFERROR(SUMIFS('CRM ACTUALS'!$J$7:$J$2006,'CRM ACTUALS'!$D$7:$D$2006,$A23)/SUMIFS('CRM ACTUALS'!$F$7:$F$2006,'CRM ACTUALS'!$D$7:$D$2006,$A23),""))</f>
        <v/>
      </c>
      <c r="S23" s="21" t="str">
        <f aca="false">IF(OR($Q23="",N($H23)=0),"",$H23/$Q23-1)</f>
        <v/>
      </c>
    </row>
    <row r="24" customFormat="false" ht="15" hidden="false" customHeight="false" outlineLevel="0" collapsed="false">
      <c r="A24" s="11" t="s">
        <v>343</v>
      </c>
      <c r="B24" s="11" t="s">
        <v>103</v>
      </c>
      <c r="C24" s="11" t="s">
        <v>145</v>
      </c>
      <c r="D24" s="11" t="s">
        <v>275</v>
      </c>
      <c r="E24" s="36"/>
      <c r="F24" s="11" t="s">
        <v>263</v>
      </c>
      <c r="G24" s="37"/>
      <c r="H24" s="38"/>
      <c r="I24" s="37"/>
      <c r="J24" s="36"/>
      <c r="K24" s="11" t="s">
        <v>224</v>
      </c>
      <c r="L24" s="29" t="n">
        <f aca="false">($E24*$G24+$I24)*(1+IF($K24="N",0,INPUTS!$C$23))</f>
        <v>0</v>
      </c>
      <c r="M24" s="39" t="n">
        <f aca="false">$E24*$H24+$J24</f>
        <v>0</v>
      </c>
      <c r="N24" s="29" t="n">
        <f aca="false">$M24*IF(OR($B24="V",$B24="AC"),'LABOUR RATES'!$E$26,'LABOUR RATES'!$E$11)</f>
        <v>0</v>
      </c>
      <c r="O24" s="29" t="n">
        <f aca="false">$M24*IF(OR($B24="V",$B24="AC"),'LABOUR RATES'!$C$27,'LABOUR RATES'!$C$12)</f>
        <v>0</v>
      </c>
      <c r="P24" s="40" t="n">
        <f aca="false">$L24+$N24+$O24</f>
        <v>0</v>
      </c>
      <c r="Q24" s="41" t="str">
        <f aca="false">IF($A24="","",IFERROR(SUMIFS('CRM ACTUALS'!$H$7:$H$2006,'CRM ACTUALS'!$D$7:$D$2006,$A24)/SUMIFS('CRM ACTUALS'!$F$7:$F$2006,'CRM ACTUALS'!$D$7:$D$2006,$A24),""))</f>
        <v/>
      </c>
      <c r="R24" s="28" t="str">
        <f aca="false">IF($A24="","",IFERROR(SUMIFS('CRM ACTUALS'!$J$7:$J$2006,'CRM ACTUALS'!$D$7:$D$2006,$A24)/SUMIFS('CRM ACTUALS'!$F$7:$F$2006,'CRM ACTUALS'!$D$7:$D$2006,$A24),""))</f>
        <v/>
      </c>
      <c r="S24" s="21" t="str">
        <f aca="false">IF(OR($Q24="",N($H24)=0),"",$H24/$Q24-1)</f>
        <v/>
      </c>
    </row>
    <row r="25" customFormat="false" ht="15" hidden="false" customHeight="false" outlineLevel="0" collapsed="false">
      <c r="A25" s="11" t="s">
        <v>344</v>
      </c>
      <c r="B25" s="11" t="s">
        <v>103</v>
      </c>
      <c r="C25" s="11" t="s">
        <v>145</v>
      </c>
      <c r="D25" s="11" t="s">
        <v>277</v>
      </c>
      <c r="E25" s="36"/>
      <c r="F25" s="11" t="s">
        <v>263</v>
      </c>
      <c r="G25" s="37"/>
      <c r="H25" s="38"/>
      <c r="I25" s="37"/>
      <c r="J25" s="36"/>
      <c r="K25" s="11" t="s">
        <v>224</v>
      </c>
      <c r="L25" s="29" t="n">
        <f aca="false">($E25*$G25+$I25)*(1+IF($K25="N",0,INPUTS!$C$23))</f>
        <v>0</v>
      </c>
      <c r="M25" s="39" t="n">
        <f aca="false">$E25*$H25+$J25</f>
        <v>0</v>
      </c>
      <c r="N25" s="29" t="n">
        <f aca="false">$M25*IF(OR($B25="V",$B25="AC"),'LABOUR RATES'!$E$26,'LABOUR RATES'!$E$11)</f>
        <v>0</v>
      </c>
      <c r="O25" s="29" t="n">
        <f aca="false">$M25*IF(OR($B25="V",$B25="AC"),'LABOUR RATES'!$C$27,'LABOUR RATES'!$C$12)</f>
        <v>0</v>
      </c>
      <c r="P25" s="40" t="n">
        <f aca="false">$L25+$N25+$O25</f>
        <v>0</v>
      </c>
      <c r="Q25" s="41" t="str">
        <f aca="false">IF($A25="","",IFERROR(SUMIFS('CRM ACTUALS'!$H$7:$H$2006,'CRM ACTUALS'!$D$7:$D$2006,$A25)/SUMIFS('CRM ACTUALS'!$F$7:$F$2006,'CRM ACTUALS'!$D$7:$D$2006,$A25),""))</f>
        <v/>
      </c>
      <c r="R25" s="28" t="str">
        <f aca="false">IF($A25="","",IFERROR(SUMIFS('CRM ACTUALS'!$J$7:$J$2006,'CRM ACTUALS'!$D$7:$D$2006,$A25)/SUMIFS('CRM ACTUALS'!$F$7:$F$2006,'CRM ACTUALS'!$D$7:$D$2006,$A25),""))</f>
        <v/>
      </c>
      <c r="S25" s="21" t="str">
        <f aca="false">IF(OR($Q25="",N($H25)=0),"",$H25/$Q25-1)</f>
        <v/>
      </c>
    </row>
    <row r="26" customFormat="false" ht="15" hidden="false" customHeight="false" outlineLevel="0" collapsed="false">
      <c r="A26" s="11" t="s">
        <v>345</v>
      </c>
      <c r="B26" s="11" t="s">
        <v>103</v>
      </c>
      <c r="C26" s="11" t="s">
        <v>146</v>
      </c>
      <c r="D26" s="11" t="s">
        <v>346</v>
      </c>
      <c r="E26" s="36"/>
      <c r="F26" s="11" t="s">
        <v>223</v>
      </c>
      <c r="G26" s="37"/>
      <c r="H26" s="38"/>
      <c r="I26" s="37"/>
      <c r="J26" s="36"/>
      <c r="K26" s="11" t="s">
        <v>224</v>
      </c>
      <c r="L26" s="29" t="n">
        <f aca="false">($E26*$G26+$I26)*(1+IF($K26="N",0,INPUTS!$C$23))</f>
        <v>0</v>
      </c>
      <c r="M26" s="39" t="n">
        <f aca="false">$E26*$H26+$J26</f>
        <v>0</v>
      </c>
      <c r="N26" s="29" t="n">
        <f aca="false">$M26*IF(OR($B26="V",$B26="AC"),'LABOUR RATES'!$E$26,'LABOUR RATES'!$E$11)</f>
        <v>0</v>
      </c>
      <c r="O26" s="29" t="n">
        <f aca="false">$M26*IF(OR($B26="V",$B26="AC"),'LABOUR RATES'!$C$27,'LABOUR RATES'!$C$12)</f>
        <v>0</v>
      </c>
      <c r="P26" s="40" t="n">
        <f aca="false">$L26+$N26+$O26</f>
        <v>0</v>
      </c>
      <c r="Q26" s="41" t="str">
        <f aca="false">IF($A26="","",IFERROR(SUMIFS('CRM ACTUALS'!$H$7:$H$2006,'CRM ACTUALS'!$D$7:$D$2006,$A26)/SUMIFS('CRM ACTUALS'!$F$7:$F$2006,'CRM ACTUALS'!$D$7:$D$2006,$A26),""))</f>
        <v/>
      </c>
      <c r="R26" s="28" t="str">
        <f aca="false">IF($A26="","",IFERROR(SUMIFS('CRM ACTUALS'!$J$7:$J$2006,'CRM ACTUALS'!$D$7:$D$2006,$A26)/SUMIFS('CRM ACTUALS'!$F$7:$F$2006,'CRM ACTUALS'!$D$7:$D$2006,$A26),""))</f>
        <v/>
      </c>
      <c r="S26" s="21" t="str">
        <f aca="false">IF(OR($Q26="",N($H26)=0),"",$H26/$Q26-1)</f>
        <v/>
      </c>
    </row>
    <row r="27" customFormat="false" ht="15" hidden="false" customHeight="false" outlineLevel="0" collapsed="false">
      <c r="A27" s="11" t="s">
        <v>347</v>
      </c>
      <c r="B27" s="11" t="s">
        <v>103</v>
      </c>
      <c r="C27" s="11" t="s">
        <v>146</v>
      </c>
      <c r="D27" s="11" t="s">
        <v>281</v>
      </c>
      <c r="E27" s="36"/>
      <c r="F27" s="11" t="s">
        <v>223</v>
      </c>
      <c r="G27" s="37"/>
      <c r="H27" s="38"/>
      <c r="I27" s="37"/>
      <c r="J27" s="36"/>
      <c r="K27" s="11" t="s">
        <v>224</v>
      </c>
      <c r="L27" s="29" t="n">
        <f aca="false">($E27*$G27+$I27)*(1+IF($K27="N",0,INPUTS!$C$23))</f>
        <v>0</v>
      </c>
      <c r="M27" s="39" t="n">
        <f aca="false">$E27*$H27+$J27</f>
        <v>0</v>
      </c>
      <c r="N27" s="29" t="n">
        <f aca="false">$M27*IF(OR($B27="V",$B27="AC"),'LABOUR RATES'!$E$26,'LABOUR RATES'!$E$11)</f>
        <v>0</v>
      </c>
      <c r="O27" s="29" t="n">
        <f aca="false">$M27*IF(OR($B27="V",$B27="AC"),'LABOUR RATES'!$C$27,'LABOUR RATES'!$C$12)</f>
        <v>0</v>
      </c>
      <c r="P27" s="40" t="n">
        <f aca="false">$L27+$N27+$O27</f>
        <v>0</v>
      </c>
      <c r="Q27" s="41" t="str">
        <f aca="false">IF($A27="","",IFERROR(SUMIFS('CRM ACTUALS'!$H$7:$H$2006,'CRM ACTUALS'!$D$7:$D$2006,$A27)/SUMIFS('CRM ACTUALS'!$F$7:$F$2006,'CRM ACTUALS'!$D$7:$D$2006,$A27),""))</f>
        <v/>
      </c>
      <c r="R27" s="28" t="str">
        <f aca="false">IF($A27="","",IFERROR(SUMIFS('CRM ACTUALS'!$J$7:$J$2006,'CRM ACTUALS'!$D$7:$D$2006,$A27)/SUMIFS('CRM ACTUALS'!$F$7:$F$2006,'CRM ACTUALS'!$D$7:$D$2006,$A27),""))</f>
        <v/>
      </c>
      <c r="S27" s="21" t="str">
        <f aca="false">IF(OR($Q27="",N($H27)=0),"",$H27/$Q27-1)</f>
        <v/>
      </c>
    </row>
    <row r="28" customFormat="false" ht="15" hidden="false" customHeight="false" outlineLevel="0" collapsed="false">
      <c r="A28" s="11" t="s">
        <v>348</v>
      </c>
      <c r="B28" s="11" t="s">
        <v>103</v>
      </c>
      <c r="C28" s="11" t="s">
        <v>147</v>
      </c>
      <c r="D28" s="11" t="s">
        <v>349</v>
      </c>
      <c r="E28" s="36"/>
      <c r="F28" s="11" t="s">
        <v>223</v>
      </c>
      <c r="G28" s="37"/>
      <c r="H28" s="38"/>
      <c r="I28" s="37"/>
      <c r="J28" s="36"/>
      <c r="K28" s="11" t="s">
        <v>224</v>
      </c>
      <c r="L28" s="29" t="n">
        <f aca="false">($E28*$G28+$I28)*(1+IF($K28="N",0,INPUTS!$C$23))</f>
        <v>0</v>
      </c>
      <c r="M28" s="39" t="n">
        <f aca="false">$E28*$H28+$J28</f>
        <v>0</v>
      </c>
      <c r="N28" s="29" t="n">
        <f aca="false">$M28*IF(OR($B28="V",$B28="AC"),'LABOUR RATES'!$E$26,'LABOUR RATES'!$E$11)</f>
        <v>0</v>
      </c>
      <c r="O28" s="29" t="n">
        <f aca="false">$M28*IF(OR($B28="V",$B28="AC"),'LABOUR RATES'!$C$27,'LABOUR RATES'!$C$12)</f>
        <v>0</v>
      </c>
      <c r="P28" s="40" t="n">
        <f aca="false">$L28+$N28+$O28</f>
        <v>0</v>
      </c>
      <c r="Q28" s="41" t="str">
        <f aca="false">IF($A28="","",IFERROR(SUMIFS('CRM ACTUALS'!$H$7:$H$2006,'CRM ACTUALS'!$D$7:$D$2006,$A28)/SUMIFS('CRM ACTUALS'!$F$7:$F$2006,'CRM ACTUALS'!$D$7:$D$2006,$A28),""))</f>
        <v/>
      </c>
      <c r="R28" s="28" t="str">
        <f aca="false">IF($A28="","",IFERROR(SUMIFS('CRM ACTUALS'!$J$7:$J$2006,'CRM ACTUALS'!$D$7:$D$2006,$A28)/SUMIFS('CRM ACTUALS'!$F$7:$F$2006,'CRM ACTUALS'!$D$7:$D$2006,$A28),""))</f>
        <v/>
      </c>
      <c r="S28" s="21" t="str">
        <f aca="false">IF(OR($Q28="",N($H28)=0),"",$H28/$Q28-1)</f>
        <v/>
      </c>
    </row>
    <row r="29" customFormat="false" ht="15" hidden="false" customHeight="false" outlineLevel="0" collapsed="false">
      <c r="A29" s="11" t="s">
        <v>350</v>
      </c>
      <c r="B29" s="11" t="s">
        <v>103</v>
      </c>
      <c r="C29" s="11" t="s">
        <v>148</v>
      </c>
      <c r="D29" s="11" t="s">
        <v>291</v>
      </c>
      <c r="E29" s="36"/>
      <c r="F29" s="11" t="s">
        <v>263</v>
      </c>
      <c r="G29" s="37"/>
      <c r="H29" s="38"/>
      <c r="I29" s="37"/>
      <c r="J29" s="36"/>
      <c r="K29" s="11" t="s">
        <v>224</v>
      </c>
      <c r="L29" s="29" t="n">
        <f aca="false">($E29*$G29+$I29)*(1+IF($K29="N",0,INPUTS!$C$23))</f>
        <v>0</v>
      </c>
      <c r="M29" s="39" t="n">
        <f aca="false">$E29*$H29+$J29</f>
        <v>0</v>
      </c>
      <c r="N29" s="29" t="n">
        <f aca="false">$M29*IF(OR($B29="V",$B29="AC"),'LABOUR RATES'!$E$26,'LABOUR RATES'!$E$11)</f>
        <v>0</v>
      </c>
      <c r="O29" s="29" t="n">
        <f aca="false">$M29*IF(OR($B29="V",$B29="AC"),'LABOUR RATES'!$C$27,'LABOUR RATES'!$C$12)</f>
        <v>0</v>
      </c>
      <c r="P29" s="40" t="n">
        <f aca="false">$L29+$N29+$O29</f>
        <v>0</v>
      </c>
      <c r="Q29" s="41" t="str">
        <f aca="false">IF($A29="","",IFERROR(SUMIFS('CRM ACTUALS'!$H$7:$H$2006,'CRM ACTUALS'!$D$7:$D$2006,$A29)/SUMIFS('CRM ACTUALS'!$F$7:$F$2006,'CRM ACTUALS'!$D$7:$D$2006,$A29),""))</f>
        <v/>
      </c>
      <c r="R29" s="28" t="str">
        <f aca="false">IF($A29="","",IFERROR(SUMIFS('CRM ACTUALS'!$J$7:$J$2006,'CRM ACTUALS'!$D$7:$D$2006,$A29)/SUMIFS('CRM ACTUALS'!$F$7:$F$2006,'CRM ACTUALS'!$D$7:$D$2006,$A29),""))</f>
        <v/>
      </c>
      <c r="S29" s="21" t="str">
        <f aca="false">IF(OR($Q29="",N($H29)=0),"",$H29/$Q29-1)</f>
        <v/>
      </c>
    </row>
    <row r="30" customFormat="false" ht="15" hidden="false" customHeight="false" outlineLevel="0" collapsed="false">
      <c r="A30" s="11"/>
      <c r="B30" s="11"/>
      <c r="C30" s="11"/>
      <c r="D30" s="11"/>
      <c r="E30" s="36"/>
      <c r="F30" s="11"/>
      <c r="G30" s="37"/>
      <c r="H30" s="38"/>
      <c r="I30" s="37"/>
      <c r="J30" s="36"/>
      <c r="K30" s="11" t="s">
        <v>224</v>
      </c>
      <c r="L30" s="29" t="n">
        <f aca="false">($E30*$G30+$I30)*(1+IF($K30="N",0,INPUTS!$C$23))</f>
        <v>0</v>
      </c>
      <c r="M30" s="39" t="n">
        <f aca="false">$E30*$H30+$J30</f>
        <v>0</v>
      </c>
      <c r="N30" s="29" t="n">
        <f aca="false">$M30*IF(OR($B30="V",$B30="AC"),'LABOUR RATES'!$E$26,'LABOUR RATES'!$E$11)</f>
        <v>0</v>
      </c>
      <c r="O30" s="29" t="n">
        <f aca="false">$M30*IF(OR($B30="V",$B30="AC"),'LABOUR RATES'!$C$27,'LABOUR RATES'!$C$12)</f>
        <v>0</v>
      </c>
      <c r="P30" s="40" t="n">
        <f aca="false">$L30+$N30+$O30</f>
        <v>0</v>
      </c>
      <c r="Q30" s="41" t="str">
        <f aca="false">IF($A30="","",IFERROR(SUMIFS('CRM ACTUALS'!$H$7:$H$2006,'CRM ACTUALS'!$D$7:$D$2006,$A30)/SUMIFS('CRM ACTUALS'!$F$7:$F$2006,'CRM ACTUALS'!$D$7:$D$2006,$A30),""))</f>
        <v/>
      </c>
      <c r="R30" s="28" t="str">
        <f aca="false">IF($A30="","",IFERROR(SUMIFS('CRM ACTUALS'!$J$7:$J$2006,'CRM ACTUALS'!$D$7:$D$2006,$A30)/SUMIFS('CRM ACTUALS'!$F$7:$F$2006,'CRM ACTUALS'!$D$7:$D$2006,$A30),""))</f>
        <v/>
      </c>
      <c r="S30" s="21" t="str">
        <f aca="false">IF(OR($Q30="",N($H30)=0),"",$H30/$Q30-1)</f>
        <v/>
      </c>
    </row>
    <row r="31" customFormat="false" ht="15" hidden="false" customHeight="false" outlineLevel="0" collapsed="false">
      <c r="A31" s="11"/>
      <c r="B31" s="11"/>
      <c r="C31" s="11"/>
      <c r="D31" s="11"/>
      <c r="E31" s="36"/>
      <c r="F31" s="11"/>
      <c r="G31" s="37"/>
      <c r="H31" s="38"/>
      <c r="I31" s="37"/>
      <c r="J31" s="36"/>
      <c r="K31" s="11" t="s">
        <v>224</v>
      </c>
      <c r="L31" s="29" t="n">
        <f aca="false">($E31*$G31+$I31)*(1+IF($K31="N",0,INPUTS!$C$23))</f>
        <v>0</v>
      </c>
      <c r="M31" s="39" t="n">
        <f aca="false">$E31*$H31+$J31</f>
        <v>0</v>
      </c>
      <c r="N31" s="29" t="n">
        <f aca="false">$M31*IF(OR($B31="V",$B31="AC"),'LABOUR RATES'!$E$26,'LABOUR RATES'!$E$11)</f>
        <v>0</v>
      </c>
      <c r="O31" s="29" t="n">
        <f aca="false">$M31*IF(OR($B31="V",$B31="AC"),'LABOUR RATES'!$C$27,'LABOUR RATES'!$C$12)</f>
        <v>0</v>
      </c>
      <c r="P31" s="40" t="n">
        <f aca="false">$L31+$N31+$O31</f>
        <v>0</v>
      </c>
      <c r="Q31" s="41" t="str">
        <f aca="false">IF($A31="","",IFERROR(SUMIFS('CRM ACTUALS'!$H$7:$H$2006,'CRM ACTUALS'!$D$7:$D$2006,$A31)/SUMIFS('CRM ACTUALS'!$F$7:$F$2006,'CRM ACTUALS'!$D$7:$D$2006,$A31),""))</f>
        <v/>
      </c>
      <c r="R31" s="28" t="str">
        <f aca="false">IF($A31="","",IFERROR(SUMIFS('CRM ACTUALS'!$J$7:$J$2006,'CRM ACTUALS'!$D$7:$D$2006,$A31)/SUMIFS('CRM ACTUALS'!$F$7:$F$2006,'CRM ACTUALS'!$D$7:$D$2006,$A31),""))</f>
        <v/>
      </c>
      <c r="S31" s="21" t="str">
        <f aca="false">IF(OR($Q31="",N($H31)=0),"",$H31/$Q31-1)</f>
        <v/>
      </c>
    </row>
    <row r="32" customFormat="false" ht="15" hidden="false" customHeight="false" outlineLevel="0" collapsed="false">
      <c r="A32" s="11"/>
      <c r="B32" s="11"/>
      <c r="C32" s="11"/>
      <c r="D32" s="11"/>
      <c r="E32" s="36"/>
      <c r="F32" s="11"/>
      <c r="G32" s="37"/>
      <c r="H32" s="38"/>
      <c r="I32" s="37"/>
      <c r="J32" s="36"/>
      <c r="K32" s="11" t="s">
        <v>224</v>
      </c>
      <c r="L32" s="29" t="n">
        <f aca="false">($E32*$G32+$I32)*(1+IF($K32="N",0,INPUTS!$C$23))</f>
        <v>0</v>
      </c>
      <c r="M32" s="39" t="n">
        <f aca="false">$E32*$H32+$J32</f>
        <v>0</v>
      </c>
      <c r="N32" s="29" t="n">
        <f aca="false">$M32*IF(OR($B32="V",$B32="AC"),'LABOUR RATES'!$E$26,'LABOUR RATES'!$E$11)</f>
        <v>0</v>
      </c>
      <c r="O32" s="29" t="n">
        <f aca="false">$M32*IF(OR($B32="V",$B32="AC"),'LABOUR RATES'!$C$27,'LABOUR RATES'!$C$12)</f>
        <v>0</v>
      </c>
      <c r="P32" s="40" t="n">
        <f aca="false">$L32+$N32+$O32</f>
        <v>0</v>
      </c>
      <c r="Q32" s="41" t="str">
        <f aca="false">IF($A32="","",IFERROR(SUMIFS('CRM ACTUALS'!$H$7:$H$2006,'CRM ACTUALS'!$D$7:$D$2006,$A32)/SUMIFS('CRM ACTUALS'!$F$7:$F$2006,'CRM ACTUALS'!$D$7:$D$2006,$A32),""))</f>
        <v/>
      </c>
      <c r="R32" s="28" t="str">
        <f aca="false">IF($A32="","",IFERROR(SUMIFS('CRM ACTUALS'!$J$7:$J$2006,'CRM ACTUALS'!$D$7:$D$2006,$A32)/SUMIFS('CRM ACTUALS'!$F$7:$F$2006,'CRM ACTUALS'!$D$7:$D$2006,$A32),""))</f>
        <v/>
      </c>
      <c r="S32" s="21" t="str">
        <f aca="false">IF(OR($Q32="",N($H32)=0),"",$H32/$Q32-1)</f>
        <v/>
      </c>
    </row>
    <row r="33" customFormat="false" ht="15" hidden="false" customHeight="false" outlineLevel="0" collapsed="false">
      <c r="A33" s="11"/>
      <c r="B33" s="11"/>
      <c r="C33" s="11"/>
      <c r="D33" s="11"/>
      <c r="E33" s="36"/>
      <c r="F33" s="11"/>
      <c r="G33" s="37"/>
      <c r="H33" s="38"/>
      <c r="I33" s="37"/>
      <c r="J33" s="36"/>
      <c r="K33" s="11" t="s">
        <v>224</v>
      </c>
      <c r="L33" s="29" t="n">
        <f aca="false">($E33*$G33+$I33)*(1+IF($K33="N",0,INPUTS!$C$23))</f>
        <v>0</v>
      </c>
      <c r="M33" s="39" t="n">
        <f aca="false">$E33*$H33+$J33</f>
        <v>0</v>
      </c>
      <c r="N33" s="29" t="n">
        <f aca="false">$M33*IF(OR($B33="V",$B33="AC"),'LABOUR RATES'!$E$26,'LABOUR RATES'!$E$11)</f>
        <v>0</v>
      </c>
      <c r="O33" s="29" t="n">
        <f aca="false">$M33*IF(OR($B33="V",$B33="AC"),'LABOUR RATES'!$C$27,'LABOUR RATES'!$C$12)</f>
        <v>0</v>
      </c>
      <c r="P33" s="40" t="n">
        <f aca="false">$L33+$N33+$O33</f>
        <v>0</v>
      </c>
      <c r="Q33" s="41" t="str">
        <f aca="false">IF($A33="","",IFERROR(SUMIFS('CRM ACTUALS'!$H$7:$H$2006,'CRM ACTUALS'!$D$7:$D$2006,$A33)/SUMIFS('CRM ACTUALS'!$F$7:$F$2006,'CRM ACTUALS'!$D$7:$D$2006,$A33),""))</f>
        <v/>
      </c>
      <c r="R33" s="28" t="str">
        <f aca="false">IF($A33="","",IFERROR(SUMIFS('CRM ACTUALS'!$J$7:$J$2006,'CRM ACTUALS'!$D$7:$D$2006,$A33)/SUMIFS('CRM ACTUALS'!$F$7:$F$2006,'CRM ACTUALS'!$D$7:$D$2006,$A33),""))</f>
        <v/>
      </c>
      <c r="S33" s="21" t="str">
        <f aca="false">IF(OR($Q33="",N($H33)=0),"",$H33/$Q33-1)</f>
        <v/>
      </c>
    </row>
    <row r="34" customFormat="false" ht="15" hidden="false" customHeight="false" outlineLevel="0" collapsed="false">
      <c r="A34" s="11"/>
      <c r="B34" s="11"/>
      <c r="C34" s="11"/>
      <c r="D34" s="11"/>
      <c r="E34" s="36"/>
      <c r="F34" s="11"/>
      <c r="G34" s="37"/>
      <c r="H34" s="38"/>
      <c r="I34" s="37"/>
      <c r="J34" s="36"/>
      <c r="K34" s="11" t="s">
        <v>224</v>
      </c>
      <c r="L34" s="29" t="n">
        <f aca="false">($E34*$G34+$I34)*(1+IF($K34="N",0,INPUTS!$C$23))</f>
        <v>0</v>
      </c>
      <c r="M34" s="39" t="n">
        <f aca="false">$E34*$H34+$J34</f>
        <v>0</v>
      </c>
      <c r="N34" s="29" t="n">
        <f aca="false">$M34*IF(OR($B34="V",$B34="AC"),'LABOUR RATES'!$E$26,'LABOUR RATES'!$E$11)</f>
        <v>0</v>
      </c>
      <c r="O34" s="29" t="n">
        <f aca="false">$M34*IF(OR($B34="V",$B34="AC"),'LABOUR RATES'!$C$27,'LABOUR RATES'!$C$12)</f>
        <v>0</v>
      </c>
      <c r="P34" s="40" t="n">
        <f aca="false">$L34+$N34+$O34</f>
        <v>0</v>
      </c>
      <c r="Q34" s="41" t="str">
        <f aca="false">IF($A34="","",IFERROR(SUMIFS('CRM ACTUALS'!$H$7:$H$2006,'CRM ACTUALS'!$D$7:$D$2006,$A34)/SUMIFS('CRM ACTUALS'!$F$7:$F$2006,'CRM ACTUALS'!$D$7:$D$2006,$A34),""))</f>
        <v/>
      </c>
      <c r="R34" s="28" t="str">
        <f aca="false">IF($A34="","",IFERROR(SUMIFS('CRM ACTUALS'!$J$7:$J$2006,'CRM ACTUALS'!$D$7:$D$2006,$A34)/SUMIFS('CRM ACTUALS'!$F$7:$F$2006,'CRM ACTUALS'!$D$7:$D$2006,$A34),""))</f>
        <v/>
      </c>
      <c r="S34" s="21" t="str">
        <f aca="false">IF(OR($Q34="",N($H34)=0),"",$H34/$Q34-1)</f>
        <v/>
      </c>
    </row>
    <row r="35" customFormat="false" ht="15" hidden="false" customHeight="false" outlineLevel="0" collapsed="false">
      <c r="A35" s="11"/>
      <c r="B35" s="11"/>
      <c r="C35" s="11"/>
      <c r="D35" s="11"/>
      <c r="E35" s="36"/>
      <c r="F35" s="11"/>
      <c r="G35" s="37"/>
      <c r="H35" s="38"/>
      <c r="I35" s="37"/>
      <c r="J35" s="36"/>
      <c r="K35" s="11" t="s">
        <v>224</v>
      </c>
      <c r="L35" s="29" t="n">
        <f aca="false">($E35*$G35+$I35)*(1+IF($K35="N",0,INPUTS!$C$23))</f>
        <v>0</v>
      </c>
      <c r="M35" s="39" t="n">
        <f aca="false">$E35*$H35+$J35</f>
        <v>0</v>
      </c>
      <c r="N35" s="29" t="n">
        <f aca="false">$M35*IF(OR($B35="V",$B35="AC"),'LABOUR RATES'!$E$26,'LABOUR RATES'!$E$11)</f>
        <v>0</v>
      </c>
      <c r="O35" s="29" t="n">
        <f aca="false">$M35*IF(OR($B35="V",$B35="AC"),'LABOUR RATES'!$C$27,'LABOUR RATES'!$C$12)</f>
        <v>0</v>
      </c>
      <c r="P35" s="40" t="n">
        <f aca="false">$L35+$N35+$O35</f>
        <v>0</v>
      </c>
      <c r="Q35" s="41" t="str">
        <f aca="false">IF($A35="","",IFERROR(SUMIFS('CRM ACTUALS'!$H$7:$H$2006,'CRM ACTUALS'!$D$7:$D$2006,$A35)/SUMIFS('CRM ACTUALS'!$F$7:$F$2006,'CRM ACTUALS'!$D$7:$D$2006,$A35),""))</f>
        <v/>
      </c>
      <c r="R35" s="28" t="str">
        <f aca="false">IF($A35="","",IFERROR(SUMIFS('CRM ACTUALS'!$J$7:$J$2006,'CRM ACTUALS'!$D$7:$D$2006,$A35)/SUMIFS('CRM ACTUALS'!$F$7:$F$2006,'CRM ACTUALS'!$D$7:$D$2006,$A35),""))</f>
        <v/>
      </c>
      <c r="S35" s="21" t="str">
        <f aca="false">IF(OR($Q35="",N($H35)=0),"",$H35/$Q35-1)</f>
        <v/>
      </c>
    </row>
    <row r="36" customFormat="false" ht="15" hidden="false" customHeight="false" outlineLevel="0" collapsed="false">
      <c r="A36" s="11"/>
      <c r="B36" s="11"/>
      <c r="C36" s="11"/>
      <c r="D36" s="11"/>
      <c r="E36" s="36"/>
      <c r="F36" s="11"/>
      <c r="G36" s="37"/>
      <c r="H36" s="38"/>
      <c r="I36" s="37"/>
      <c r="J36" s="36"/>
      <c r="K36" s="11" t="s">
        <v>224</v>
      </c>
      <c r="L36" s="29" t="n">
        <f aca="false">($E36*$G36+$I36)*(1+IF($K36="N",0,INPUTS!$C$23))</f>
        <v>0</v>
      </c>
      <c r="M36" s="39" t="n">
        <f aca="false">$E36*$H36+$J36</f>
        <v>0</v>
      </c>
      <c r="N36" s="29" t="n">
        <f aca="false">$M36*IF(OR($B36="V",$B36="AC"),'LABOUR RATES'!$E$26,'LABOUR RATES'!$E$11)</f>
        <v>0</v>
      </c>
      <c r="O36" s="29" t="n">
        <f aca="false">$M36*IF(OR($B36="V",$B36="AC"),'LABOUR RATES'!$C$27,'LABOUR RATES'!$C$12)</f>
        <v>0</v>
      </c>
      <c r="P36" s="40" t="n">
        <f aca="false">$L36+$N36+$O36</f>
        <v>0</v>
      </c>
      <c r="Q36" s="41" t="str">
        <f aca="false">IF($A36="","",IFERROR(SUMIFS('CRM ACTUALS'!$H$7:$H$2006,'CRM ACTUALS'!$D$7:$D$2006,$A36)/SUMIFS('CRM ACTUALS'!$F$7:$F$2006,'CRM ACTUALS'!$D$7:$D$2006,$A36),""))</f>
        <v/>
      </c>
      <c r="R36" s="28" t="str">
        <f aca="false">IF($A36="","",IFERROR(SUMIFS('CRM ACTUALS'!$J$7:$J$2006,'CRM ACTUALS'!$D$7:$D$2006,$A36)/SUMIFS('CRM ACTUALS'!$F$7:$F$2006,'CRM ACTUALS'!$D$7:$D$2006,$A36),""))</f>
        <v/>
      </c>
      <c r="S36" s="21" t="str">
        <f aca="false">IF(OR($Q36="",N($H36)=0),"",$H36/$Q36-1)</f>
        <v/>
      </c>
    </row>
    <row r="37" customFormat="false" ht="15" hidden="false" customHeight="false" outlineLevel="0" collapsed="false">
      <c r="A37" s="11"/>
      <c r="B37" s="11"/>
      <c r="C37" s="11"/>
      <c r="D37" s="11"/>
      <c r="E37" s="36"/>
      <c r="F37" s="11"/>
      <c r="G37" s="37"/>
      <c r="H37" s="38"/>
      <c r="I37" s="37"/>
      <c r="J37" s="36"/>
      <c r="K37" s="11" t="s">
        <v>224</v>
      </c>
      <c r="L37" s="29" t="n">
        <f aca="false">($E37*$G37+$I37)*(1+IF($K37="N",0,INPUTS!$C$23))</f>
        <v>0</v>
      </c>
      <c r="M37" s="39" t="n">
        <f aca="false">$E37*$H37+$J37</f>
        <v>0</v>
      </c>
      <c r="N37" s="29" t="n">
        <f aca="false">$M37*IF(OR($B37="V",$B37="AC"),'LABOUR RATES'!$E$26,'LABOUR RATES'!$E$11)</f>
        <v>0</v>
      </c>
      <c r="O37" s="29" t="n">
        <f aca="false">$M37*IF(OR($B37="V",$B37="AC"),'LABOUR RATES'!$C$27,'LABOUR RATES'!$C$12)</f>
        <v>0</v>
      </c>
      <c r="P37" s="40" t="n">
        <f aca="false">$L37+$N37+$O37</f>
        <v>0</v>
      </c>
      <c r="Q37" s="41" t="str">
        <f aca="false">IF($A37="","",IFERROR(SUMIFS('CRM ACTUALS'!$H$7:$H$2006,'CRM ACTUALS'!$D$7:$D$2006,$A37)/SUMIFS('CRM ACTUALS'!$F$7:$F$2006,'CRM ACTUALS'!$D$7:$D$2006,$A37),""))</f>
        <v/>
      </c>
      <c r="R37" s="28" t="str">
        <f aca="false">IF($A37="","",IFERROR(SUMIFS('CRM ACTUALS'!$J$7:$J$2006,'CRM ACTUALS'!$D$7:$D$2006,$A37)/SUMIFS('CRM ACTUALS'!$F$7:$F$2006,'CRM ACTUALS'!$D$7:$D$2006,$A37),""))</f>
        <v/>
      </c>
      <c r="S37" s="21" t="str">
        <f aca="false">IF(OR($Q37="",N($H37)=0),"",$H37/$Q37-1)</f>
        <v/>
      </c>
    </row>
    <row r="38" customFormat="false" ht="15" hidden="false" customHeight="false" outlineLevel="0" collapsed="false">
      <c r="A38" s="11"/>
      <c r="B38" s="11"/>
      <c r="C38" s="11"/>
      <c r="D38" s="11"/>
      <c r="E38" s="36"/>
      <c r="F38" s="11"/>
      <c r="G38" s="37"/>
      <c r="H38" s="38"/>
      <c r="I38" s="37"/>
      <c r="J38" s="36"/>
      <c r="K38" s="11" t="s">
        <v>224</v>
      </c>
      <c r="L38" s="29" t="n">
        <f aca="false">($E38*$G38+$I38)*(1+IF($K38="N",0,INPUTS!$C$23))</f>
        <v>0</v>
      </c>
      <c r="M38" s="39" t="n">
        <f aca="false">$E38*$H38+$J38</f>
        <v>0</v>
      </c>
      <c r="N38" s="29" t="n">
        <f aca="false">$M38*IF(OR($B38="V",$B38="AC"),'LABOUR RATES'!$E$26,'LABOUR RATES'!$E$11)</f>
        <v>0</v>
      </c>
      <c r="O38" s="29" t="n">
        <f aca="false">$M38*IF(OR($B38="V",$B38="AC"),'LABOUR RATES'!$C$27,'LABOUR RATES'!$C$12)</f>
        <v>0</v>
      </c>
      <c r="P38" s="40" t="n">
        <f aca="false">$L38+$N38+$O38</f>
        <v>0</v>
      </c>
      <c r="Q38" s="41" t="str">
        <f aca="false">IF($A38="","",IFERROR(SUMIFS('CRM ACTUALS'!$H$7:$H$2006,'CRM ACTUALS'!$D$7:$D$2006,$A38)/SUMIFS('CRM ACTUALS'!$F$7:$F$2006,'CRM ACTUALS'!$D$7:$D$2006,$A38),""))</f>
        <v/>
      </c>
      <c r="R38" s="28" t="str">
        <f aca="false">IF($A38="","",IFERROR(SUMIFS('CRM ACTUALS'!$J$7:$J$2006,'CRM ACTUALS'!$D$7:$D$2006,$A38)/SUMIFS('CRM ACTUALS'!$F$7:$F$2006,'CRM ACTUALS'!$D$7:$D$2006,$A38),""))</f>
        <v/>
      </c>
      <c r="S38" s="21" t="str">
        <f aca="false">IF(OR($Q38="",N($H38)=0),"",$H38/$Q38-1)</f>
        <v/>
      </c>
    </row>
    <row r="39" customFormat="false" ht="15" hidden="false" customHeight="false" outlineLevel="0" collapsed="false">
      <c r="A39" s="11"/>
      <c r="B39" s="11"/>
      <c r="C39" s="11"/>
      <c r="D39" s="11"/>
      <c r="E39" s="36"/>
      <c r="F39" s="11"/>
      <c r="G39" s="37"/>
      <c r="H39" s="38"/>
      <c r="I39" s="37"/>
      <c r="J39" s="36"/>
      <c r="K39" s="11" t="s">
        <v>224</v>
      </c>
      <c r="L39" s="29" t="n">
        <f aca="false">($E39*$G39+$I39)*(1+IF($K39="N",0,INPUTS!$C$23))</f>
        <v>0</v>
      </c>
      <c r="M39" s="39" t="n">
        <f aca="false">$E39*$H39+$J39</f>
        <v>0</v>
      </c>
      <c r="N39" s="29" t="n">
        <f aca="false">$M39*IF(OR($B39="V",$B39="AC"),'LABOUR RATES'!$E$26,'LABOUR RATES'!$E$11)</f>
        <v>0</v>
      </c>
      <c r="O39" s="29" t="n">
        <f aca="false">$M39*IF(OR($B39="V",$B39="AC"),'LABOUR RATES'!$C$27,'LABOUR RATES'!$C$12)</f>
        <v>0</v>
      </c>
      <c r="P39" s="40" t="n">
        <f aca="false">$L39+$N39+$O39</f>
        <v>0</v>
      </c>
      <c r="Q39" s="41" t="str">
        <f aca="false">IF($A39="","",IFERROR(SUMIFS('CRM ACTUALS'!$H$7:$H$2006,'CRM ACTUALS'!$D$7:$D$2006,$A39)/SUMIFS('CRM ACTUALS'!$F$7:$F$2006,'CRM ACTUALS'!$D$7:$D$2006,$A39),""))</f>
        <v/>
      </c>
      <c r="R39" s="28" t="str">
        <f aca="false">IF($A39="","",IFERROR(SUMIFS('CRM ACTUALS'!$J$7:$J$2006,'CRM ACTUALS'!$D$7:$D$2006,$A39)/SUMIFS('CRM ACTUALS'!$F$7:$F$2006,'CRM ACTUALS'!$D$7:$D$2006,$A39),""))</f>
        <v/>
      </c>
      <c r="S39" s="21" t="str">
        <f aca="false">IF(OR($Q39="",N($H39)=0),"",$H39/$Q39-1)</f>
        <v/>
      </c>
    </row>
    <row r="40" customFormat="false" ht="15" hidden="false" customHeight="false" outlineLevel="0" collapsed="false">
      <c r="A40" s="11"/>
      <c r="B40" s="11"/>
      <c r="C40" s="11"/>
      <c r="D40" s="11"/>
      <c r="E40" s="36"/>
      <c r="F40" s="11"/>
      <c r="G40" s="37"/>
      <c r="H40" s="38"/>
      <c r="I40" s="37"/>
      <c r="J40" s="36"/>
      <c r="K40" s="11" t="s">
        <v>224</v>
      </c>
      <c r="L40" s="29" t="n">
        <f aca="false">($E40*$G40+$I40)*(1+IF($K40="N",0,INPUTS!$C$23))</f>
        <v>0</v>
      </c>
      <c r="M40" s="39" t="n">
        <f aca="false">$E40*$H40+$J40</f>
        <v>0</v>
      </c>
      <c r="N40" s="29" t="n">
        <f aca="false">$M40*IF(OR($B40="V",$B40="AC"),'LABOUR RATES'!$E$26,'LABOUR RATES'!$E$11)</f>
        <v>0</v>
      </c>
      <c r="O40" s="29" t="n">
        <f aca="false">$M40*IF(OR($B40="V",$B40="AC"),'LABOUR RATES'!$C$27,'LABOUR RATES'!$C$12)</f>
        <v>0</v>
      </c>
      <c r="P40" s="40" t="n">
        <f aca="false">$L40+$N40+$O40</f>
        <v>0</v>
      </c>
      <c r="Q40" s="41" t="str">
        <f aca="false">IF($A40="","",IFERROR(SUMIFS('CRM ACTUALS'!$H$7:$H$2006,'CRM ACTUALS'!$D$7:$D$2006,$A40)/SUMIFS('CRM ACTUALS'!$F$7:$F$2006,'CRM ACTUALS'!$D$7:$D$2006,$A40),""))</f>
        <v/>
      </c>
      <c r="R40" s="28" t="str">
        <f aca="false">IF($A40="","",IFERROR(SUMIFS('CRM ACTUALS'!$J$7:$J$2006,'CRM ACTUALS'!$D$7:$D$2006,$A40)/SUMIFS('CRM ACTUALS'!$F$7:$F$2006,'CRM ACTUALS'!$D$7:$D$2006,$A40),""))</f>
        <v/>
      </c>
      <c r="S40" s="21" t="str">
        <f aca="false">IF(OR($Q40="",N($H40)=0),"",$H40/$Q40-1)</f>
        <v/>
      </c>
    </row>
    <row r="41" customFormat="false" ht="15" hidden="false" customHeight="false" outlineLevel="0" collapsed="false">
      <c r="A41" s="11"/>
      <c r="B41" s="11"/>
      <c r="C41" s="11"/>
      <c r="D41" s="11"/>
      <c r="E41" s="36"/>
      <c r="F41" s="11"/>
      <c r="G41" s="37"/>
      <c r="H41" s="38"/>
      <c r="I41" s="37"/>
      <c r="J41" s="36"/>
      <c r="K41" s="11" t="s">
        <v>224</v>
      </c>
      <c r="L41" s="29" t="n">
        <f aca="false">($E41*$G41+$I41)*(1+IF($K41="N",0,INPUTS!$C$23))</f>
        <v>0</v>
      </c>
      <c r="M41" s="39" t="n">
        <f aca="false">$E41*$H41+$J41</f>
        <v>0</v>
      </c>
      <c r="N41" s="29" t="n">
        <f aca="false">$M41*IF(OR($B41="V",$B41="AC"),'LABOUR RATES'!$E$26,'LABOUR RATES'!$E$11)</f>
        <v>0</v>
      </c>
      <c r="O41" s="29" t="n">
        <f aca="false">$M41*IF(OR($B41="V",$B41="AC"),'LABOUR RATES'!$C$27,'LABOUR RATES'!$C$12)</f>
        <v>0</v>
      </c>
      <c r="P41" s="40" t="n">
        <f aca="false">$L41+$N41+$O41</f>
        <v>0</v>
      </c>
      <c r="Q41" s="41" t="str">
        <f aca="false">IF($A41="","",IFERROR(SUMIFS('CRM ACTUALS'!$H$7:$H$2006,'CRM ACTUALS'!$D$7:$D$2006,$A41)/SUMIFS('CRM ACTUALS'!$F$7:$F$2006,'CRM ACTUALS'!$D$7:$D$2006,$A41),""))</f>
        <v/>
      </c>
      <c r="R41" s="28" t="str">
        <f aca="false">IF($A41="","",IFERROR(SUMIFS('CRM ACTUALS'!$J$7:$J$2006,'CRM ACTUALS'!$D$7:$D$2006,$A41)/SUMIFS('CRM ACTUALS'!$F$7:$F$2006,'CRM ACTUALS'!$D$7:$D$2006,$A41),""))</f>
        <v/>
      </c>
      <c r="S41" s="21" t="str">
        <f aca="false">IF(OR($Q41="",N($H41)=0),"",$H41/$Q41-1)</f>
        <v/>
      </c>
    </row>
    <row r="42" customFormat="false" ht="15" hidden="false" customHeight="false" outlineLevel="0" collapsed="false">
      <c r="A42" s="11"/>
      <c r="B42" s="11"/>
      <c r="C42" s="11"/>
      <c r="D42" s="11"/>
      <c r="E42" s="36"/>
      <c r="F42" s="11"/>
      <c r="G42" s="37"/>
      <c r="H42" s="38"/>
      <c r="I42" s="37"/>
      <c r="J42" s="36"/>
      <c r="K42" s="11" t="s">
        <v>224</v>
      </c>
      <c r="L42" s="29" t="n">
        <f aca="false">($E42*$G42+$I42)*(1+IF($K42="N",0,INPUTS!$C$23))</f>
        <v>0</v>
      </c>
      <c r="M42" s="39" t="n">
        <f aca="false">$E42*$H42+$J42</f>
        <v>0</v>
      </c>
      <c r="N42" s="29" t="n">
        <f aca="false">$M42*IF(OR($B42="V",$B42="AC"),'LABOUR RATES'!$E$26,'LABOUR RATES'!$E$11)</f>
        <v>0</v>
      </c>
      <c r="O42" s="29" t="n">
        <f aca="false">$M42*IF(OR($B42="V",$B42="AC"),'LABOUR RATES'!$C$27,'LABOUR RATES'!$C$12)</f>
        <v>0</v>
      </c>
      <c r="P42" s="40" t="n">
        <f aca="false">$L42+$N42+$O42</f>
        <v>0</v>
      </c>
      <c r="Q42" s="41" t="str">
        <f aca="false">IF($A42="","",IFERROR(SUMIFS('CRM ACTUALS'!$H$7:$H$2006,'CRM ACTUALS'!$D$7:$D$2006,$A42)/SUMIFS('CRM ACTUALS'!$F$7:$F$2006,'CRM ACTUALS'!$D$7:$D$2006,$A42),""))</f>
        <v/>
      </c>
      <c r="R42" s="28" t="str">
        <f aca="false">IF($A42="","",IFERROR(SUMIFS('CRM ACTUALS'!$J$7:$J$2006,'CRM ACTUALS'!$D$7:$D$2006,$A42)/SUMIFS('CRM ACTUALS'!$F$7:$F$2006,'CRM ACTUALS'!$D$7:$D$2006,$A42),""))</f>
        <v/>
      </c>
      <c r="S42" s="21" t="str">
        <f aca="false">IF(OR($Q42="",N($H42)=0),"",$H42/$Q42-1)</f>
        <v/>
      </c>
    </row>
    <row r="43" customFormat="false" ht="15" hidden="false" customHeight="false" outlineLevel="0" collapsed="false">
      <c r="A43" s="11"/>
      <c r="B43" s="11"/>
      <c r="C43" s="11"/>
      <c r="D43" s="11"/>
      <c r="E43" s="36"/>
      <c r="F43" s="11"/>
      <c r="G43" s="37"/>
      <c r="H43" s="38"/>
      <c r="I43" s="37"/>
      <c r="J43" s="36"/>
      <c r="K43" s="11" t="s">
        <v>224</v>
      </c>
      <c r="L43" s="29" t="n">
        <f aca="false">($E43*$G43+$I43)*(1+IF($K43="N",0,INPUTS!$C$23))</f>
        <v>0</v>
      </c>
      <c r="M43" s="39" t="n">
        <f aca="false">$E43*$H43+$J43</f>
        <v>0</v>
      </c>
      <c r="N43" s="29" t="n">
        <f aca="false">$M43*IF(OR($B43="V",$B43="AC"),'LABOUR RATES'!$E$26,'LABOUR RATES'!$E$11)</f>
        <v>0</v>
      </c>
      <c r="O43" s="29" t="n">
        <f aca="false">$M43*IF(OR($B43="V",$B43="AC"),'LABOUR RATES'!$C$27,'LABOUR RATES'!$C$12)</f>
        <v>0</v>
      </c>
      <c r="P43" s="40" t="n">
        <f aca="false">$L43+$N43+$O43</f>
        <v>0</v>
      </c>
      <c r="Q43" s="41" t="str">
        <f aca="false">IF($A43="","",IFERROR(SUMIFS('CRM ACTUALS'!$H$7:$H$2006,'CRM ACTUALS'!$D$7:$D$2006,$A43)/SUMIFS('CRM ACTUALS'!$F$7:$F$2006,'CRM ACTUALS'!$D$7:$D$2006,$A43),""))</f>
        <v/>
      </c>
      <c r="R43" s="28" t="str">
        <f aca="false">IF($A43="","",IFERROR(SUMIFS('CRM ACTUALS'!$J$7:$J$2006,'CRM ACTUALS'!$D$7:$D$2006,$A43)/SUMIFS('CRM ACTUALS'!$F$7:$F$2006,'CRM ACTUALS'!$D$7:$D$2006,$A43),""))</f>
        <v/>
      </c>
      <c r="S43" s="21" t="str">
        <f aca="false">IF(OR($Q43="",N($H43)=0),"",$H43/$Q43-1)</f>
        <v/>
      </c>
    </row>
    <row r="44" customFormat="false" ht="15" hidden="false" customHeight="false" outlineLevel="0" collapsed="false">
      <c r="A44" s="11"/>
      <c r="B44" s="11"/>
      <c r="C44" s="11"/>
      <c r="D44" s="11"/>
      <c r="E44" s="36"/>
      <c r="F44" s="11"/>
      <c r="G44" s="37"/>
      <c r="H44" s="38"/>
      <c r="I44" s="37"/>
      <c r="J44" s="36"/>
      <c r="K44" s="11" t="s">
        <v>224</v>
      </c>
      <c r="L44" s="29" t="n">
        <f aca="false">($E44*$G44+$I44)*(1+IF($K44="N",0,INPUTS!$C$23))</f>
        <v>0</v>
      </c>
      <c r="M44" s="39" t="n">
        <f aca="false">$E44*$H44+$J44</f>
        <v>0</v>
      </c>
      <c r="N44" s="29" t="n">
        <f aca="false">$M44*IF(OR($B44="V",$B44="AC"),'LABOUR RATES'!$E$26,'LABOUR RATES'!$E$11)</f>
        <v>0</v>
      </c>
      <c r="O44" s="29" t="n">
        <f aca="false">$M44*IF(OR($B44="V",$B44="AC"),'LABOUR RATES'!$C$27,'LABOUR RATES'!$C$12)</f>
        <v>0</v>
      </c>
      <c r="P44" s="40" t="n">
        <f aca="false">$L44+$N44+$O44</f>
        <v>0</v>
      </c>
      <c r="Q44" s="41" t="str">
        <f aca="false">IF($A44="","",IFERROR(SUMIFS('CRM ACTUALS'!$H$7:$H$2006,'CRM ACTUALS'!$D$7:$D$2006,$A44)/SUMIFS('CRM ACTUALS'!$F$7:$F$2006,'CRM ACTUALS'!$D$7:$D$2006,$A44),""))</f>
        <v/>
      </c>
      <c r="R44" s="28" t="str">
        <f aca="false">IF($A44="","",IFERROR(SUMIFS('CRM ACTUALS'!$J$7:$J$2006,'CRM ACTUALS'!$D$7:$D$2006,$A44)/SUMIFS('CRM ACTUALS'!$F$7:$F$2006,'CRM ACTUALS'!$D$7:$D$2006,$A44),""))</f>
        <v/>
      </c>
      <c r="S44" s="21" t="str">
        <f aca="false">IF(OR($Q44="",N($H44)=0),"",$H44/$Q44-1)</f>
        <v/>
      </c>
    </row>
    <row r="45" customFormat="false" ht="15" hidden="false" customHeight="false" outlineLevel="0" collapsed="false">
      <c r="A45" s="11"/>
      <c r="B45" s="11"/>
      <c r="C45" s="11"/>
      <c r="D45" s="11"/>
      <c r="E45" s="36"/>
      <c r="F45" s="11"/>
      <c r="G45" s="37"/>
      <c r="H45" s="38"/>
      <c r="I45" s="37"/>
      <c r="J45" s="36"/>
      <c r="K45" s="11" t="s">
        <v>224</v>
      </c>
      <c r="L45" s="29" t="n">
        <f aca="false">($E45*$G45+$I45)*(1+IF($K45="N",0,INPUTS!$C$23))</f>
        <v>0</v>
      </c>
      <c r="M45" s="39" t="n">
        <f aca="false">$E45*$H45+$J45</f>
        <v>0</v>
      </c>
      <c r="N45" s="29" t="n">
        <f aca="false">$M45*IF(OR($B45="V",$B45="AC"),'LABOUR RATES'!$E$26,'LABOUR RATES'!$E$11)</f>
        <v>0</v>
      </c>
      <c r="O45" s="29" t="n">
        <f aca="false">$M45*IF(OR($B45="V",$B45="AC"),'LABOUR RATES'!$C$27,'LABOUR RATES'!$C$12)</f>
        <v>0</v>
      </c>
      <c r="P45" s="40" t="n">
        <f aca="false">$L45+$N45+$O45</f>
        <v>0</v>
      </c>
      <c r="Q45" s="41" t="str">
        <f aca="false">IF($A45="","",IFERROR(SUMIFS('CRM ACTUALS'!$H$7:$H$2006,'CRM ACTUALS'!$D$7:$D$2006,$A45)/SUMIFS('CRM ACTUALS'!$F$7:$F$2006,'CRM ACTUALS'!$D$7:$D$2006,$A45),""))</f>
        <v/>
      </c>
      <c r="R45" s="28" t="str">
        <f aca="false">IF($A45="","",IFERROR(SUMIFS('CRM ACTUALS'!$J$7:$J$2006,'CRM ACTUALS'!$D$7:$D$2006,$A45)/SUMIFS('CRM ACTUALS'!$F$7:$F$2006,'CRM ACTUALS'!$D$7:$D$2006,$A45),""))</f>
        <v/>
      </c>
      <c r="S45" s="21" t="str">
        <f aca="false">IF(OR($Q45="",N($H45)=0),"",$H45/$Q45-1)</f>
        <v/>
      </c>
    </row>
    <row r="46" customFormat="false" ht="15" hidden="false" customHeight="false" outlineLevel="0" collapsed="false">
      <c r="A46" s="11"/>
      <c r="B46" s="11"/>
      <c r="C46" s="11"/>
      <c r="D46" s="11"/>
      <c r="E46" s="36"/>
      <c r="F46" s="11"/>
      <c r="G46" s="37"/>
      <c r="H46" s="38"/>
      <c r="I46" s="37"/>
      <c r="J46" s="36"/>
      <c r="K46" s="11" t="s">
        <v>224</v>
      </c>
      <c r="L46" s="29" t="n">
        <f aca="false">($E46*$G46+$I46)*(1+IF($K46="N",0,INPUTS!$C$23))</f>
        <v>0</v>
      </c>
      <c r="M46" s="39" t="n">
        <f aca="false">$E46*$H46+$J46</f>
        <v>0</v>
      </c>
      <c r="N46" s="29" t="n">
        <f aca="false">$M46*IF(OR($B46="V",$B46="AC"),'LABOUR RATES'!$E$26,'LABOUR RATES'!$E$11)</f>
        <v>0</v>
      </c>
      <c r="O46" s="29" t="n">
        <f aca="false">$M46*IF(OR($B46="V",$B46="AC"),'LABOUR RATES'!$C$27,'LABOUR RATES'!$C$12)</f>
        <v>0</v>
      </c>
      <c r="P46" s="40" t="n">
        <f aca="false">$L46+$N46+$O46</f>
        <v>0</v>
      </c>
      <c r="Q46" s="41" t="str">
        <f aca="false">IF($A46="","",IFERROR(SUMIFS('CRM ACTUALS'!$H$7:$H$2006,'CRM ACTUALS'!$D$7:$D$2006,$A46)/SUMIFS('CRM ACTUALS'!$F$7:$F$2006,'CRM ACTUALS'!$D$7:$D$2006,$A46),""))</f>
        <v/>
      </c>
      <c r="R46" s="28" t="str">
        <f aca="false">IF($A46="","",IFERROR(SUMIFS('CRM ACTUALS'!$J$7:$J$2006,'CRM ACTUALS'!$D$7:$D$2006,$A46)/SUMIFS('CRM ACTUALS'!$F$7:$F$2006,'CRM ACTUALS'!$D$7:$D$2006,$A46),""))</f>
        <v/>
      </c>
      <c r="S46" s="21" t="str">
        <f aca="false">IF(OR($Q46="",N($H46)=0),"",$H46/$Q46-1)</f>
        <v/>
      </c>
    </row>
    <row r="47" customFormat="false" ht="15" hidden="false" customHeight="false" outlineLevel="0" collapsed="false">
      <c r="A47" s="11"/>
      <c r="B47" s="11"/>
      <c r="C47" s="11"/>
      <c r="D47" s="11"/>
      <c r="E47" s="36"/>
      <c r="F47" s="11"/>
      <c r="G47" s="37"/>
      <c r="H47" s="38"/>
      <c r="I47" s="37"/>
      <c r="J47" s="36"/>
      <c r="K47" s="11" t="s">
        <v>224</v>
      </c>
      <c r="L47" s="29" t="n">
        <f aca="false">($E47*$G47+$I47)*(1+IF($K47="N",0,INPUTS!$C$23))</f>
        <v>0</v>
      </c>
      <c r="M47" s="39" t="n">
        <f aca="false">$E47*$H47+$J47</f>
        <v>0</v>
      </c>
      <c r="N47" s="29" t="n">
        <f aca="false">$M47*IF(OR($B47="V",$B47="AC"),'LABOUR RATES'!$E$26,'LABOUR RATES'!$E$11)</f>
        <v>0</v>
      </c>
      <c r="O47" s="29" t="n">
        <f aca="false">$M47*IF(OR($B47="V",$B47="AC"),'LABOUR RATES'!$C$27,'LABOUR RATES'!$C$12)</f>
        <v>0</v>
      </c>
      <c r="P47" s="40" t="n">
        <f aca="false">$L47+$N47+$O47</f>
        <v>0</v>
      </c>
      <c r="Q47" s="41" t="str">
        <f aca="false">IF($A47="","",IFERROR(SUMIFS('CRM ACTUALS'!$H$7:$H$2006,'CRM ACTUALS'!$D$7:$D$2006,$A47)/SUMIFS('CRM ACTUALS'!$F$7:$F$2006,'CRM ACTUALS'!$D$7:$D$2006,$A47),""))</f>
        <v/>
      </c>
      <c r="R47" s="28" t="str">
        <f aca="false">IF($A47="","",IFERROR(SUMIFS('CRM ACTUALS'!$J$7:$J$2006,'CRM ACTUALS'!$D$7:$D$2006,$A47)/SUMIFS('CRM ACTUALS'!$F$7:$F$2006,'CRM ACTUALS'!$D$7:$D$2006,$A47),""))</f>
        <v/>
      </c>
      <c r="S47" s="21" t="str">
        <f aca="false">IF(OR($Q47="",N($H47)=0),"",$H47/$Q47-1)</f>
        <v/>
      </c>
    </row>
    <row r="48" customFormat="false" ht="15" hidden="false" customHeight="false" outlineLevel="0" collapsed="false">
      <c r="A48" s="11"/>
      <c r="B48" s="11"/>
      <c r="C48" s="11"/>
      <c r="D48" s="11"/>
      <c r="E48" s="36"/>
      <c r="F48" s="11"/>
      <c r="G48" s="37"/>
      <c r="H48" s="38"/>
      <c r="I48" s="37"/>
      <c r="J48" s="36"/>
      <c r="K48" s="11" t="s">
        <v>224</v>
      </c>
      <c r="L48" s="29" t="n">
        <f aca="false">($E48*$G48+$I48)*(1+IF($K48="N",0,INPUTS!$C$23))</f>
        <v>0</v>
      </c>
      <c r="M48" s="39" t="n">
        <f aca="false">$E48*$H48+$J48</f>
        <v>0</v>
      </c>
      <c r="N48" s="29" t="n">
        <f aca="false">$M48*IF(OR($B48="V",$B48="AC"),'LABOUR RATES'!$E$26,'LABOUR RATES'!$E$11)</f>
        <v>0</v>
      </c>
      <c r="O48" s="29" t="n">
        <f aca="false">$M48*IF(OR($B48="V",$B48="AC"),'LABOUR RATES'!$C$27,'LABOUR RATES'!$C$12)</f>
        <v>0</v>
      </c>
      <c r="P48" s="40" t="n">
        <f aca="false">$L48+$N48+$O48</f>
        <v>0</v>
      </c>
      <c r="Q48" s="41" t="str">
        <f aca="false">IF($A48="","",IFERROR(SUMIFS('CRM ACTUALS'!$H$7:$H$2006,'CRM ACTUALS'!$D$7:$D$2006,$A48)/SUMIFS('CRM ACTUALS'!$F$7:$F$2006,'CRM ACTUALS'!$D$7:$D$2006,$A48),""))</f>
        <v/>
      </c>
      <c r="R48" s="28" t="str">
        <f aca="false">IF($A48="","",IFERROR(SUMIFS('CRM ACTUALS'!$J$7:$J$2006,'CRM ACTUALS'!$D$7:$D$2006,$A48)/SUMIFS('CRM ACTUALS'!$F$7:$F$2006,'CRM ACTUALS'!$D$7:$D$2006,$A48),""))</f>
        <v/>
      </c>
      <c r="S48" s="21" t="str">
        <f aca="false">IF(OR($Q48="",N($H48)=0),"",$H48/$Q48-1)</f>
        <v/>
      </c>
    </row>
    <row r="49" customFormat="false" ht="15" hidden="false" customHeight="false" outlineLevel="0" collapsed="false">
      <c r="A49" s="11"/>
      <c r="B49" s="11"/>
      <c r="C49" s="11"/>
      <c r="D49" s="11"/>
      <c r="E49" s="36"/>
      <c r="F49" s="11"/>
      <c r="G49" s="37"/>
      <c r="H49" s="38"/>
      <c r="I49" s="37"/>
      <c r="J49" s="36"/>
      <c r="K49" s="11" t="s">
        <v>224</v>
      </c>
      <c r="L49" s="29" t="n">
        <f aca="false">($E49*$G49+$I49)*(1+IF($K49="N",0,INPUTS!$C$23))</f>
        <v>0</v>
      </c>
      <c r="M49" s="39" t="n">
        <f aca="false">$E49*$H49+$J49</f>
        <v>0</v>
      </c>
      <c r="N49" s="29" t="n">
        <f aca="false">$M49*IF(OR($B49="V",$B49="AC"),'LABOUR RATES'!$E$26,'LABOUR RATES'!$E$11)</f>
        <v>0</v>
      </c>
      <c r="O49" s="29" t="n">
        <f aca="false">$M49*IF(OR($B49="V",$B49="AC"),'LABOUR RATES'!$C$27,'LABOUR RATES'!$C$12)</f>
        <v>0</v>
      </c>
      <c r="P49" s="40" t="n">
        <f aca="false">$L49+$N49+$O49</f>
        <v>0</v>
      </c>
      <c r="Q49" s="41" t="str">
        <f aca="false">IF($A49="","",IFERROR(SUMIFS('CRM ACTUALS'!$H$7:$H$2006,'CRM ACTUALS'!$D$7:$D$2006,$A49)/SUMIFS('CRM ACTUALS'!$F$7:$F$2006,'CRM ACTUALS'!$D$7:$D$2006,$A49),""))</f>
        <v/>
      </c>
      <c r="R49" s="28" t="str">
        <f aca="false">IF($A49="","",IFERROR(SUMIFS('CRM ACTUALS'!$J$7:$J$2006,'CRM ACTUALS'!$D$7:$D$2006,$A49)/SUMIFS('CRM ACTUALS'!$F$7:$F$2006,'CRM ACTUALS'!$D$7:$D$2006,$A49),""))</f>
        <v/>
      </c>
      <c r="S49" s="21" t="str">
        <f aca="false">IF(OR($Q49="",N($H49)=0),"",$H49/$Q49-1)</f>
        <v/>
      </c>
    </row>
    <row r="50" customFormat="false" ht="15" hidden="false" customHeight="false" outlineLevel="0" collapsed="false">
      <c r="A50" s="11"/>
      <c r="B50" s="11"/>
      <c r="C50" s="11"/>
      <c r="D50" s="11"/>
      <c r="E50" s="36"/>
      <c r="F50" s="11"/>
      <c r="G50" s="37"/>
      <c r="H50" s="38"/>
      <c r="I50" s="37"/>
      <c r="J50" s="36"/>
      <c r="K50" s="11" t="s">
        <v>224</v>
      </c>
      <c r="L50" s="29" t="n">
        <f aca="false">($E50*$G50+$I50)*(1+IF($K50="N",0,INPUTS!$C$23))</f>
        <v>0</v>
      </c>
      <c r="M50" s="39" t="n">
        <f aca="false">$E50*$H50+$J50</f>
        <v>0</v>
      </c>
      <c r="N50" s="29" t="n">
        <f aca="false">$M50*IF(OR($B50="V",$B50="AC"),'LABOUR RATES'!$E$26,'LABOUR RATES'!$E$11)</f>
        <v>0</v>
      </c>
      <c r="O50" s="29" t="n">
        <f aca="false">$M50*IF(OR($B50="V",$B50="AC"),'LABOUR RATES'!$C$27,'LABOUR RATES'!$C$12)</f>
        <v>0</v>
      </c>
      <c r="P50" s="40" t="n">
        <f aca="false">$L50+$N50+$O50</f>
        <v>0</v>
      </c>
      <c r="Q50" s="41" t="str">
        <f aca="false">IF($A50="","",IFERROR(SUMIFS('CRM ACTUALS'!$H$7:$H$2006,'CRM ACTUALS'!$D$7:$D$2006,$A50)/SUMIFS('CRM ACTUALS'!$F$7:$F$2006,'CRM ACTUALS'!$D$7:$D$2006,$A50),""))</f>
        <v/>
      </c>
      <c r="R50" s="28" t="str">
        <f aca="false">IF($A50="","",IFERROR(SUMIFS('CRM ACTUALS'!$J$7:$J$2006,'CRM ACTUALS'!$D$7:$D$2006,$A50)/SUMIFS('CRM ACTUALS'!$F$7:$F$2006,'CRM ACTUALS'!$D$7:$D$2006,$A50),""))</f>
        <v/>
      </c>
      <c r="S50" s="21" t="str">
        <f aca="false">IF(OR($Q50="",N($H50)=0),"",$H50/$Q50-1)</f>
        <v/>
      </c>
    </row>
    <row r="51" customFormat="false" ht="15" hidden="false" customHeight="false" outlineLevel="0" collapsed="false">
      <c r="A51" s="11"/>
      <c r="B51" s="11"/>
      <c r="C51" s="11"/>
      <c r="D51" s="11"/>
      <c r="E51" s="36"/>
      <c r="F51" s="11"/>
      <c r="G51" s="37"/>
      <c r="H51" s="38"/>
      <c r="I51" s="37"/>
      <c r="J51" s="36"/>
      <c r="K51" s="11" t="s">
        <v>224</v>
      </c>
      <c r="L51" s="29" t="n">
        <f aca="false">($E51*$G51+$I51)*(1+IF($K51="N",0,INPUTS!$C$23))</f>
        <v>0</v>
      </c>
      <c r="M51" s="39" t="n">
        <f aca="false">$E51*$H51+$J51</f>
        <v>0</v>
      </c>
      <c r="N51" s="29" t="n">
        <f aca="false">$M51*IF(OR($B51="V",$B51="AC"),'LABOUR RATES'!$E$26,'LABOUR RATES'!$E$11)</f>
        <v>0</v>
      </c>
      <c r="O51" s="29" t="n">
        <f aca="false">$M51*IF(OR($B51="V",$B51="AC"),'LABOUR RATES'!$C$27,'LABOUR RATES'!$C$12)</f>
        <v>0</v>
      </c>
      <c r="P51" s="40" t="n">
        <f aca="false">$L51+$N51+$O51</f>
        <v>0</v>
      </c>
      <c r="Q51" s="41" t="str">
        <f aca="false">IF($A51="","",IFERROR(SUMIFS('CRM ACTUALS'!$H$7:$H$2006,'CRM ACTUALS'!$D$7:$D$2006,$A51)/SUMIFS('CRM ACTUALS'!$F$7:$F$2006,'CRM ACTUALS'!$D$7:$D$2006,$A51),""))</f>
        <v/>
      </c>
      <c r="R51" s="28" t="str">
        <f aca="false">IF($A51="","",IFERROR(SUMIFS('CRM ACTUALS'!$J$7:$J$2006,'CRM ACTUALS'!$D$7:$D$2006,$A51)/SUMIFS('CRM ACTUALS'!$F$7:$F$2006,'CRM ACTUALS'!$D$7:$D$2006,$A51),""))</f>
        <v/>
      </c>
      <c r="S51" s="21" t="str">
        <f aca="false">IF(OR($Q51="",N($H51)=0),"",$H51/$Q51-1)</f>
        <v/>
      </c>
    </row>
    <row r="52" customFormat="false" ht="15" hidden="false" customHeight="false" outlineLevel="0" collapsed="false">
      <c r="A52" s="11"/>
      <c r="B52" s="11"/>
      <c r="C52" s="11"/>
      <c r="D52" s="11"/>
      <c r="E52" s="36"/>
      <c r="F52" s="11"/>
      <c r="G52" s="37"/>
      <c r="H52" s="38"/>
      <c r="I52" s="37"/>
      <c r="J52" s="36"/>
      <c r="K52" s="11" t="s">
        <v>224</v>
      </c>
      <c r="L52" s="29" t="n">
        <f aca="false">($E52*$G52+$I52)*(1+IF($K52="N",0,INPUTS!$C$23))</f>
        <v>0</v>
      </c>
      <c r="M52" s="39" t="n">
        <f aca="false">$E52*$H52+$J52</f>
        <v>0</v>
      </c>
      <c r="N52" s="29" t="n">
        <f aca="false">$M52*IF(OR($B52="V",$B52="AC"),'LABOUR RATES'!$E$26,'LABOUR RATES'!$E$11)</f>
        <v>0</v>
      </c>
      <c r="O52" s="29" t="n">
        <f aca="false">$M52*IF(OR($B52="V",$B52="AC"),'LABOUR RATES'!$C$27,'LABOUR RATES'!$C$12)</f>
        <v>0</v>
      </c>
      <c r="P52" s="40" t="n">
        <f aca="false">$L52+$N52+$O52</f>
        <v>0</v>
      </c>
      <c r="Q52" s="41" t="str">
        <f aca="false">IF($A52="","",IFERROR(SUMIFS('CRM ACTUALS'!$H$7:$H$2006,'CRM ACTUALS'!$D$7:$D$2006,$A52)/SUMIFS('CRM ACTUALS'!$F$7:$F$2006,'CRM ACTUALS'!$D$7:$D$2006,$A52),""))</f>
        <v/>
      </c>
      <c r="R52" s="28" t="str">
        <f aca="false">IF($A52="","",IFERROR(SUMIFS('CRM ACTUALS'!$J$7:$J$2006,'CRM ACTUALS'!$D$7:$D$2006,$A52)/SUMIFS('CRM ACTUALS'!$F$7:$F$2006,'CRM ACTUALS'!$D$7:$D$2006,$A52),""))</f>
        <v/>
      </c>
      <c r="S52" s="21" t="str">
        <f aca="false">IF(OR($Q52="",N($H52)=0),"",$H52/$Q52-1)</f>
        <v/>
      </c>
    </row>
    <row r="53" customFormat="false" ht="15" hidden="false" customHeight="false" outlineLevel="0" collapsed="false">
      <c r="A53" s="11"/>
      <c r="B53" s="11"/>
      <c r="C53" s="11"/>
      <c r="D53" s="11"/>
      <c r="E53" s="36"/>
      <c r="F53" s="11"/>
      <c r="G53" s="37"/>
      <c r="H53" s="38"/>
      <c r="I53" s="37"/>
      <c r="J53" s="36"/>
      <c r="K53" s="11" t="s">
        <v>224</v>
      </c>
      <c r="L53" s="29" t="n">
        <f aca="false">($E53*$G53+$I53)*(1+IF($K53="N",0,INPUTS!$C$23))</f>
        <v>0</v>
      </c>
      <c r="M53" s="39" t="n">
        <f aca="false">$E53*$H53+$J53</f>
        <v>0</v>
      </c>
      <c r="N53" s="29" t="n">
        <f aca="false">$M53*IF(OR($B53="V",$B53="AC"),'LABOUR RATES'!$E$26,'LABOUR RATES'!$E$11)</f>
        <v>0</v>
      </c>
      <c r="O53" s="29" t="n">
        <f aca="false">$M53*IF(OR($B53="V",$B53="AC"),'LABOUR RATES'!$C$27,'LABOUR RATES'!$C$12)</f>
        <v>0</v>
      </c>
      <c r="P53" s="40" t="n">
        <f aca="false">$L53+$N53+$O53</f>
        <v>0</v>
      </c>
      <c r="Q53" s="41" t="str">
        <f aca="false">IF($A53="","",IFERROR(SUMIFS('CRM ACTUALS'!$H$7:$H$2006,'CRM ACTUALS'!$D$7:$D$2006,$A53)/SUMIFS('CRM ACTUALS'!$F$7:$F$2006,'CRM ACTUALS'!$D$7:$D$2006,$A53),""))</f>
        <v/>
      </c>
      <c r="R53" s="28" t="str">
        <f aca="false">IF($A53="","",IFERROR(SUMIFS('CRM ACTUALS'!$J$7:$J$2006,'CRM ACTUALS'!$D$7:$D$2006,$A53)/SUMIFS('CRM ACTUALS'!$F$7:$F$2006,'CRM ACTUALS'!$D$7:$D$2006,$A53),""))</f>
        <v/>
      </c>
      <c r="S53" s="21" t="str">
        <f aca="false">IF(OR($Q53="",N($H53)=0),"",$H53/$Q53-1)</f>
        <v/>
      </c>
    </row>
    <row r="54" customFormat="false" ht="15" hidden="false" customHeight="false" outlineLevel="0" collapsed="false">
      <c r="A54" s="11"/>
      <c r="B54" s="11"/>
      <c r="C54" s="11"/>
      <c r="D54" s="11"/>
      <c r="E54" s="36"/>
      <c r="F54" s="11"/>
      <c r="G54" s="37"/>
      <c r="H54" s="38"/>
      <c r="I54" s="37"/>
      <c r="J54" s="36"/>
      <c r="K54" s="11" t="s">
        <v>224</v>
      </c>
      <c r="L54" s="29" t="n">
        <f aca="false">($E54*$G54+$I54)*(1+IF($K54="N",0,INPUTS!$C$23))</f>
        <v>0</v>
      </c>
      <c r="M54" s="39" t="n">
        <f aca="false">$E54*$H54+$J54</f>
        <v>0</v>
      </c>
      <c r="N54" s="29" t="n">
        <f aca="false">$M54*IF(OR($B54="V",$B54="AC"),'LABOUR RATES'!$E$26,'LABOUR RATES'!$E$11)</f>
        <v>0</v>
      </c>
      <c r="O54" s="29" t="n">
        <f aca="false">$M54*IF(OR($B54="V",$B54="AC"),'LABOUR RATES'!$C$27,'LABOUR RATES'!$C$12)</f>
        <v>0</v>
      </c>
      <c r="P54" s="40" t="n">
        <f aca="false">$L54+$N54+$O54</f>
        <v>0</v>
      </c>
      <c r="Q54" s="41" t="str">
        <f aca="false">IF($A54="","",IFERROR(SUMIFS('CRM ACTUALS'!$H$7:$H$2006,'CRM ACTUALS'!$D$7:$D$2006,$A54)/SUMIFS('CRM ACTUALS'!$F$7:$F$2006,'CRM ACTUALS'!$D$7:$D$2006,$A54),""))</f>
        <v/>
      </c>
      <c r="R54" s="28" t="str">
        <f aca="false">IF($A54="","",IFERROR(SUMIFS('CRM ACTUALS'!$J$7:$J$2006,'CRM ACTUALS'!$D$7:$D$2006,$A54)/SUMIFS('CRM ACTUALS'!$F$7:$F$2006,'CRM ACTUALS'!$D$7:$D$2006,$A54),""))</f>
        <v/>
      </c>
      <c r="S54" s="21" t="str">
        <f aca="false">IF(OR($Q54="",N($H54)=0),"",$H54/$Q54-1)</f>
        <v/>
      </c>
    </row>
    <row r="55" customFormat="false" ht="15" hidden="false" customHeight="false" outlineLevel="0" collapsed="false">
      <c r="A55" s="11"/>
      <c r="B55" s="11"/>
      <c r="C55" s="11"/>
      <c r="D55" s="11"/>
      <c r="E55" s="36"/>
      <c r="F55" s="11"/>
      <c r="G55" s="37"/>
      <c r="H55" s="38"/>
      <c r="I55" s="37"/>
      <c r="J55" s="36"/>
      <c r="K55" s="11" t="s">
        <v>224</v>
      </c>
      <c r="L55" s="29" t="n">
        <f aca="false">($E55*$G55+$I55)*(1+IF($K55="N",0,INPUTS!$C$23))</f>
        <v>0</v>
      </c>
      <c r="M55" s="39" t="n">
        <f aca="false">$E55*$H55+$J55</f>
        <v>0</v>
      </c>
      <c r="N55" s="29" t="n">
        <f aca="false">$M55*IF(OR($B55="V",$B55="AC"),'LABOUR RATES'!$E$26,'LABOUR RATES'!$E$11)</f>
        <v>0</v>
      </c>
      <c r="O55" s="29" t="n">
        <f aca="false">$M55*IF(OR($B55="V",$B55="AC"),'LABOUR RATES'!$C$27,'LABOUR RATES'!$C$12)</f>
        <v>0</v>
      </c>
      <c r="P55" s="40" t="n">
        <f aca="false">$L55+$N55+$O55</f>
        <v>0</v>
      </c>
      <c r="Q55" s="41" t="str">
        <f aca="false">IF($A55="","",IFERROR(SUMIFS('CRM ACTUALS'!$H$7:$H$2006,'CRM ACTUALS'!$D$7:$D$2006,$A55)/SUMIFS('CRM ACTUALS'!$F$7:$F$2006,'CRM ACTUALS'!$D$7:$D$2006,$A55),""))</f>
        <v/>
      </c>
      <c r="R55" s="28" t="str">
        <f aca="false">IF($A55="","",IFERROR(SUMIFS('CRM ACTUALS'!$J$7:$J$2006,'CRM ACTUALS'!$D$7:$D$2006,$A55)/SUMIFS('CRM ACTUALS'!$F$7:$F$2006,'CRM ACTUALS'!$D$7:$D$2006,$A55),""))</f>
        <v/>
      </c>
      <c r="S55" s="21" t="str">
        <f aca="false">IF(OR($Q55="",N($H55)=0),"",$H55/$Q55-1)</f>
        <v/>
      </c>
    </row>
    <row r="56" customFormat="false" ht="15" hidden="false" customHeight="false" outlineLevel="0" collapsed="false">
      <c r="A56" s="11"/>
      <c r="B56" s="11"/>
      <c r="C56" s="11"/>
      <c r="D56" s="11"/>
      <c r="E56" s="36"/>
      <c r="F56" s="11"/>
      <c r="G56" s="37"/>
      <c r="H56" s="38"/>
      <c r="I56" s="37"/>
      <c r="J56" s="36"/>
      <c r="K56" s="11" t="s">
        <v>224</v>
      </c>
      <c r="L56" s="29" t="n">
        <f aca="false">($E56*$G56+$I56)*(1+IF($K56="N",0,INPUTS!$C$23))</f>
        <v>0</v>
      </c>
      <c r="M56" s="39" t="n">
        <f aca="false">$E56*$H56+$J56</f>
        <v>0</v>
      </c>
      <c r="N56" s="29" t="n">
        <f aca="false">$M56*IF(OR($B56="V",$B56="AC"),'LABOUR RATES'!$E$26,'LABOUR RATES'!$E$11)</f>
        <v>0</v>
      </c>
      <c r="O56" s="29" t="n">
        <f aca="false">$M56*IF(OR($B56="V",$B56="AC"),'LABOUR RATES'!$C$27,'LABOUR RATES'!$C$12)</f>
        <v>0</v>
      </c>
      <c r="P56" s="40" t="n">
        <f aca="false">$L56+$N56+$O56</f>
        <v>0</v>
      </c>
      <c r="Q56" s="41" t="str">
        <f aca="false">IF($A56="","",IFERROR(SUMIFS('CRM ACTUALS'!$H$7:$H$2006,'CRM ACTUALS'!$D$7:$D$2006,$A56)/SUMIFS('CRM ACTUALS'!$F$7:$F$2006,'CRM ACTUALS'!$D$7:$D$2006,$A56),""))</f>
        <v/>
      </c>
      <c r="R56" s="28" t="str">
        <f aca="false">IF($A56="","",IFERROR(SUMIFS('CRM ACTUALS'!$J$7:$J$2006,'CRM ACTUALS'!$D$7:$D$2006,$A56)/SUMIFS('CRM ACTUALS'!$F$7:$F$2006,'CRM ACTUALS'!$D$7:$D$2006,$A56),""))</f>
        <v/>
      </c>
      <c r="S56" s="21" t="str">
        <f aca="false">IF(OR($Q56="",N($H56)=0),"",$H56/$Q56-1)</f>
        <v/>
      </c>
    </row>
    <row r="57" customFormat="false" ht="15" hidden="false" customHeight="false" outlineLevel="0" collapsed="false">
      <c r="A57" s="11"/>
      <c r="B57" s="11"/>
      <c r="C57" s="11"/>
      <c r="D57" s="11"/>
      <c r="E57" s="36"/>
      <c r="F57" s="11"/>
      <c r="G57" s="37"/>
      <c r="H57" s="38"/>
      <c r="I57" s="37"/>
      <c r="J57" s="36"/>
      <c r="K57" s="11" t="s">
        <v>224</v>
      </c>
      <c r="L57" s="29" t="n">
        <f aca="false">($E57*$G57+$I57)*(1+IF($K57="N",0,INPUTS!$C$23))</f>
        <v>0</v>
      </c>
      <c r="M57" s="39" t="n">
        <f aca="false">$E57*$H57+$J57</f>
        <v>0</v>
      </c>
      <c r="N57" s="29" t="n">
        <f aca="false">$M57*IF(OR($B57="V",$B57="AC"),'LABOUR RATES'!$E$26,'LABOUR RATES'!$E$11)</f>
        <v>0</v>
      </c>
      <c r="O57" s="29" t="n">
        <f aca="false">$M57*IF(OR($B57="V",$B57="AC"),'LABOUR RATES'!$C$27,'LABOUR RATES'!$C$12)</f>
        <v>0</v>
      </c>
      <c r="P57" s="40" t="n">
        <f aca="false">$L57+$N57+$O57</f>
        <v>0</v>
      </c>
      <c r="Q57" s="41" t="str">
        <f aca="false">IF($A57="","",IFERROR(SUMIFS('CRM ACTUALS'!$H$7:$H$2006,'CRM ACTUALS'!$D$7:$D$2006,$A57)/SUMIFS('CRM ACTUALS'!$F$7:$F$2006,'CRM ACTUALS'!$D$7:$D$2006,$A57),""))</f>
        <v/>
      </c>
      <c r="R57" s="28" t="str">
        <f aca="false">IF($A57="","",IFERROR(SUMIFS('CRM ACTUALS'!$J$7:$J$2006,'CRM ACTUALS'!$D$7:$D$2006,$A57)/SUMIFS('CRM ACTUALS'!$F$7:$F$2006,'CRM ACTUALS'!$D$7:$D$2006,$A57),""))</f>
        <v/>
      </c>
      <c r="S57" s="21" t="str">
        <f aca="false">IF(OR($Q57="",N($H57)=0),"",$H57/$Q57-1)</f>
        <v/>
      </c>
    </row>
    <row r="58" customFormat="false" ht="15" hidden="false" customHeight="false" outlineLevel="0" collapsed="false">
      <c r="A58" s="11"/>
      <c r="B58" s="11"/>
      <c r="C58" s="11"/>
      <c r="D58" s="11"/>
      <c r="E58" s="36"/>
      <c r="F58" s="11"/>
      <c r="G58" s="37"/>
      <c r="H58" s="38"/>
      <c r="I58" s="37"/>
      <c r="J58" s="36"/>
      <c r="K58" s="11" t="s">
        <v>224</v>
      </c>
      <c r="L58" s="29" t="n">
        <f aca="false">($E58*$G58+$I58)*(1+IF($K58="N",0,INPUTS!$C$23))</f>
        <v>0</v>
      </c>
      <c r="M58" s="39" t="n">
        <f aca="false">$E58*$H58+$J58</f>
        <v>0</v>
      </c>
      <c r="N58" s="29" t="n">
        <f aca="false">$M58*IF(OR($B58="V",$B58="AC"),'LABOUR RATES'!$E$26,'LABOUR RATES'!$E$11)</f>
        <v>0</v>
      </c>
      <c r="O58" s="29" t="n">
        <f aca="false">$M58*IF(OR($B58="V",$B58="AC"),'LABOUR RATES'!$C$27,'LABOUR RATES'!$C$12)</f>
        <v>0</v>
      </c>
      <c r="P58" s="40" t="n">
        <f aca="false">$L58+$N58+$O58</f>
        <v>0</v>
      </c>
      <c r="Q58" s="41" t="str">
        <f aca="false">IF($A58="","",IFERROR(SUMIFS('CRM ACTUALS'!$H$7:$H$2006,'CRM ACTUALS'!$D$7:$D$2006,$A58)/SUMIFS('CRM ACTUALS'!$F$7:$F$2006,'CRM ACTUALS'!$D$7:$D$2006,$A58),""))</f>
        <v/>
      </c>
      <c r="R58" s="28" t="str">
        <f aca="false">IF($A58="","",IFERROR(SUMIFS('CRM ACTUALS'!$J$7:$J$2006,'CRM ACTUALS'!$D$7:$D$2006,$A58)/SUMIFS('CRM ACTUALS'!$F$7:$F$2006,'CRM ACTUALS'!$D$7:$D$2006,$A58),""))</f>
        <v/>
      </c>
      <c r="S58" s="21" t="str">
        <f aca="false">IF(OR($Q58="",N($H58)=0),"",$H58/$Q58-1)</f>
        <v/>
      </c>
    </row>
    <row r="59" customFormat="false" ht="15" hidden="false" customHeight="false" outlineLevel="0" collapsed="false">
      <c r="A59" s="11"/>
      <c r="B59" s="11"/>
      <c r="C59" s="11"/>
      <c r="D59" s="11"/>
      <c r="E59" s="36"/>
      <c r="F59" s="11"/>
      <c r="G59" s="37"/>
      <c r="H59" s="38"/>
      <c r="I59" s="37"/>
      <c r="J59" s="36"/>
      <c r="K59" s="11" t="s">
        <v>224</v>
      </c>
      <c r="L59" s="29" t="n">
        <f aca="false">($E59*$G59+$I59)*(1+IF($K59="N",0,INPUTS!$C$23))</f>
        <v>0</v>
      </c>
      <c r="M59" s="39" t="n">
        <f aca="false">$E59*$H59+$J59</f>
        <v>0</v>
      </c>
      <c r="N59" s="29" t="n">
        <f aca="false">$M59*IF(OR($B59="V",$B59="AC"),'LABOUR RATES'!$E$26,'LABOUR RATES'!$E$11)</f>
        <v>0</v>
      </c>
      <c r="O59" s="29" t="n">
        <f aca="false">$M59*IF(OR($B59="V",$B59="AC"),'LABOUR RATES'!$C$27,'LABOUR RATES'!$C$12)</f>
        <v>0</v>
      </c>
      <c r="P59" s="40" t="n">
        <f aca="false">$L59+$N59+$O59</f>
        <v>0</v>
      </c>
      <c r="Q59" s="41" t="str">
        <f aca="false">IF($A59="","",IFERROR(SUMIFS('CRM ACTUALS'!$H$7:$H$2006,'CRM ACTUALS'!$D$7:$D$2006,$A59)/SUMIFS('CRM ACTUALS'!$F$7:$F$2006,'CRM ACTUALS'!$D$7:$D$2006,$A59),""))</f>
        <v/>
      </c>
      <c r="R59" s="28" t="str">
        <f aca="false">IF($A59="","",IFERROR(SUMIFS('CRM ACTUALS'!$J$7:$J$2006,'CRM ACTUALS'!$D$7:$D$2006,$A59)/SUMIFS('CRM ACTUALS'!$F$7:$F$2006,'CRM ACTUALS'!$D$7:$D$2006,$A59),""))</f>
        <v/>
      </c>
      <c r="S59" s="21" t="str">
        <f aca="false">IF(OR($Q59="",N($H59)=0),"",$H59/$Q59-1)</f>
        <v/>
      </c>
    </row>
    <row r="60" customFormat="false" ht="15" hidden="false" customHeight="false" outlineLevel="0" collapsed="false">
      <c r="A60" s="11"/>
      <c r="B60" s="11"/>
      <c r="C60" s="11"/>
      <c r="D60" s="11"/>
      <c r="E60" s="36"/>
      <c r="F60" s="11"/>
      <c r="G60" s="37"/>
      <c r="H60" s="38"/>
      <c r="I60" s="37"/>
      <c r="J60" s="36"/>
      <c r="K60" s="11" t="s">
        <v>224</v>
      </c>
      <c r="L60" s="29" t="n">
        <f aca="false">($E60*$G60+$I60)*(1+IF($K60="N",0,INPUTS!$C$23))</f>
        <v>0</v>
      </c>
      <c r="M60" s="39" t="n">
        <f aca="false">$E60*$H60+$J60</f>
        <v>0</v>
      </c>
      <c r="N60" s="29" t="n">
        <f aca="false">$M60*IF(OR($B60="V",$B60="AC"),'LABOUR RATES'!$E$26,'LABOUR RATES'!$E$11)</f>
        <v>0</v>
      </c>
      <c r="O60" s="29" t="n">
        <f aca="false">$M60*IF(OR($B60="V",$B60="AC"),'LABOUR RATES'!$C$27,'LABOUR RATES'!$C$12)</f>
        <v>0</v>
      </c>
      <c r="P60" s="40" t="n">
        <f aca="false">$L60+$N60+$O60</f>
        <v>0</v>
      </c>
      <c r="Q60" s="41" t="str">
        <f aca="false">IF($A60="","",IFERROR(SUMIFS('CRM ACTUALS'!$H$7:$H$2006,'CRM ACTUALS'!$D$7:$D$2006,$A60)/SUMIFS('CRM ACTUALS'!$F$7:$F$2006,'CRM ACTUALS'!$D$7:$D$2006,$A60),""))</f>
        <v/>
      </c>
      <c r="R60" s="28" t="str">
        <f aca="false">IF($A60="","",IFERROR(SUMIFS('CRM ACTUALS'!$J$7:$J$2006,'CRM ACTUALS'!$D$7:$D$2006,$A60)/SUMIFS('CRM ACTUALS'!$F$7:$F$2006,'CRM ACTUALS'!$D$7:$D$2006,$A60),""))</f>
        <v/>
      </c>
      <c r="S60" s="21" t="str">
        <f aca="false">IF(OR($Q60="",N($H60)=0),"",$H60/$Q60-1)</f>
        <v/>
      </c>
    </row>
    <row r="61" customFormat="false" ht="15" hidden="false" customHeight="false" outlineLevel="0" collapsed="false">
      <c r="A61" s="11"/>
      <c r="B61" s="11"/>
      <c r="C61" s="11"/>
      <c r="D61" s="11"/>
      <c r="E61" s="36"/>
      <c r="F61" s="11"/>
      <c r="G61" s="37"/>
      <c r="H61" s="38"/>
      <c r="I61" s="37"/>
      <c r="J61" s="36"/>
      <c r="K61" s="11" t="s">
        <v>224</v>
      </c>
      <c r="L61" s="29" t="n">
        <f aca="false">($E61*$G61+$I61)*(1+IF($K61="N",0,INPUTS!$C$23))</f>
        <v>0</v>
      </c>
      <c r="M61" s="39" t="n">
        <f aca="false">$E61*$H61+$J61</f>
        <v>0</v>
      </c>
      <c r="N61" s="29" t="n">
        <f aca="false">$M61*IF(OR($B61="V",$B61="AC"),'LABOUR RATES'!$E$26,'LABOUR RATES'!$E$11)</f>
        <v>0</v>
      </c>
      <c r="O61" s="29" t="n">
        <f aca="false">$M61*IF(OR($B61="V",$B61="AC"),'LABOUR RATES'!$C$27,'LABOUR RATES'!$C$12)</f>
        <v>0</v>
      </c>
      <c r="P61" s="40" t="n">
        <f aca="false">$L61+$N61+$O61</f>
        <v>0</v>
      </c>
      <c r="Q61" s="41" t="str">
        <f aca="false">IF($A61="","",IFERROR(SUMIFS('CRM ACTUALS'!$H$7:$H$2006,'CRM ACTUALS'!$D$7:$D$2006,$A61)/SUMIFS('CRM ACTUALS'!$F$7:$F$2006,'CRM ACTUALS'!$D$7:$D$2006,$A61),""))</f>
        <v/>
      </c>
      <c r="R61" s="28" t="str">
        <f aca="false">IF($A61="","",IFERROR(SUMIFS('CRM ACTUALS'!$J$7:$J$2006,'CRM ACTUALS'!$D$7:$D$2006,$A61)/SUMIFS('CRM ACTUALS'!$F$7:$F$2006,'CRM ACTUALS'!$D$7:$D$2006,$A61),""))</f>
        <v/>
      </c>
      <c r="S61" s="21" t="str">
        <f aca="false">IF(OR($Q61="",N($H61)=0),"",$H61/$Q61-1)</f>
        <v/>
      </c>
    </row>
    <row r="62" customFormat="false" ht="15" hidden="false" customHeight="false" outlineLevel="0" collapsed="false">
      <c r="A62" s="11"/>
      <c r="B62" s="11"/>
      <c r="C62" s="11"/>
      <c r="D62" s="11"/>
      <c r="E62" s="36"/>
      <c r="F62" s="11"/>
      <c r="G62" s="37"/>
      <c r="H62" s="38"/>
      <c r="I62" s="37"/>
      <c r="J62" s="36"/>
      <c r="K62" s="11" t="s">
        <v>224</v>
      </c>
      <c r="L62" s="29" t="n">
        <f aca="false">($E62*$G62+$I62)*(1+IF($K62="N",0,INPUTS!$C$23))</f>
        <v>0</v>
      </c>
      <c r="M62" s="39" t="n">
        <f aca="false">$E62*$H62+$J62</f>
        <v>0</v>
      </c>
      <c r="N62" s="29" t="n">
        <f aca="false">$M62*IF(OR($B62="V",$B62="AC"),'LABOUR RATES'!$E$26,'LABOUR RATES'!$E$11)</f>
        <v>0</v>
      </c>
      <c r="O62" s="29" t="n">
        <f aca="false">$M62*IF(OR($B62="V",$B62="AC"),'LABOUR RATES'!$C$27,'LABOUR RATES'!$C$12)</f>
        <v>0</v>
      </c>
      <c r="P62" s="40" t="n">
        <f aca="false">$L62+$N62+$O62</f>
        <v>0</v>
      </c>
      <c r="Q62" s="41" t="str">
        <f aca="false">IF($A62="","",IFERROR(SUMIFS('CRM ACTUALS'!$H$7:$H$2006,'CRM ACTUALS'!$D$7:$D$2006,$A62)/SUMIFS('CRM ACTUALS'!$F$7:$F$2006,'CRM ACTUALS'!$D$7:$D$2006,$A62),""))</f>
        <v/>
      </c>
      <c r="R62" s="28" t="str">
        <f aca="false">IF($A62="","",IFERROR(SUMIFS('CRM ACTUALS'!$J$7:$J$2006,'CRM ACTUALS'!$D$7:$D$2006,$A62)/SUMIFS('CRM ACTUALS'!$F$7:$F$2006,'CRM ACTUALS'!$D$7:$D$2006,$A62),""))</f>
        <v/>
      </c>
      <c r="S62" s="21" t="str">
        <f aca="false">IF(OR($Q62="",N($H62)=0),"",$H62/$Q62-1)</f>
        <v/>
      </c>
    </row>
    <row r="63" customFormat="false" ht="15" hidden="false" customHeight="false" outlineLevel="0" collapsed="false">
      <c r="A63" s="11"/>
      <c r="B63" s="11"/>
      <c r="C63" s="11"/>
      <c r="D63" s="11"/>
      <c r="E63" s="36"/>
      <c r="F63" s="11"/>
      <c r="G63" s="37"/>
      <c r="H63" s="38"/>
      <c r="I63" s="37"/>
      <c r="J63" s="36"/>
      <c r="K63" s="11" t="s">
        <v>224</v>
      </c>
      <c r="L63" s="29" t="n">
        <f aca="false">($E63*$G63+$I63)*(1+IF($K63="N",0,INPUTS!$C$23))</f>
        <v>0</v>
      </c>
      <c r="M63" s="39" t="n">
        <f aca="false">$E63*$H63+$J63</f>
        <v>0</v>
      </c>
      <c r="N63" s="29" t="n">
        <f aca="false">$M63*IF(OR($B63="V",$B63="AC"),'LABOUR RATES'!$E$26,'LABOUR RATES'!$E$11)</f>
        <v>0</v>
      </c>
      <c r="O63" s="29" t="n">
        <f aca="false">$M63*IF(OR($B63="V",$B63="AC"),'LABOUR RATES'!$C$27,'LABOUR RATES'!$C$12)</f>
        <v>0</v>
      </c>
      <c r="P63" s="40" t="n">
        <f aca="false">$L63+$N63+$O63</f>
        <v>0</v>
      </c>
      <c r="Q63" s="41" t="str">
        <f aca="false">IF($A63="","",IFERROR(SUMIFS('CRM ACTUALS'!$H$7:$H$2006,'CRM ACTUALS'!$D$7:$D$2006,$A63)/SUMIFS('CRM ACTUALS'!$F$7:$F$2006,'CRM ACTUALS'!$D$7:$D$2006,$A63),""))</f>
        <v/>
      </c>
      <c r="R63" s="28" t="str">
        <f aca="false">IF($A63="","",IFERROR(SUMIFS('CRM ACTUALS'!$J$7:$J$2006,'CRM ACTUALS'!$D$7:$D$2006,$A63)/SUMIFS('CRM ACTUALS'!$F$7:$F$2006,'CRM ACTUALS'!$D$7:$D$2006,$A63),""))</f>
        <v/>
      </c>
      <c r="S63" s="21" t="str">
        <f aca="false">IF(OR($Q63="",N($H63)=0),"",$H63/$Q63-1)</f>
        <v/>
      </c>
    </row>
    <row r="64" customFormat="false" ht="15" hidden="false" customHeight="false" outlineLevel="0" collapsed="false">
      <c r="A64" s="11"/>
      <c r="B64" s="11"/>
      <c r="C64" s="11"/>
      <c r="D64" s="11"/>
      <c r="E64" s="36"/>
      <c r="F64" s="11"/>
      <c r="G64" s="37"/>
      <c r="H64" s="38"/>
      <c r="I64" s="37"/>
      <c r="J64" s="36"/>
      <c r="K64" s="11" t="s">
        <v>224</v>
      </c>
      <c r="L64" s="29" t="n">
        <f aca="false">($E64*$G64+$I64)*(1+IF($K64="N",0,INPUTS!$C$23))</f>
        <v>0</v>
      </c>
      <c r="M64" s="39" t="n">
        <f aca="false">$E64*$H64+$J64</f>
        <v>0</v>
      </c>
      <c r="N64" s="29" t="n">
        <f aca="false">$M64*IF(OR($B64="V",$B64="AC"),'LABOUR RATES'!$E$26,'LABOUR RATES'!$E$11)</f>
        <v>0</v>
      </c>
      <c r="O64" s="29" t="n">
        <f aca="false">$M64*IF(OR($B64="V",$B64="AC"),'LABOUR RATES'!$C$27,'LABOUR RATES'!$C$12)</f>
        <v>0</v>
      </c>
      <c r="P64" s="40" t="n">
        <f aca="false">$L64+$N64+$O64</f>
        <v>0</v>
      </c>
      <c r="Q64" s="41" t="str">
        <f aca="false">IF($A64="","",IFERROR(SUMIFS('CRM ACTUALS'!$H$7:$H$2006,'CRM ACTUALS'!$D$7:$D$2006,$A64)/SUMIFS('CRM ACTUALS'!$F$7:$F$2006,'CRM ACTUALS'!$D$7:$D$2006,$A64),""))</f>
        <v/>
      </c>
      <c r="R64" s="28" t="str">
        <f aca="false">IF($A64="","",IFERROR(SUMIFS('CRM ACTUALS'!$J$7:$J$2006,'CRM ACTUALS'!$D$7:$D$2006,$A64)/SUMIFS('CRM ACTUALS'!$F$7:$F$2006,'CRM ACTUALS'!$D$7:$D$2006,$A64),""))</f>
        <v/>
      </c>
      <c r="S64" s="21" t="str">
        <f aca="false">IF(OR($Q64="",N($H64)=0),"",$H64/$Q64-1)</f>
        <v/>
      </c>
    </row>
    <row r="65" customFormat="false" ht="15" hidden="false" customHeight="false" outlineLevel="0" collapsed="false">
      <c r="A65" s="11"/>
      <c r="B65" s="11"/>
      <c r="C65" s="11"/>
      <c r="D65" s="11"/>
      <c r="E65" s="36"/>
      <c r="F65" s="11"/>
      <c r="G65" s="37"/>
      <c r="H65" s="38"/>
      <c r="I65" s="37"/>
      <c r="J65" s="36"/>
      <c r="K65" s="11" t="s">
        <v>224</v>
      </c>
      <c r="L65" s="29" t="n">
        <f aca="false">($E65*$G65+$I65)*(1+IF($K65="N",0,INPUTS!$C$23))</f>
        <v>0</v>
      </c>
      <c r="M65" s="39" t="n">
        <f aca="false">$E65*$H65+$J65</f>
        <v>0</v>
      </c>
      <c r="N65" s="29" t="n">
        <f aca="false">$M65*IF(OR($B65="V",$B65="AC"),'LABOUR RATES'!$E$26,'LABOUR RATES'!$E$11)</f>
        <v>0</v>
      </c>
      <c r="O65" s="29" t="n">
        <f aca="false">$M65*IF(OR($B65="V",$B65="AC"),'LABOUR RATES'!$C$27,'LABOUR RATES'!$C$12)</f>
        <v>0</v>
      </c>
      <c r="P65" s="40" t="n">
        <f aca="false">$L65+$N65+$O65</f>
        <v>0</v>
      </c>
      <c r="Q65" s="41" t="str">
        <f aca="false">IF($A65="","",IFERROR(SUMIFS('CRM ACTUALS'!$H$7:$H$2006,'CRM ACTUALS'!$D$7:$D$2006,$A65)/SUMIFS('CRM ACTUALS'!$F$7:$F$2006,'CRM ACTUALS'!$D$7:$D$2006,$A65),""))</f>
        <v/>
      </c>
      <c r="R65" s="28" t="str">
        <f aca="false">IF($A65="","",IFERROR(SUMIFS('CRM ACTUALS'!$J$7:$J$2006,'CRM ACTUALS'!$D$7:$D$2006,$A65)/SUMIFS('CRM ACTUALS'!$F$7:$F$2006,'CRM ACTUALS'!$D$7:$D$2006,$A65),""))</f>
        <v/>
      </c>
      <c r="S65" s="21" t="str">
        <f aca="false">IF(OR($Q65="",N($H65)=0),"",$H65/$Q65-1)</f>
        <v/>
      </c>
    </row>
    <row r="66" customFormat="false" ht="15" hidden="false" customHeight="false" outlineLevel="0" collapsed="false">
      <c r="A66" s="11"/>
      <c r="B66" s="11"/>
      <c r="C66" s="11"/>
      <c r="D66" s="11"/>
      <c r="E66" s="36"/>
      <c r="F66" s="11"/>
      <c r="G66" s="37"/>
      <c r="H66" s="38"/>
      <c r="I66" s="37"/>
      <c r="J66" s="36"/>
      <c r="K66" s="11" t="s">
        <v>224</v>
      </c>
      <c r="L66" s="29" t="n">
        <f aca="false">($E66*$G66+$I66)*(1+IF($K66="N",0,INPUTS!$C$23))</f>
        <v>0</v>
      </c>
      <c r="M66" s="39" t="n">
        <f aca="false">$E66*$H66+$J66</f>
        <v>0</v>
      </c>
      <c r="N66" s="29" t="n">
        <f aca="false">$M66*IF(OR($B66="V",$B66="AC"),'LABOUR RATES'!$E$26,'LABOUR RATES'!$E$11)</f>
        <v>0</v>
      </c>
      <c r="O66" s="29" t="n">
        <f aca="false">$M66*IF(OR($B66="V",$B66="AC"),'LABOUR RATES'!$C$27,'LABOUR RATES'!$C$12)</f>
        <v>0</v>
      </c>
      <c r="P66" s="40" t="n">
        <f aca="false">$L66+$N66+$O66</f>
        <v>0</v>
      </c>
      <c r="Q66" s="41" t="str">
        <f aca="false">IF($A66="","",IFERROR(SUMIFS('CRM ACTUALS'!$H$7:$H$2006,'CRM ACTUALS'!$D$7:$D$2006,$A66)/SUMIFS('CRM ACTUALS'!$F$7:$F$2006,'CRM ACTUALS'!$D$7:$D$2006,$A66),""))</f>
        <v/>
      </c>
      <c r="R66" s="28" t="str">
        <f aca="false">IF($A66="","",IFERROR(SUMIFS('CRM ACTUALS'!$J$7:$J$2006,'CRM ACTUALS'!$D$7:$D$2006,$A66)/SUMIFS('CRM ACTUALS'!$F$7:$F$2006,'CRM ACTUALS'!$D$7:$D$2006,$A66),""))</f>
        <v/>
      </c>
      <c r="S66" s="21" t="str">
        <f aca="false">IF(OR($Q66="",N($H66)=0),"",$H66/$Q66-1)</f>
        <v/>
      </c>
    </row>
    <row r="67" customFormat="false" ht="15" hidden="false" customHeight="false" outlineLevel="0" collapsed="false">
      <c r="A67" s="11"/>
      <c r="B67" s="11"/>
      <c r="C67" s="11"/>
      <c r="D67" s="11"/>
      <c r="E67" s="36"/>
      <c r="F67" s="11"/>
      <c r="G67" s="37"/>
      <c r="H67" s="38"/>
      <c r="I67" s="37"/>
      <c r="J67" s="36"/>
      <c r="K67" s="11" t="s">
        <v>224</v>
      </c>
      <c r="L67" s="29" t="n">
        <f aca="false">($E67*$G67+$I67)*(1+IF($K67="N",0,INPUTS!$C$23))</f>
        <v>0</v>
      </c>
      <c r="M67" s="39" t="n">
        <f aca="false">$E67*$H67+$J67</f>
        <v>0</v>
      </c>
      <c r="N67" s="29" t="n">
        <f aca="false">$M67*IF(OR($B67="V",$B67="AC"),'LABOUR RATES'!$E$26,'LABOUR RATES'!$E$11)</f>
        <v>0</v>
      </c>
      <c r="O67" s="29" t="n">
        <f aca="false">$M67*IF(OR($B67="V",$B67="AC"),'LABOUR RATES'!$C$27,'LABOUR RATES'!$C$12)</f>
        <v>0</v>
      </c>
      <c r="P67" s="40" t="n">
        <f aca="false">$L67+$N67+$O67</f>
        <v>0</v>
      </c>
      <c r="Q67" s="41" t="str">
        <f aca="false">IF($A67="","",IFERROR(SUMIFS('CRM ACTUALS'!$H$7:$H$2006,'CRM ACTUALS'!$D$7:$D$2006,$A67)/SUMIFS('CRM ACTUALS'!$F$7:$F$2006,'CRM ACTUALS'!$D$7:$D$2006,$A67),""))</f>
        <v/>
      </c>
      <c r="R67" s="28" t="str">
        <f aca="false">IF($A67="","",IFERROR(SUMIFS('CRM ACTUALS'!$J$7:$J$2006,'CRM ACTUALS'!$D$7:$D$2006,$A67)/SUMIFS('CRM ACTUALS'!$F$7:$F$2006,'CRM ACTUALS'!$D$7:$D$2006,$A67),""))</f>
        <v/>
      </c>
      <c r="S67" s="21" t="str">
        <f aca="false">IF(OR($Q67="",N($H67)=0),"",$H67/$Q67-1)</f>
        <v/>
      </c>
    </row>
    <row r="68" customFormat="false" ht="15" hidden="false" customHeight="false" outlineLevel="0" collapsed="false">
      <c r="A68" s="11"/>
      <c r="B68" s="11"/>
      <c r="C68" s="11"/>
      <c r="D68" s="11"/>
      <c r="E68" s="36"/>
      <c r="F68" s="11"/>
      <c r="G68" s="37"/>
      <c r="H68" s="38"/>
      <c r="I68" s="37"/>
      <c r="J68" s="36"/>
      <c r="K68" s="11" t="s">
        <v>224</v>
      </c>
      <c r="L68" s="29" t="n">
        <f aca="false">($E68*$G68+$I68)*(1+IF($K68="N",0,INPUTS!$C$23))</f>
        <v>0</v>
      </c>
      <c r="M68" s="39" t="n">
        <f aca="false">$E68*$H68+$J68</f>
        <v>0</v>
      </c>
      <c r="N68" s="29" t="n">
        <f aca="false">$M68*IF(OR($B68="V",$B68="AC"),'LABOUR RATES'!$E$26,'LABOUR RATES'!$E$11)</f>
        <v>0</v>
      </c>
      <c r="O68" s="29" t="n">
        <f aca="false">$M68*IF(OR($B68="V",$B68="AC"),'LABOUR RATES'!$C$27,'LABOUR RATES'!$C$12)</f>
        <v>0</v>
      </c>
      <c r="P68" s="40" t="n">
        <f aca="false">$L68+$N68+$O68</f>
        <v>0</v>
      </c>
      <c r="Q68" s="41" t="str">
        <f aca="false">IF($A68="","",IFERROR(SUMIFS('CRM ACTUALS'!$H$7:$H$2006,'CRM ACTUALS'!$D$7:$D$2006,$A68)/SUMIFS('CRM ACTUALS'!$F$7:$F$2006,'CRM ACTUALS'!$D$7:$D$2006,$A68),""))</f>
        <v/>
      </c>
      <c r="R68" s="28" t="str">
        <f aca="false">IF($A68="","",IFERROR(SUMIFS('CRM ACTUALS'!$J$7:$J$2006,'CRM ACTUALS'!$D$7:$D$2006,$A68)/SUMIFS('CRM ACTUALS'!$F$7:$F$2006,'CRM ACTUALS'!$D$7:$D$2006,$A68),""))</f>
        <v/>
      </c>
      <c r="S68" s="21" t="str">
        <f aca="false">IF(OR($Q68="",N($H68)=0),"",$H68/$Q68-1)</f>
        <v/>
      </c>
    </row>
    <row r="69" customFormat="false" ht="15" hidden="false" customHeight="false" outlineLevel="0" collapsed="false">
      <c r="A69" s="11"/>
      <c r="B69" s="11"/>
      <c r="C69" s="11"/>
      <c r="D69" s="11"/>
      <c r="E69" s="36"/>
      <c r="F69" s="11"/>
      <c r="G69" s="37"/>
      <c r="H69" s="38"/>
      <c r="I69" s="37"/>
      <c r="J69" s="36"/>
      <c r="K69" s="11" t="s">
        <v>224</v>
      </c>
      <c r="L69" s="29" t="n">
        <f aca="false">($E69*$G69+$I69)*(1+IF($K69="N",0,INPUTS!$C$23))</f>
        <v>0</v>
      </c>
      <c r="M69" s="39" t="n">
        <f aca="false">$E69*$H69+$J69</f>
        <v>0</v>
      </c>
      <c r="N69" s="29" t="n">
        <f aca="false">$M69*IF(OR($B69="V",$B69="AC"),'LABOUR RATES'!$E$26,'LABOUR RATES'!$E$11)</f>
        <v>0</v>
      </c>
      <c r="O69" s="29" t="n">
        <f aca="false">$M69*IF(OR($B69="V",$B69="AC"),'LABOUR RATES'!$C$27,'LABOUR RATES'!$C$12)</f>
        <v>0</v>
      </c>
      <c r="P69" s="40" t="n">
        <f aca="false">$L69+$N69+$O69</f>
        <v>0</v>
      </c>
      <c r="Q69" s="41" t="str">
        <f aca="false">IF($A69="","",IFERROR(SUMIFS('CRM ACTUALS'!$H$7:$H$2006,'CRM ACTUALS'!$D$7:$D$2006,$A69)/SUMIFS('CRM ACTUALS'!$F$7:$F$2006,'CRM ACTUALS'!$D$7:$D$2006,$A69),""))</f>
        <v/>
      </c>
      <c r="R69" s="28" t="str">
        <f aca="false">IF($A69="","",IFERROR(SUMIFS('CRM ACTUALS'!$J$7:$J$2006,'CRM ACTUALS'!$D$7:$D$2006,$A69)/SUMIFS('CRM ACTUALS'!$F$7:$F$2006,'CRM ACTUALS'!$D$7:$D$2006,$A69),""))</f>
        <v/>
      </c>
      <c r="S69" s="21" t="str">
        <f aca="false">IF(OR($Q69="",N($H69)=0),"",$H69/$Q69-1)</f>
        <v/>
      </c>
    </row>
    <row r="70" customFormat="false" ht="15" hidden="false" customHeight="false" outlineLevel="0" collapsed="false">
      <c r="A70" s="11"/>
      <c r="B70" s="11"/>
      <c r="C70" s="11"/>
      <c r="D70" s="11"/>
      <c r="E70" s="36"/>
      <c r="F70" s="11"/>
      <c r="G70" s="37"/>
      <c r="H70" s="38"/>
      <c r="I70" s="37"/>
      <c r="J70" s="36"/>
      <c r="K70" s="11" t="s">
        <v>224</v>
      </c>
      <c r="L70" s="29" t="n">
        <f aca="false">($E70*$G70+$I70)*(1+IF($K70="N",0,INPUTS!$C$23))</f>
        <v>0</v>
      </c>
      <c r="M70" s="39" t="n">
        <f aca="false">$E70*$H70+$J70</f>
        <v>0</v>
      </c>
      <c r="N70" s="29" t="n">
        <f aca="false">$M70*IF(OR($B70="V",$B70="AC"),'LABOUR RATES'!$E$26,'LABOUR RATES'!$E$11)</f>
        <v>0</v>
      </c>
      <c r="O70" s="29" t="n">
        <f aca="false">$M70*IF(OR($B70="V",$B70="AC"),'LABOUR RATES'!$C$27,'LABOUR RATES'!$C$12)</f>
        <v>0</v>
      </c>
      <c r="P70" s="40" t="n">
        <f aca="false">$L70+$N70+$O70</f>
        <v>0</v>
      </c>
      <c r="Q70" s="41" t="str">
        <f aca="false">IF($A70="","",IFERROR(SUMIFS('CRM ACTUALS'!$H$7:$H$2006,'CRM ACTUALS'!$D$7:$D$2006,$A70)/SUMIFS('CRM ACTUALS'!$F$7:$F$2006,'CRM ACTUALS'!$D$7:$D$2006,$A70),""))</f>
        <v/>
      </c>
      <c r="R70" s="28" t="str">
        <f aca="false">IF($A70="","",IFERROR(SUMIFS('CRM ACTUALS'!$J$7:$J$2006,'CRM ACTUALS'!$D$7:$D$2006,$A70)/SUMIFS('CRM ACTUALS'!$F$7:$F$2006,'CRM ACTUALS'!$D$7:$D$2006,$A70),""))</f>
        <v/>
      </c>
      <c r="S70" s="21" t="str">
        <f aca="false">IF(OR($Q70="",N($H70)=0),"",$H70/$Q70-1)</f>
        <v/>
      </c>
    </row>
    <row r="71" customFormat="false" ht="15" hidden="false" customHeight="false" outlineLevel="0" collapsed="false">
      <c r="A71" s="11"/>
      <c r="B71" s="11"/>
      <c r="C71" s="11"/>
      <c r="D71" s="11"/>
      <c r="E71" s="36"/>
      <c r="F71" s="11"/>
      <c r="G71" s="37"/>
      <c r="H71" s="38"/>
      <c r="I71" s="37"/>
      <c r="J71" s="36"/>
      <c r="K71" s="11" t="s">
        <v>224</v>
      </c>
      <c r="L71" s="29" t="n">
        <f aca="false">($E71*$G71+$I71)*(1+IF($K71="N",0,INPUTS!$C$23))</f>
        <v>0</v>
      </c>
      <c r="M71" s="39" t="n">
        <f aca="false">$E71*$H71+$J71</f>
        <v>0</v>
      </c>
      <c r="N71" s="29" t="n">
        <f aca="false">$M71*IF(OR($B71="V",$B71="AC"),'LABOUR RATES'!$E$26,'LABOUR RATES'!$E$11)</f>
        <v>0</v>
      </c>
      <c r="O71" s="29" t="n">
        <f aca="false">$M71*IF(OR($B71="V",$B71="AC"),'LABOUR RATES'!$C$27,'LABOUR RATES'!$C$12)</f>
        <v>0</v>
      </c>
      <c r="P71" s="40" t="n">
        <f aca="false">$L71+$N71+$O71</f>
        <v>0</v>
      </c>
      <c r="Q71" s="41" t="str">
        <f aca="false">IF($A71="","",IFERROR(SUMIFS('CRM ACTUALS'!$H$7:$H$2006,'CRM ACTUALS'!$D$7:$D$2006,$A71)/SUMIFS('CRM ACTUALS'!$F$7:$F$2006,'CRM ACTUALS'!$D$7:$D$2006,$A71),""))</f>
        <v/>
      </c>
      <c r="R71" s="28" t="str">
        <f aca="false">IF($A71="","",IFERROR(SUMIFS('CRM ACTUALS'!$J$7:$J$2006,'CRM ACTUALS'!$D$7:$D$2006,$A71)/SUMIFS('CRM ACTUALS'!$F$7:$F$2006,'CRM ACTUALS'!$D$7:$D$2006,$A71),""))</f>
        <v/>
      </c>
      <c r="S71" s="21" t="str">
        <f aca="false">IF(OR($Q71="",N($H71)=0),"",$H71/$Q71-1)</f>
        <v/>
      </c>
    </row>
    <row r="72" customFormat="false" ht="15" hidden="false" customHeight="false" outlineLevel="0" collapsed="false">
      <c r="A72" s="11"/>
      <c r="B72" s="11"/>
      <c r="C72" s="11"/>
      <c r="D72" s="11"/>
      <c r="E72" s="36"/>
      <c r="F72" s="11"/>
      <c r="G72" s="37"/>
      <c r="H72" s="38"/>
      <c r="I72" s="37"/>
      <c r="J72" s="36"/>
      <c r="K72" s="11" t="s">
        <v>224</v>
      </c>
      <c r="L72" s="29" t="n">
        <f aca="false">($E72*$G72+$I72)*(1+IF($K72="N",0,INPUTS!$C$23))</f>
        <v>0</v>
      </c>
      <c r="M72" s="39" t="n">
        <f aca="false">$E72*$H72+$J72</f>
        <v>0</v>
      </c>
      <c r="N72" s="29" t="n">
        <f aca="false">$M72*IF(OR($B72="V",$B72="AC"),'LABOUR RATES'!$E$26,'LABOUR RATES'!$E$11)</f>
        <v>0</v>
      </c>
      <c r="O72" s="29" t="n">
        <f aca="false">$M72*IF(OR($B72="V",$B72="AC"),'LABOUR RATES'!$C$27,'LABOUR RATES'!$C$12)</f>
        <v>0</v>
      </c>
      <c r="P72" s="40" t="n">
        <f aca="false">$L72+$N72+$O72</f>
        <v>0</v>
      </c>
      <c r="Q72" s="41" t="str">
        <f aca="false">IF($A72="","",IFERROR(SUMIFS('CRM ACTUALS'!$H$7:$H$2006,'CRM ACTUALS'!$D$7:$D$2006,$A72)/SUMIFS('CRM ACTUALS'!$F$7:$F$2006,'CRM ACTUALS'!$D$7:$D$2006,$A72),""))</f>
        <v/>
      </c>
      <c r="R72" s="28" t="str">
        <f aca="false">IF($A72="","",IFERROR(SUMIFS('CRM ACTUALS'!$J$7:$J$2006,'CRM ACTUALS'!$D$7:$D$2006,$A72)/SUMIFS('CRM ACTUALS'!$F$7:$F$2006,'CRM ACTUALS'!$D$7:$D$2006,$A72),""))</f>
        <v/>
      </c>
      <c r="S72" s="21" t="str">
        <f aca="false">IF(OR($Q72="",N($H72)=0),"",$H72/$Q72-1)</f>
        <v/>
      </c>
    </row>
    <row r="73" customFormat="false" ht="15" hidden="false" customHeight="false" outlineLevel="0" collapsed="false">
      <c r="A73" s="11"/>
      <c r="B73" s="11"/>
      <c r="C73" s="11"/>
      <c r="D73" s="11"/>
      <c r="E73" s="36"/>
      <c r="F73" s="11"/>
      <c r="G73" s="37"/>
      <c r="H73" s="38"/>
      <c r="I73" s="37"/>
      <c r="J73" s="36"/>
      <c r="K73" s="11" t="s">
        <v>224</v>
      </c>
      <c r="L73" s="29" t="n">
        <f aca="false">($E73*$G73+$I73)*(1+IF($K73="N",0,INPUTS!$C$23))</f>
        <v>0</v>
      </c>
      <c r="M73" s="39" t="n">
        <f aca="false">$E73*$H73+$J73</f>
        <v>0</v>
      </c>
      <c r="N73" s="29" t="n">
        <f aca="false">$M73*IF(OR($B73="V",$B73="AC"),'LABOUR RATES'!$E$26,'LABOUR RATES'!$E$11)</f>
        <v>0</v>
      </c>
      <c r="O73" s="29" t="n">
        <f aca="false">$M73*IF(OR($B73="V",$B73="AC"),'LABOUR RATES'!$C$27,'LABOUR RATES'!$C$12)</f>
        <v>0</v>
      </c>
      <c r="P73" s="40" t="n">
        <f aca="false">$L73+$N73+$O73</f>
        <v>0</v>
      </c>
      <c r="Q73" s="41" t="str">
        <f aca="false">IF($A73="","",IFERROR(SUMIFS('CRM ACTUALS'!$H$7:$H$2006,'CRM ACTUALS'!$D$7:$D$2006,$A73)/SUMIFS('CRM ACTUALS'!$F$7:$F$2006,'CRM ACTUALS'!$D$7:$D$2006,$A73),""))</f>
        <v/>
      </c>
      <c r="R73" s="28" t="str">
        <f aca="false">IF($A73="","",IFERROR(SUMIFS('CRM ACTUALS'!$J$7:$J$2006,'CRM ACTUALS'!$D$7:$D$2006,$A73)/SUMIFS('CRM ACTUALS'!$F$7:$F$2006,'CRM ACTUALS'!$D$7:$D$2006,$A73),""))</f>
        <v/>
      </c>
      <c r="S73" s="21" t="str">
        <f aca="false">IF(OR($Q73="",N($H73)=0),"",$H73/$Q73-1)</f>
        <v/>
      </c>
    </row>
    <row r="74" customFormat="false" ht="15" hidden="false" customHeight="false" outlineLevel="0" collapsed="false">
      <c r="A74" s="11"/>
      <c r="B74" s="11"/>
      <c r="C74" s="11"/>
      <c r="D74" s="11"/>
      <c r="E74" s="36"/>
      <c r="F74" s="11"/>
      <c r="G74" s="37"/>
      <c r="H74" s="38"/>
      <c r="I74" s="37"/>
      <c r="J74" s="36"/>
      <c r="K74" s="11" t="s">
        <v>224</v>
      </c>
      <c r="L74" s="29" t="n">
        <f aca="false">($E74*$G74+$I74)*(1+IF($K74="N",0,INPUTS!$C$23))</f>
        <v>0</v>
      </c>
      <c r="M74" s="39" t="n">
        <f aca="false">$E74*$H74+$J74</f>
        <v>0</v>
      </c>
      <c r="N74" s="29" t="n">
        <f aca="false">$M74*IF(OR($B74="V",$B74="AC"),'LABOUR RATES'!$E$26,'LABOUR RATES'!$E$11)</f>
        <v>0</v>
      </c>
      <c r="O74" s="29" t="n">
        <f aca="false">$M74*IF(OR($B74="V",$B74="AC"),'LABOUR RATES'!$C$27,'LABOUR RATES'!$C$12)</f>
        <v>0</v>
      </c>
      <c r="P74" s="40" t="n">
        <f aca="false">$L74+$N74+$O74</f>
        <v>0</v>
      </c>
      <c r="Q74" s="41" t="str">
        <f aca="false">IF($A74="","",IFERROR(SUMIFS('CRM ACTUALS'!$H$7:$H$2006,'CRM ACTUALS'!$D$7:$D$2006,$A74)/SUMIFS('CRM ACTUALS'!$F$7:$F$2006,'CRM ACTUALS'!$D$7:$D$2006,$A74),""))</f>
        <v/>
      </c>
      <c r="R74" s="28" t="str">
        <f aca="false">IF($A74="","",IFERROR(SUMIFS('CRM ACTUALS'!$J$7:$J$2006,'CRM ACTUALS'!$D$7:$D$2006,$A74)/SUMIFS('CRM ACTUALS'!$F$7:$F$2006,'CRM ACTUALS'!$D$7:$D$2006,$A74),""))</f>
        <v/>
      </c>
      <c r="S74" s="21" t="str">
        <f aca="false">IF(OR($Q74="",N($H74)=0),"",$H74/$Q74-1)</f>
        <v/>
      </c>
    </row>
    <row r="75" customFormat="false" ht="15" hidden="false" customHeight="false" outlineLevel="0" collapsed="false">
      <c r="A75" s="11"/>
      <c r="B75" s="11"/>
      <c r="C75" s="11"/>
      <c r="D75" s="11"/>
      <c r="E75" s="36"/>
      <c r="F75" s="11"/>
      <c r="G75" s="37"/>
      <c r="H75" s="38"/>
      <c r="I75" s="37"/>
      <c r="J75" s="36"/>
      <c r="K75" s="11" t="s">
        <v>224</v>
      </c>
      <c r="L75" s="29" t="n">
        <f aca="false">($E75*$G75+$I75)*(1+IF($K75="N",0,INPUTS!$C$23))</f>
        <v>0</v>
      </c>
      <c r="M75" s="39" t="n">
        <f aca="false">$E75*$H75+$J75</f>
        <v>0</v>
      </c>
      <c r="N75" s="29" t="n">
        <f aca="false">$M75*IF(OR($B75="V",$B75="AC"),'LABOUR RATES'!$E$26,'LABOUR RATES'!$E$11)</f>
        <v>0</v>
      </c>
      <c r="O75" s="29" t="n">
        <f aca="false">$M75*IF(OR($B75="V",$B75="AC"),'LABOUR RATES'!$C$27,'LABOUR RATES'!$C$12)</f>
        <v>0</v>
      </c>
      <c r="P75" s="40" t="n">
        <f aca="false">$L75+$N75+$O75</f>
        <v>0</v>
      </c>
      <c r="Q75" s="41" t="str">
        <f aca="false">IF($A75="","",IFERROR(SUMIFS('CRM ACTUALS'!$H$7:$H$2006,'CRM ACTUALS'!$D$7:$D$2006,$A75)/SUMIFS('CRM ACTUALS'!$F$7:$F$2006,'CRM ACTUALS'!$D$7:$D$2006,$A75),""))</f>
        <v/>
      </c>
      <c r="R75" s="28" t="str">
        <f aca="false">IF($A75="","",IFERROR(SUMIFS('CRM ACTUALS'!$J$7:$J$2006,'CRM ACTUALS'!$D$7:$D$2006,$A75)/SUMIFS('CRM ACTUALS'!$F$7:$F$2006,'CRM ACTUALS'!$D$7:$D$2006,$A75),""))</f>
        <v/>
      </c>
      <c r="S75" s="21" t="str">
        <f aca="false">IF(OR($Q75="",N($H75)=0),"",$H75/$Q75-1)</f>
        <v/>
      </c>
    </row>
    <row r="76" customFormat="false" ht="15" hidden="false" customHeight="false" outlineLevel="0" collapsed="false">
      <c r="A76" s="11"/>
      <c r="B76" s="11"/>
      <c r="C76" s="11"/>
      <c r="D76" s="11"/>
      <c r="E76" s="36"/>
      <c r="F76" s="11"/>
      <c r="G76" s="37"/>
      <c r="H76" s="38"/>
      <c r="I76" s="37"/>
      <c r="J76" s="36"/>
      <c r="K76" s="11" t="s">
        <v>224</v>
      </c>
      <c r="L76" s="29" t="n">
        <f aca="false">($E76*$G76+$I76)*(1+IF($K76="N",0,INPUTS!$C$23))</f>
        <v>0</v>
      </c>
      <c r="M76" s="39" t="n">
        <f aca="false">$E76*$H76+$J76</f>
        <v>0</v>
      </c>
      <c r="N76" s="29" t="n">
        <f aca="false">$M76*IF(OR($B76="V",$B76="AC"),'LABOUR RATES'!$E$26,'LABOUR RATES'!$E$11)</f>
        <v>0</v>
      </c>
      <c r="O76" s="29" t="n">
        <f aca="false">$M76*IF(OR($B76="V",$B76="AC"),'LABOUR RATES'!$C$27,'LABOUR RATES'!$C$12)</f>
        <v>0</v>
      </c>
      <c r="P76" s="40" t="n">
        <f aca="false">$L76+$N76+$O76</f>
        <v>0</v>
      </c>
      <c r="Q76" s="41" t="str">
        <f aca="false">IF($A76="","",IFERROR(SUMIFS('CRM ACTUALS'!$H$7:$H$2006,'CRM ACTUALS'!$D$7:$D$2006,$A76)/SUMIFS('CRM ACTUALS'!$F$7:$F$2006,'CRM ACTUALS'!$D$7:$D$2006,$A76),""))</f>
        <v/>
      </c>
      <c r="R76" s="28" t="str">
        <f aca="false">IF($A76="","",IFERROR(SUMIFS('CRM ACTUALS'!$J$7:$J$2006,'CRM ACTUALS'!$D$7:$D$2006,$A76)/SUMIFS('CRM ACTUALS'!$F$7:$F$2006,'CRM ACTUALS'!$D$7:$D$2006,$A76),""))</f>
        <v/>
      </c>
      <c r="S76" s="21" t="str">
        <f aca="false">IF(OR($Q76="",N($H76)=0),"",$H76/$Q76-1)</f>
        <v/>
      </c>
    </row>
    <row r="77" customFormat="false" ht="15" hidden="false" customHeight="false" outlineLevel="0" collapsed="false">
      <c r="A77" s="11"/>
      <c r="B77" s="11"/>
      <c r="C77" s="11"/>
      <c r="D77" s="11"/>
      <c r="E77" s="36"/>
      <c r="F77" s="11"/>
      <c r="G77" s="37"/>
      <c r="H77" s="38"/>
      <c r="I77" s="37"/>
      <c r="J77" s="36"/>
      <c r="K77" s="11" t="s">
        <v>224</v>
      </c>
      <c r="L77" s="29" t="n">
        <f aca="false">($E77*$G77+$I77)*(1+IF($K77="N",0,INPUTS!$C$23))</f>
        <v>0</v>
      </c>
      <c r="M77" s="39" t="n">
        <f aca="false">$E77*$H77+$J77</f>
        <v>0</v>
      </c>
      <c r="N77" s="29" t="n">
        <f aca="false">$M77*IF(OR($B77="V",$B77="AC"),'LABOUR RATES'!$E$26,'LABOUR RATES'!$E$11)</f>
        <v>0</v>
      </c>
      <c r="O77" s="29" t="n">
        <f aca="false">$M77*IF(OR($B77="V",$B77="AC"),'LABOUR RATES'!$C$27,'LABOUR RATES'!$C$12)</f>
        <v>0</v>
      </c>
      <c r="P77" s="40" t="n">
        <f aca="false">$L77+$N77+$O77</f>
        <v>0</v>
      </c>
      <c r="Q77" s="41" t="str">
        <f aca="false">IF($A77="","",IFERROR(SUMIFS('CRM ACTUALS'!$H$7:$H$2006,'CRM ACTUALS'!$D$7:$D$2006,$A77)/SUMIFS('CRM ACTUALS'!$F$7:$F$2006,'CRM ACTUALS'!$D$7:$D$2006,$A77),""))</f>
        <v/>
      </c>
      <c r="R77" s="28" t="str">
        <f aca="false">IF($A77="","",IFERROR(SUMIFS('CRM ACTUALS'!$J$7:$J$2006,'CRM ACTUALS'!$D$7:$D$2006,$A77)/SUMIFS('CRM ACTUALS'!$F$7:$F$2006,'CRM ACTUALS'!$D$7:$D$2006,$A77),""))</f>
        <v/>
      </c>
      <c r="S77" s="21" t="str">
        <f aca="false">IF(OR($Q77="",N($H77)=0),"",$H77/$Q77-1)</f>
        <v/>
      </c>
    </row>
    <row r="78" customFormat="false" ht="15" hidden="false" customHeight="false" outlineLevel="0" collapsed="false">
      <c r="A78" s="11"/>
      <c r="B78" s="11"/>
      <c r="C78" s="11"/>
      <c r="D78" s="11"/>
      <c r="E78" s="36"/>
      <c r="F78" s="11"/>
      <c r="G78" s="37"/>
      <c r="H78" s="38"/>
      <c r="I78" s="37"/>
      <c r="J78" s="36"/>
      <c r="K78" s="11" t="s">
        <v>224</v>
      </c>
      <c r="L78" s="29" t="n">
        <f aca="false">($E78*$G78+$I78)*(1+IF($K78="N",0,INPUTS!$C$23))</f>
        <v>0</v>
      </c>
      <c r="M78" s="39" t="n">
        <f aca="false">$E78*$H78+$J78</f>
        <v>0</v>
      </c>
      <c r="N78" s="29" t="n">
        <f aca="false">$M78*IF(OR($B78="V",$B78="AC"),'LABOUR RATES'!$E$26,'LABOUR RATES'!$E$11)</f>
        <v>0</v>
      </c>
      <c r="O78" s="29" t="n">
        <f aca="false">$M78*IF(OR($B78="V",$B78="AC"),'LABOUR RATES'!$C$27,'LABOUR RATES'!$C$12)</f>
        <v>0</v>
      </c>
      <c r="P78" s="40" t="n">
        <f aca="false">$L78+$N78+$O78</f>
        <v>0</v>
      </c>
      <c r="Q78" s="41" t="str">
        <f aca="false">IF($A78="","",IFERROR(SUMIFS('CRM ACTUALS'!$H$7:$H$2006,'CRM ACTUALS'!$D$7:$D$2006,$A78)/SUMIFS('CRM ACTUALS'!$F$7:$F$2006,'CRM ACTUALS'!$D$7:$D$2006,$A78),""))</f>
        <v/>
      </c>
      <c r="R78" s="28" t="str">
        <f aca="false">IF($A78="","",IFERROR(SUMIFS('CRM ACTUALS'!$J$7:$J$2006,'CRM ACTUALS'!$D$7:$D$2006,$A78)/SUMIFS('CRM ACTUALS'!$F$7:$F$2006,'CRM ACTUALS'!$D$7:$D$2006,$A78),""))</f>
        <v/>
      </c>
      <c r="S78" s="21" t="str">
        <f aca="false">IF(OR($Q78="",N($H78)=0),"",$H78/$Q78-1)</f>
        <v/>
      </c>
    </row>
    <row r="79" customFormat="false" ht="15" hidden="false" customHeight="false" outlineLevel="0" collapsed="false">
      <c r="A79" s="11"/>
      <c r="B79" s="11"/>
      <c r="C79" s="11"/>
      <c r="D79" s="11"/>
      <c r="E79" s="36"/>
      <c r="F79" s="11"/>
      <c r="G79" s="37"/>
      <c r="H79" s="38"/>
      <c r="I79" s="37"/>
      <c r="J79" s="36"/>
      <c r="K79" s="11" t="s">
        <v>224</v>
      </c>
      <c r="L79" s="29" t="n">
        <f aca="false">($E79*$G79+$I79)*(1+IF($K79="N",0,INPUTS!$C$23))</f>
        <v>0</v>
      </c>
      <c r="M79" s="39" t="n">
        <f aca="false">$E79*$H79+$J79</f>
        <v>0</v>
      </c>
      <c r="N79" s="29" t="n">
        <f aca="false">$M79*IF(OR($B79="V",$B79="AC"),'LABOUR RATES'!$E$26,'LABOUR RATES'!$E$11)</f>
        <v>0</v>
      </c>
      <c r="O79" s="29" t="n">
        <f aca="false">$M79*IF(OR($B79="V",$B79="AC"),'LABOUR RATES'!$C$27,'LABOUR RATES'!$C$12)</f>
        <v>0</v>
      </c>
      <c r="P79" s="40" t="n">
        <f aca="false">$L79+$N79+$O79</f>
        <v>0</v>
      </c>
      <c r="Q79" s="41" t="str">
        <f aca="false">IF($A79="","",IFERROR(SUMIFS('CRM ACTUALS'!$H$7:$H$2006,'CRM ACTUALS'!$D$7:$D$2006,$A79)/SUMIFS('CRM ACTUALS'!$F$7:$F$2006,'CRM ACTUALS'!$D$7:$D$2006,$A79),""))</f>
        <v/>
      </c>
      <c r="R79" s="28" t="str">
        <f aca="false">IF($A79="","",IFERROR(SUMIFS('CRM ACTUALS'!$J$7:$J$2006,'CRM ACTUALS'!$D$7:$D$2006,$A79)/SUMIFS('CRM ACTUALS'!$F$7:$F$2006,'CRM ACTUALS'!$D$7:$D$2006,$A79),""))</f>
        <v/>
      </c>
      <c r="S79" s="21" t="str">
        <f aca="false">IF(OR($Q79="",N($H79)=0),"",$H79/$Q79-1)</f>
        <v/>
      </c>
    </row>
    <row r="80" customFormat="false" ht="15" hidden="false" customHeight="false" outlineLevel="0" collapsed="false">
      <c r="A80" s="11"/>
      <c r="B80" s="11"/>
      <c r="C80" s="11"/>
      <c r="D80" s="11"/>
      <c r="E80" s="36"/>
      <c r="F80" s="11"/>
      <c r="G80" s="37"/>
      <c r="H80" s="38"/>
      <c r="I80" s="37"/>
      <c r="J80" s="36"/>
      <c r="K80" s="11" t="s">
        <v>224</v>
      </c>
      <c r="L80" s="29" t="n">
        <f aca="false">($E80*$G80+$I80)*(1+IF($K80="N",0,INPUTS!$C$23))</f>
        <v>0</v>
      </c>
      <c r="M80" s="39" t="n">
        <f aca="false">$E80*$H80+$J80</f>
        <v>0</v>
      </c>
      <c r="N80" s="29" t="n">
        <f aca="false">$M80*IF(OR($B80="V",$B80="AC"),'LABOUR RATES'!$E$26,'LABOUR RATES'!$E$11)</f>
        <v>0</v>
      </c>
      <c r="O80" s="29" t="n">
        <f aca="false">$M80*IF(OR($B80="V",$B80="AC"),'LABOUR RATES'!$C$27,'LABOUR RATES'!$C$12)</f>
        <v>0</v>
      </c>
      <c r="P80" s="40" t="n">
        <f aca="false">$L80+$N80+$O80</f>
        <v>0</v>
      </c>
      <c r="Q80" s="41" t="str">
        <f aca="false">IF($A80="","",IFERROR(SUMIFS('CRM ACTUALS'!$H$7:$H$2006,'CRM ACTUALS'!$D$7:$D$2006,$A80)/SUMIFS('CRM ACTUALS'!$F$7:$F$2006,'CRM ACTUALS'!$D$7:$D$2006,$A80),""))</f>
        <v/>
      </c>
      <c r="R80" s="28" t="str">
        <f aca="false">IF($A80="","",IFERROR(SUMIFS('CRM ACTUALS'!$J$7:$J$2006,'CRM ACTUALS'!$D$7:$D$2006,$A80)/SUMIFS('CRM ACTUALS'!$F$7:$F$2006,'CRM ACTUALS'!$D$7:$D$2006,$A80),""))</f>
        <v/>
      </c>
      <c r="S80" s="21" t="str">
        <f aca="false">IF(OR($Q80="",N($H80)=0),"",$H80/$Q80-1)</f>
        <v/>
      </c>
    </row>
    <row r="81" customFormat="false" ht="15" hidden="false" customHeight="false" outlineLevel="0" collapsed="false">
      <c r="A81" s="11"/>
      <c r="B81" s="11"/>
      <c r="C81" s="11"/>
      <c r="D81" s="11"/>
      <c r="E81" s="36"/>
      <c r="F81" s="11"/>
      <c r="G81" s="37"/>
      <c r="H81" s="38"/>
      <c r="I81" s="37"/>
      <c r="J81" s="36"/>
      <c r="K81" s="11" t="s">
        <v>224</v>
      </c>
      <c r="L81" s="29" t="n">
        <f aca="false">($E81*$G81+$I81)*(1+IF($K81="N",0,INPUTS!$C$23))</f>
        <v>0</v>
      </c>
      <c r="M81" s="39" t="n">
        <f aca="false">$E81*$H81+$J81</f>
        <v>0</v>
      </c>
      <c r="N81" s="29" t="n">
        <f aca="false">$M81*IF(OR($B81="V",$B81="AC"),'LABOUR RATES'!$E$26,'LABOUR RATES'!$E$11)</f>
        <v>0</v>
      </c>
      <c r="O81" s="29" t="n">
        <f aca="false">$M81*IF(OR($B81="V",$B81="AC"),'LABOUR RATES'!$C$27,'LABOUR RATES'!$C$12)</f>
        <v>0</v>
      </c>
      <c r="P81" s="40" t="n">
        <f aca="false">$L81+$N81+$O81</f>
        <v>0</v>
      </c>
      <c r="Q81" s="41" t="str">
        <f aca="false">IF($A81="","",IFERROR(SUMIFS('CRM ACTUALS'!$H$7:$H$2006,'CRM ACTUALS'!$D$7:$D$2006,$A81)/SUMIFS('CRM ACTUALS'!$F$7:$F$2006,'CRM ACTUALS'!$D$7:$D$2006,$A81),""))</f>
        <v/>
      </c>
      <c r="R81" s="28" t="str">
        <f aca="false">IF($A81="","",IFERROR(SUMIFS('CRM ACTUALS'!$J$7:$J$2006,'CRM ACTUALS'!$D$7:$D$2006,$A81)/SUMIFS('CRM ACTUALS'!$F$7:$F$2006,'CRM ACTUALS'!$D$7:$D$2006,$A81),""))</f>
        <v/>
      </c>
      <c r="S81" s="21" t="str">
        <f aca="false">IF(OR($Q81="",N($H81)=0),"",$H81/$Q81-1)</f>
        <v/>
      </c>
    </row>
    <row r="82" customFormat="false" ht="15" hidden="false" customHeight="false" outlineLevel="0" collapsed="false">
      <c r="A82" s="11"/>
      <c r="B82" s="11"/>
      <c r="C82" s="11"/>
      <c r="D82" s="11"/>
      <c r="E82" s="36"/>
      <c r="F82" s="11"/>
      <c r="G82" s="37"/>
      <c r="H82" s="38"/>
      <c r="I82" s="37"/>
      <c r="J82" s="36"/>
      <c r="K82" s="11" t="s">
        <v>224</v>
      </c>
      <c r="L82" s="29" t="n">
        <f aca="false">($E82*$G82+$I82)*(1+IF($K82="N",0,INPUTS!$C$23))</f>
        <v>0</v>
      </c>
      <c r="M82" s="39" t="n">
        <f aca="false">$E82*$H82+$J82</f>
        <v>0</v>
      </c>
      <c r="N82" s="29" t="n">
        <f aca="false">$M82*IF(OR($B82="V",$B82="AC"),'LABOUR RATES'!$E$26,'LABOUR RATES'!$E$11)</f>
        <v>0</v>
      </c>
      <c r="O82" s="29" t="n">
        <f aca="false">$M82*IF(OR($B82="V",$B82="AC"),'LABOUR RATES'!$C$27,'LABOUR RATES'!$C$12)</f>
        <v>0</v>
      </c>
      <c r="P82" s="40" t="n">
        <f aca="false">$L82+$N82+$O82</f>
        <v>0</v>
      </c>
      <c r="Q82" s="41" t="str">
        <f aca="false">IF($A82="","",IFERROR(SUMIFS('CRM ACTUALS'!$H$7:$H$2006,'CRM ACTUALS'!$D$7:$D$2006,$A82)/SUMIFS('CRM ACTUALS'!$F$7:$F$2006,'CRM ACTUALS'!$D$7:$D$2006,$A82),""))</f>
        <v/>
      </c>
      <c r="R82" s="28" t="str">
        <f aca="false">IF($A82="","",IFERROR(SUMIFS('CRM ACTUALS'!$J$7:$J$2006,'CRM ACTUALS'!$D$7:$D$2006,$A82)/SUMIFS('CRM ACTUALS'!$F$7:$F$2006,'CRM ACTUALS'!$D$7:$D$2006,$A82),""))</f>
        <v/>
      </c>
      <c r="S82" s="21" t="str">
        <f aca="false">IF(OR($Q82="",N($H82)=0),"",$H82/$Q82-1)</f>
        <v/>
      </c>
    </row>
    <row r="83" customFormat="false" ht="15" hidden="false" customHeight="false" outlineLevel="0" collapsed="false">
      <c r="A83" s="11"/>
      <c r="B83" s="11"/>
      <c r="C83" s="11"/>
      <c r="D83" s="11"/>
      <c r="E83" s="36"/>
      <c r="F83" s="11"/>
      <c r="G83" s="37"/>
      <c r="H83" s="38"/>
      <c r="I83" s="37"/>
      <c r="J83" s="36"/>
      <c r="K83" s="11" t="s">
        <v>224</v>
      </c>
      <c r="L83" s="29" t="n">
        <f aca="false">($E83*$G83+$I83)*(1+IF($K83="N",0,INPUTS!$C$23))</f>
        <v>0</v>
      </c>
      <c r="M83" s="39" t="n">
        <f aca="false">$E83*$H83+$J83</f>
        <v>0</v>
      </c>
      <c r="N83" s="29" t="n">
        <f aca="false">$M83*IF(OR($B83="V",$B83="AC"),'LABOUR RATES'!$E$26,'LABOUR RATES'!$E$11)</f>
        <v>0</v>
      </c>
      <c r="O83" s="29" t="n">
        <f aca="false">$M83*IF(OR($B83="V",$B83="AC"),'LABOUR RATES'!$C$27,'LABOUR RATES'!$C$12)</f>
        <v>0</v>
      </c>
      <c r="P83" s="40" t="n">
        <f aca="false">$L83+$N83+$O83</f>
        <v>0</v>
      </c>
      <c r="Q83" s="41" t="str">
        <f aca="false">IF($A83="","",IFERROR(SUMIFS('CRM ACTUALS'!$H$7:$H$2006,'CRM ACTUALS'!$D$7:$D$2006,$A83)/SUMIFS('CRM ACTUALS'!$F$7:$F$2006,'CRM ACTUALS'!$D$7:$D$2006,$A83),""))</f>
        <v/>
      </c>
      <c r="R83" s="28" t="str">
        <f aca="false">IF($A83="","",IFERROR(SUMIFS('CRM ACTUALS'!$J$7:$J$2006,'CRM ACTUALS'!$D$7:$D$2006,$A83)/SUMIFS('CRM ACTUALS'!$F$7:$F$2006,'CRM ACTUALS'!$D$7:$D$2006,$A83),""))</f>
        <v/>
      </c>
      <c r="S83" s="21" t="str">
        <f aca="false">IF(OR($Q83="",N($H83)=0),"",$H83/$Q83-1)</f>
        <v/>
      </c>
    </row>
    <row r="84" customFormat="false" ht="15" hidden="false" customHeight="false" outlineLevel="0" collapsed="false">
      <c r="A84" s="11"/>
      <c r="B84" s="11"/>
      <c r="C84" s="11"/>
      <c r="D84" s="11"/>
      <c r="E84" s="36"/>
      <c r="F84" s="11"/>
      <c r="G84" s="37"/>
      <c r="H84" s="38"/>
      <c r="I84" s="37"/>
      <c r="J84" s="36"/>
      <c r="K84" s="11" t="s">
        <v>224</v>
      </c>
      <c r="L84" s="29" t="n">
        <f aca="false">($E84*$G84+$I84)*(1+IF($K84="N",0,INPUTS!$C$23))</f>
        <v>0</v>
      </c>
      <c r="M84" s="39" t="n">
        <f aca="false">$E84*$H84+$J84</f>
        <v>0</v>
      </c>
      <c r="N84" s="29" t="n">
        <f aca="false">$M84*IF(OR($B84="V",$B84="AC"),'LABOUR RATES'!$E$26,'LABOUR RATES'!$E$11)</f>
        <v>0</v>
      </c>
      <c r="O84" s="29" t="n">
        <f aca="false">$M84*IF(OR($B84="V",$B84="AC"),'LABOUR RATES'!$C$27,'LABOUR RATES'!$C$12)</f>
        <v>0</v>
      </c>
      <c r="P84" s="40" t="n">
        <f aca="false">$L84+$N84+$O84</f>
        <v>0</v>
      </c>
      <c r="Q84" s="41" t="str">
        <f aca="false">IF($A84="","",IFERROR(SUMIFS('CRM ACTUALS'!$H$7:$H$2006,'CRM ACTUALS'!$D$7:$D$2006,$A84)/SUMIFS('CRM ACTUALS'!$F$7:$F$2006,'CRM ACTUALS'!$D$7:$D$2006,$A84),""))</f>
        <v/>
      </c>
      <c r="R84" s="28" t="str">
        <f aca="false">IF($A84="","",IFERROR(SUMIFS('CRM ACTUALS'!$J$7:$J$2006,'CRM ACTUALS'!$D$7:$D$2006,$A84)/SUMIFS('CRM ACTUALS'!$F$7:$F$2006,'CRM ACTUALS'!$D$7:$D$2006,$A84),""))</f>
        <v/>
      </c>
      <c r="S84" s="21" t="str">
        <f aca="false">IF(OR($Q84="",N($H84)=0),"",$H84/$Q84-1)</f>
        <v/>
      </c>
    </row>
    <row r="85" customFormat="false" ht="15" hidden="false" customHeight="false" outlineLevel="0" collapsed="false">
      <c r="A85" s="11"/>
      <c r="B85" s="11"/>
      <c r="C85" s="11"/>
      <c r="D85" s="11"/>
      <c r="E85" s="36"/>
      <c r="F85" s="11"/>
      <c r="G85" s="37"/>
      <c r="H85" s="38"/>
      <c r="I85" s="37"/>
      <c r="J85" s="36"/>
      <c r="K85" s="11" t="s">
        <v>224</v>
      </c>
      <c r="L85" s="29" t="n">
        <f aca="false">($E85*$G85+$I85)*(1+IF($K85="N",0,INPUTS!$C$23))</f>
        <v>0</v>
      </c>
      <c r="M85" s="39" t="n">
        <f aca="false">$E85*$H85+$J85</f>
        <v>0</v>
      </c>
      <c r="N85" s="29" t="n">
        <f aca="false">$M85*IF(OR($B85="V",$B85="AC"),'LABOUR RATES'!$E$26,'LABOUR RATES'!$E$11)</f>
        <v>0</v>
      </c>
      <c r="O85" s="29" t="n">
        <f aca="false">$M85*IF(OR($B85="V",$B85="AC"),'LABOUR RATES'!$C$27,'LABOUR RATES'!$C$12)</f>
        <v>0</v>
      </c>
      <c r="P85" s="40" t="n">
        <f aca="false">$L85+$N85+$O85</f>
        <v>0</v>
      </c>
      <c r="Q85" s="41" t="str">
        <f aca="false">IF($A85="","",IFERROR(SUMIFS('CRM ACTUALS'!$H$7:$H$2006,'CRM ACTUALS'!$D$7:$D$2006,$A85)/SUMIFS('CRM ACTUALS'!$F$7:$F$2006,'CRM ACTUALS'!$D$7:$D$2006,$A85),""))</f>
        <v/>
      </c>
      <c r="R85" s="28" t="str">
        <f aca="false">IF($A85="","",IFERROR(SUMIFS('CRM ACTUALS'!$J$7:$J$2006,'CRM ACTUALS'!$D$7:$D$2006,$A85)/SUMIFS('CRM ACTUALS'!$F$7:$F$2006,'CRM ACTUALS'!$D$7:$D$2006,$A85),""))</f>
        <v/>
      </c>
      <c r="S85" s="21" t="str">
        <f aca="false">IF(OR($Q85="",N($H85)=0),"",$H85/$Q85-1)</f>
        <v/>
      </c>
    </row>
    <row r="86" customFormat="false" ht="15" hidden="false" customHeight="false" outlineLevel="0" collapsed="false">
      <c r="A86" s="11"/>
      <c r="B86" s="11"/>
      <c r="C86" s="11"/>
      <c r="D86" s="11"/>
      <c r="E86" s="36"/>
      <c r="F86" s="11"/>
      <c r="G86" s="37"/>
      <c r="H86" s="38"/>
      <c r="I86" s="37"/>
      <c r="J86" s="36"/>
      <c r="K86" s="11" t="s">
        <v>224</v>
      </c>
      <c r="L86" s="29" t="n">
        <f aca="false">($E86*$G86+$I86)*(1+IF($K86="N",0,INPUTS!$C$23))</f>
        <v>0</v>
      </c>
      <c r="M86" s="39" t="n">
        <f aca="false">$E86*$H86+$J86</f>
        <v>0</v>
      </c>
      <c r="N86" s="29" t="n">
        <f aca="false">$M86*IF(OR($B86="V",$B86="AC"),'LABOUR RATES'!$E$26,'LABOUR RATES'!$E$11)</f>
        <v>0</v>
      </c>
      <c r="O86" s="29" t="n">
        <f aca="false">$M86*IF(OR($B86="V",$B86="AC"),'LABOUR RATES'!$C$27,'LABOUR RATES'!$C$12)</f>
        <v>0</v>
      </c>
      <c r="P86" s="40" t="n">
        <f aca="false">$L86+$N86+$O86</f>
        <v>0</v>
      </c>
      <c r="Q86" s="41" t="str">
        <f aca="false">IF($A86="","",IFERROR(SUMIFS('CRM ACTUALS'!$H$7:$H$2006,'CRM ACTUALS'!$D$7:$D$2006,$A86)/SUMIFS('CRM ACTUALS'!$F$7:$F$2006,'CRM ACTUALS'!$D$7:$D$2006,$A86),""))</f>
        <v/>
      </c>
      <c r="R86" s="28" t="str">
        <f aca="false">IF($A86="","",IFERROR(SUMIFS('CRM ACTUALS'!$J$7:$J$2006,'CRM ACTUALS'!$D$7:$D$2006,$A86)/SUMIFS('CRM ACTUALS'!$F$7:$F$2006,'CRM ACTUALS'!$D$7:$D$2006,$A86),""))</f>
        <v/>
      </c>
      <c r="S86" s="21" t="str">
        <f aca="false">IF(OR($Q86="",N($H86)=0),"",$H86/$Q86-1)</f>
        <v/>
      </c>
    </row>
    <row r="87" customFormat="false" ht="15" hidden="false" customHeight="false" outlineLevel="0" collapsed="false">
      <c r="A87" s="11"/>
      <c r="B87" s="11"/>
      <c r="C87" s="11"/>
      <c r="D87" s="11"/>
      <c r="E87" s="36"/>
      <c r="F87" s="11"/>
      <c r="G87" s="37"/>
      <c r="H87" s="38"/>
      <c r="I87" s="37"/>
      <c r="J87" s="36"/>
      <c r="K87" s="11" t="s">
        <v>224</v>
      </c>
      <c r="L87" s="29" t="n">
        <f aca="false">($E87*$G87+$I87)*(1+IF($K87="N",0,INPUTS!$C$23))</f>
        <v>0</v>
      </c>
      <c r="M87" s="39" t="n">
        <f aca="false">$E87*$H87+$J87</f>
        <v>0</v>
      </c>
      <c r="N87" s="29" t="n">
        <f aca="false">$M87*IF(OR($B87="V",$B87="AC"),'LABOUR RATES'!$E$26,'LABOUR RATES'!$E$11)</f>
        <v>0</v>
      </c>
      <c r="O87" s="29" t="n">
        <f aca="false">$M87*IF(OR($B87="V",$B87="AC"),'LABOUR RATES'!$C$27,'LABOUR RATES'!$C$12)</f>
        <v>0</v>
      </c>
      <c r="P87" s="40" t="n">
        <f aca="false">$L87+$N87+$O87</f>
        <v>0</v>
      </c>
      <c r="Q87" s="41" t="str">
        <f aca="false">IF($A87="","",IFERROR(SUMIFS('CRM ACTUALS'!$H$7:$H$2006,'CRM ACTUALS'!$D$7:$D$2006,$A87)/SUMIFS('CRM ACTUALS'!$F$7:$F$2006,'CRM ACTUALS'!$D$7:$D$2006,$A87),""))</f>
        <v/>
      </c>
      <c r="R87" s="28" t="str">
        <f aca="false">IF($A87="","",IFERROR(SUMIFS('CRM ACTUALS'!$J$7:$J$2006,'CRM ACTUALS'!$D$7:$D$2006,$A87)/SUMIFS('CRM ACTUALS'!$F$7:$F$2006,'CRM ACTUALS'!$D$7:$D$2006,$A87),""))</f>
        <v/>
      </c>
      <c r="S87" s="21" t="str">
        <f aca="false">IF(OR($Q87="",N($H87)=0),"",$H87/$Q87-1)</f>
        <v/>
      </c>
    </row>
    <row r="88" customFormat="false" ht="15" hidden="false" customHeight="false" outlineLevel="0" collapsed="false">
      <c r="A88" s="11"/>
      <c r="B88" s="11"/>
      <c r="C88" s="11"/>
      <c r="D88" s="11"/>
      <c r="E88" s="36"/>
      <c r="F88" s="11"/>
      <c r="G88" s="37"/>
      <c r="H88" s="38"/>
      <c r="I88" s="37"/>
      <c r="J88" s="36"/>
      <c r="K88" s="11" t="s">
        <v>224</v>
      </c>
      <c r="L88" s="29" t="n">
        <f aca="false">($E88*$G88+$I88)*(1+IF($K88="N",0,INPUTS!$C$23))</f>
        <v>0</v>
      </c>
      <c r="M88" s="39" t="n">
        <f aca="false">$E88*$H88+$J88</f>
        <v>0</v>
      </c>
      <c r="N88" s="29" t="n">
        <f aca="false">$M88*IF(OR($B88="V",$B88="AC"),'LABOUR RATES'!$E$26,'LABOUR RATES'!$E$11)</f>
        <v>0</v>
      </c>
      <c r="O88" s="29" t="n">
        <f aca="false">$M88*IF(OR($B88="V",$B88="AC"),'LABOUR RATES'!$C$27,'LABOUR RATES'!$C$12)</f>
        <v>0</v>
      </c>
      <c r="P88" s="40" t="n">
        <f aca="false">$L88+$N88+$O88</f>
        <v>0</v>
      </c>
      <c r="Q88" s="41" t="str">
        <f aca="false">IF($A88="","",IFERROR(SUMIFS('CRM ACTUALS'!$H$7:$H$2006,'CRM ACTUALS'!$D$7:$D$2006,$A88)/SUMIFS('CRM ACTUALS'!$F$7:$F$2006,'CRM ACTUALS'!$D$7:$D$2006,$A88),""))</f>
        <v/>
      </c>
      <c r="R88" s="28" t="str">
        <f aca="false">IF($A88="","",IFERROR(SUMIFS('CRM ACTUALS'!$J$7:$J$2006,'CRM ACTUALS'!$D$7:$D$2006,$A88)/SUMIFS('CRM ACTUALS'!$F$7:$F$2006,'CRM ACTUALS'!$D$7:$D$2006,$A88),""))</f>
        <v/>
      </c>
      <c r="S88" s="21" t="str">
        <f aca="false">IF(OR($Q88="",N($H88)=0),"",$H88/$Q88-1)</f>
        <v/>
      </c>
    </row>
    <row r="89" customFormat="false" ht="15" hidden="false" customHeight="false" outlineLevel="0" collapsed="false">
      <c r="A89" s="11"/>
      <c r="B89" s="11"/>
      <c r="C89" s="11"/>
      <c r="D89" s="11"/>
      <c r="E89" s="36"/>
      <c r="F89" s="11"/>
      <c r="G89" s="37"/>
      <c r="H89" s="38"/>
      <c r="I89" s="37"/>
      <c r="J89" s="36"/>
      <c r="K89" s="11" t="s">
        <v>224</v>
      </c>
      <c r="L89" s="29" t="n">
        <f aca="false">($E89*$G89+$I89)*(1+IF($K89="N",0,INPUTS!$C$23))</f>
        <v>0</v>
      </c>
      <c r="M89" s="39" t="n">
        <f aca="false">$E89*$H89+$J89</f>
        <v>0</v>
      </c>
      <c r="N89" s="29" t="n">
        <f aca="false">$M89*IF(OR($B89="V",$B89="AC"),'LABOUR RATES'!$E$26,'LABOUR RATES'!$E$11)</f>
        <v>0</v>
      </c>
      <c r="O89" s="29" t="n">
        <f aca="false">$M89*IF(OR($B89="V",$B89="AC"),'LABOUR RATES'!$C$27,'LABOUR RATES'!$C$12)</f>
        <v>0</v>
      </c>
      <c r="P89" s="40" t="n">
        <f aca="false">$L89+$N89+$O89</f>
        <v>0</v>
      </c>
      <c r="Q89" s="41" t="str">
        <f aca="false">IF($A89="","",IFERROR(SUMIFS('CRM ACTUALS'!$H$7:$H$2006,'CRM ACTUALS'!$D$7:$D$2006,$A89)/SUMIFS('CRM ACTUALS'!$F$7:$F$2006,'CRM ACTUALS'!$D$7:$D$2006,$A89),""))</f>
        <v/>
      </c>
      <c r="R89" s="28" t="str">
        <f aca="false">IF($A89="","",IFERROR(SUMIFS('CRM ACTUALS'!$J$7:$J$2006,'CRM ACTUALS'!$D$7:$D$2006,$A89)/SUMIFS('CRM ACTUALS'!$F$7:$F$2006,'CRM ACTUALS'!$D$7:$D$2006,$A89),""))</f>
        <v/>
      </c>
      <c r="S89" s="21" t="str">
        <f aca="false">IF(OR($Q89="",N($H89)=0),"",$H89/$Q89-1)</f>
        <v/>
      </c>
    </row>
    <row r="90" customFormat="false" ht="15" hidden="false" customHeight="false" outlineLevel="0" collapsed="false">
      <c r="A90" s="11"/>
      <c r="B90" s="11"/>
      <c r="C90" s="11"/>
      <c r="D90" s="11"/>
      <c r="E90" s="36"/>
      <c r="F90" s="11"/>
      <c r="G90" s="37"/>
      <c r="H90" s="38"/>
      <c r="I90" s="37"/>
      <c r="J90" s="36"/>
      <c r="K90" s="11" t="s">
        <v>224</v>
      </c>
      <c r="L90" s="29" t="n">
        <f aca="false">($E90*$G90+$I90)*(1+IF($K90="N",0,INPUTS!$C$23))</f>
        <v>0</v>
      </c>
      <c r="M90" s="39" t="n">
        <f aca="false">$E90*$H90+$J90</f>
        <v>0</v>
      </c>
      <c r="N90" s="29" t="n">
        <f aca="false">$M90*IF(OR($B90="V",$B90="AC"),'LABOUR RATES'!$E$26,'LABOUR RATES'!$E$11)</f>
        <v>0</v>
      </c>
      <c r="O90" s="29" t="n">
        <f aca="false">$M90*IF(OR($B90="V",$B90="AC"),'LABOUR RATES'!$C$27,'LABOUR RATES'!$C$12)</f>
        <v>0</v>
      </c>
      <c r="P90" s="40" t="n">
        <f aca="false">$L90+$N90+$O90</f>
        <v>0</v>
      </c>
      <c r="Q90" s="41" t="str">
        <f aca="false">IF($A90="","",IFERROR(SUMIFS('CRM ACTUALS'!$H$7:$H$2006,'CRM ACTUALS'!$D$7:$D$2006,$A90)/SUMIFS('CRM ACTUALS'!$F$7:$F$2006,'CRM ACTUALS'!$D$7:$D$2006,$A90),""))</f>
        <v/>
      </c>
      <c r="R90" s="28" t="str">
        <f aca="false">IF($A90="","",IFERROR(SUMIFS('CRM ACTUALS'!$J$7:$J$2006,'CRM ACTUALS'!$D$7:$D$2006,$A90)/SUMIFS('CRM ACTUALS'!$F$7:$F$2006,'CRM ACTUALS'!$D$7:$D$2006,$A90),""))</f>
        <v/>
      </c>
      <c r="S90" s="21" t="str">
        <f aca="false">IF(OR($Q90="",N($H90)=0),"",$H90/$Q90-1)</f>
        <v/>
      </c>
    </row>
    <row r="91" customFormat="false" ht="15" hidden="false" customHeight="false" outlineLevel="0" collapsed="false">
      <c r="A91" s="11"/>
      <c r="B91" s="11"/>
      <c r="C91" s="11"/>
      <c r="D91" s="11"/>
      <c r="E91" s="36"/>
      <c r="F91" s="11"/>
      <c r="G91" s="37"/>
      <c r="H91" s="38"/>
      <c r="I91" s="37"/>
      <c r="J91" s="36"/>
      <c r="K91" s="11" t="s">
        <v>224</v>
      </c>
      <c r="L91" s="29" t="n">
        <f aca="false">($E91*$G91+$I91)*(1+IF($K91="N",0,INPUTS!$C$23))</f>
        <v>0</v>
      </c>
      <c r="M91" s="39" t="n">
        <f aca="false">$E91*$H91+$J91</f>
        <v>0</v>
      </c>
      <c r="N91" s="29" t="n">
        <f aca="false">$M91*IF(OR($B91="V",$B91="AC"),'LABOUR RATES'!$E$26,'LABOUR RATES'!$E$11)</f>
        <v>0</v>
      </c>
      <c r="O91" s="29" t="n">
        <f aca="false">$M91*IF(OR($B91="V",$B91="AC"),'LABOUR RATES'!$C$27,'LABOUR RATES'!$C$12)</f>
        <v>0</v>
      </c>
      <c r="P91" s="40" t="n">
        <f aca="false">$L91+$N91+$O91</f>
        <v>0</v>
      </c>
      <c r="Q91" s="41" t="str">
        <f aca="false">IF($A91="","",IFERROR(SUMIFS('CRM ACTUALS'!$H$7:$H$2006,'CRM ACTUALS'!$D$7:$D$2006,$A91)/SUMIFS('CRM ACTUALS'!$F$7:$F$2006,'CRM ACTUALS'!$D$7:$D$2006,$A91),""))</f>
        <v/>
      </c>
      <c r="R91" s="28" t="str">
        <f aca="false">IF($A91="","",IFERROR(SUMIFS('CRM ACTUALS'!$J$7:$J$2006,'CRM ACTUALS'!$D$7:$D$2006,$A91)/SUMIFS('CRM ACTUALS'!$F$7:$F$2006,'CRM ACTUALS'!$D$7:$D$2006,$A91),""))</f>
        <v/>
      </c>
      <c r="S91" s="21" t="str">
        <f aca="false">IF(OR($Q91="",N($H91)=0),"",$H91/$Q91-1)</f>
        <v/>
      </c>
    </row>
    <row r="92" customFormat="false" ht="15" hidden="false" customHeight="false" outlineLevel="0" collapsed="false">
      <c r="A92" s="11"/>
      <c r="B92" s="11"/>
      <c r="C92" s="11"/>
      <c r="D92" s="11"/>
      <c r="E92" s="36"/>
      <c r="F92" s="11"/>
      <c r="G92" s="37"/>
      <c r="H92" s="38"/>
      <c r="I92" s="37"/>
      <c r="J92" s="36"/>
      <c r="K92" s="11" t="s">
        <v>224</v>
      </c>
      <c r="L92" s="29" t="n">
        <f aca="false">($E92*$G92+$I92)*(1+IF($K92="N",0,INPUTS!$C$23))</f>
        <v>0</v>
      </c>
      <c r="M92" s="39" t="n">
        <f aca="false">$E92*$H92+$J92</f>
        <v>0</v>
      </c>
      <c r="N92" s="29" t="n">
        <f aca="false">$M92*IF(OR($B92="V",$B92="AC"),'LABOUR RATES'!$E$26,'LABOUR RATES'!$E$11)</f>
        <v>0</v>
      </c>
      <c r="O92" s="29" t="n">
        <f aca="false">$M92*IF(OR($B92="V",$B92="AC"),'LABOUR RATES'!$C$27,'LABOUR RATES'!$C$12)</f>
        <v>0</v>
      </c>
      <c r="P92" s="40" t="n">
        <f aca="false">$L92+$N92+$O92</f>
        <v>0</v>
      </c>
      <c r="Q92" s="41" t="str">
        <f aca="false">IF($A92="","",IFERROR(SUMIFS('CRM ACTUALS'!$H$7:$H$2006,'CRM ACTUALS'!$D$7:$D$2006,$A92)/SUMIFS('CRM ACTUALS'!$F$7:$F$2006,'CRM ACTUALS'!$D$7:$D$2006,$A92),""))</f>
        <v/>
      </c>
      <c r="R92" s="28" t="str">
        <f aca="false">IF($A92="","",IFERROR(SUMIFS('CRM ACTUALS'!$J$7:$J$2006,'CRM ACTUALS'!$D$7:$D$2006,$A92)/SUMIFS('CRM ACTUALS'!$F$7:$F$2006,'CRM ACTUALS'!$D$7:$D$2006,$A92),""))</f>
        <v/>
      </c>
      <c r="S92" s="21" t="str">
        <f aca="false">IF(OR($Q92="",N($H92)=0),"",$H92/$Q92-1)</f>
        <v/>
      </c>
    </row>
    <row r="93" customFormat="false" ht="15" hidden="false" customHeight="false" outlineLevel="0" collapsed="false">
      <c r="A93" s="11"/>
      <c r="B93" s="11"/>
      <c r="C93" s="11"/>
      <c r="D93" s="11"/>
      <c r="E93" s="36"/>
      <c r="F93" s="11"/>
      <c r="G93" s="37"/>
      <c r="H93" s="38"/>
      <c r="I93" s="37"/>
      <c r="J93" s="36"/>
      <c r="K93" s="11" t="s">
        <v>224</v>
      </c>
      <c r="L93" s="29" t="n">
        <f aca="false">($E93*$G93+$I93)*(1+IF($K93="N",0,INPUTS!$C$23))</f>
        <v>0</v>
      </c>
      <c r="M93" s="39" t="n">
        <f aca="false">$E93*$H93+$J93</f>
        <v>0</v>
      </c>
      <c r="N93" s="29" t="n">
        <f aca="false">$M93*IF(OR($B93="V",$B93="AC"),'LABOUR RATES'!$E$26,'LABOUR RATES'!$E$11)</f>
        <v>0</v>
      </c>
      <c r="O93" s="29" t="n">
        <f aca="false">$M93*IF(OR($B93="V",$B93="AC"),'LABOUR RATES'!$C$27,'LABOUR RATES'!$C$12)</f>
        <v>0</v>
      </c>
      <c r="P93" s="40" t="n">
        <f aca="false">$L93+$N93+$O93</f>
        <v>0</v>
      </c>
      <c r="Q93" s="41" t="str">
        <f aca="false">IF($A93="","",IFERROR(SUMIFS('CRM ACTUALS'!$H$7:$H$2006,'CRM ACTUALS'!$D$7:$D$2006,$A93)/SUMIFS('CRM ACTUALS'!$F$7:$F$2006,'CRM ACTUALS'!$D$7:$D$2006,$A93),""))</f>
        <v/>
      </c>
      <c r="R93" s="28" t="str">
        <f aca="false">IF($A93="","",IFERROR(SUMIFS('CRM ACTUALS'!$J$7:$J$2006,'CRM ACTUALS'!$D$7:$D$2006,$A93)/SUMIFS('CRM ACTUALS'!$F$7:$F$2006,'CRM ACTUALS'!$D$7:$D$2006,$A93),""))</f>
        <v/>
      </c>
      <c r="S93" s="21" t="str">
        <f aca="false">IF(OR($Q93="",N($H93)=0),"",$H93/$Q93-1)</f>
        <v/>
      </c>
    </row>
    <row r="94" customFormat="false" ht="15" hidden="false" customHeight="false" outlineLevel="0" collapsed="false">
      <c r="A94" s="11"/>
      <c r="B94" s="11"/>
      <c r="C94" s="11"/>
      <c r="D94" s="11"/>
      <c r="E94" s="36"/>
      <c r="F94" s="11"/>
      <c r="G94" s="37"/>
      <c r="H94" s="38"/>
      <c r="I94" s="37"/>
      <c r="J94" s="36"/>
      <c r="K94" s="11" t="s">
        <v>224</v>
      </c>
      <c r="L94" s="29" t="n">
        <f aca="false">($E94*$G94+$I94)*(1+IF($K94="N",0,INPUTS!$C$23))</f>
        <v>0</v>
      </c>
      <c r="M94" s="39" t="n">
        <f aca="false">$E94*$H94+$J94</f>
        <v>0</v>
      </c>
      <c r="N94" s="29" t="n">
        <f aca="false">$M94*IF(OR($B94="V",$B94="AC"),'LABOUR RATES'!$E$26,'LABOUR RATES'!$E$11)</f>
        <v>0</v>
      </c>
      <c r="O94" s="29" t="n">
        <f aca="false">$M94*IF(OR($B94="V",$B94="AC"),'LABOUR RATES'!$C$27,'LABOUR RATES'!$C$12)</f>
        <v>0</v>
      </c>
      <c r="P94" s="40" t="n">
        <f aca="false">$L94+$N94+$O94</f>
        <v>0</v>
      </c>
      <c r="Q94" s="41" t="str">
        <f aca="false">IF($A94="","",IFERROR(SUMIFS('CRM ACTUALS'!$H$7:$H$2006,'CRM ACTUALS'!$D$7:$D$2006,$A94)/SUMIFS('CRM ACTUALS'!$F$7:$F$2006,'CRM ACTUALS'!$D$7:$D$2006,$A94),""))</f>
        <v/>
      </c>
      <c r="R94" s="28" t="str">
        <f aca="false">IF($A94="","",IFERROR(SUMIFS('CRM ACTUALS'!$J$7:$J$2006,'CRM ACTUALS'!$D$7:$D$2006,$A94)/SUMIFS('CRM ACTUALS'!$F$7:$F$2006,'CRM ACTUALS'!$D$7:$D$2006,$A94),""))</f>
        <v/>
      </c>
      <c r="S94" s="21" t="str">
        <f aca="false">IF(OR($Q94="",N($H94)=0),"",$H94/$Q94-1)</f>
        <v/>
      </c>
    </row>
    <row r="95" customFormat="false" ht="15" hidden="false" customHeight="false" outlineLevel="0" collapsed="false">
      <c r="A95" s="11"/>
      <c r="B95" s="11"/>
      <c r="C95" s="11"/>
      <c r="D95" s="11"/>
      <c r="E95" s="36"/>
      <c r="F95" s="11"/>
      <c r="G95" s="37"/>
      <c r="H95" s="38"/>
      <c r="I95" s="37"/>
      <c r="J95" s="36"/>
      <c r="K95" s="11" t="s">
        <v>224</v>
      </c>
      <c r="L95" s="29" t="n">
        <f aca="false">($E95*$G95+$I95)*(1+IF($K95="N",0,INPUTS!$C$23))</f>
        <v>0</v>
      </c>
      <c r="M95" s="39" t="n">
        <f aca="false">$E95*$H95+$J95</f>
        <v>0</v>
      </c>
      <c r="N95" s="29" t="n">
        <f aca="false">$M95*IF(OR($B95="V",$B95="AC"),'LABOUR RATES'!$E$26,'LABOUR RATES'!$E$11)</f>
        <v>0</v>
      </c>
      <c r="O95" s="29" t="n">
        <f aca="false">$M95*IF(OR($B95="V",$B95="AC"),'LABOUR RATES'!$C$27,'LABOUR RATES'!$C$12)</f>
        <v>0</v>
      </c>
      <c r="P95" s="40" t="n">
        <f aca="false">$L95+$N95+$O95</f>
        <v>0</v>
      </c>
      <c r="Q95" s="41" t="str">
        <f aca="false">IF($A95="","",IFERROR(SUMIFS('CRM ACTUALS'!$H$7:$H$2006,'CRM ACTUALS'!$D$7:$D$2006,$A95)/SUMIFS('CRM ACTUALS'!$F$7:$F$2006,'CRM ACTUALS'!$D$7:$D$2006,$A95),""))</f>
        <v/>
      </c>
      <c r="R95" s="28" t="str">
        <f aca="false">IF($A95="","",IFERROR(SUMIFS('CRM ACTUALS'!$J$7:$J$2006,'CRM ACTUALS'!$D$7:$D$2006,$A95)/SUMIFS('CRM ACTUALS'!$F$7:$F$2006,'CRM ACTUALS'!$D$7:$D$2006,$A95),""))</f>
        <v/>
      </c>
      <c r="S95" s="21" t="str">
        <f aca="false">IF(OR($Q95="",N($H95)=0),"",$H95/$Q95-1)</f>
        <v/>
      </c>
    </row>
    <row r="96" customFormat="false" ht="15" hidden="false" customHeight="false" outlineLevel="0" collapsed="false">
      <c r="A96" s="11"/>
      <c r="B96" s="11"/>
      <c r="C96" s="11"/>
      <c r="D96" s="11"/>
      <c r="E96" s="36"/>
      <c r="F96" s="11"/>
      <c r="G96" s="37"/>
      <c r="H96" s="38"/>
      <c r="I96" s="37"/>
      <c r="J96" s="36"/>
      <c r="K96" s="11" t="s">
        <v>224</v>
      </c>
      <c r="L96" s="29" t="n">
        <f aca="false">($E96*$G96+$I96)*(1+IF($K96="N",0,INPUTS!$C$23))</f>
        <v>0</v>
      </c>
      <c r="M96" s="39" t="n">
        <f aca="false">$E96*$H96+$J96</f>
        <v>0</v>
      </c>
      <c r="N96" s="29" t="n">
        <f aca="false">$M96*IF(OR($B96="V",$B96="AC"),'LABOUR RATES'!$E$26,'LABOUR RATES'!$E$11)</f>
        <v>0</v>
      </c>
      <c r="O96" s="29" t="n">
        <f aca="false">$M96*IF(OR($B96="V",$B96="AC"),'LABOUR RATES'!$C$27,'LABOUR RATES'!$C$12)</f>
        <v>0</v>
      </c>
      <c r="P96" s="40" t="n">
        <f aca="false">$L96+$N96+$O96</f>
        <v>0</v>
      </c>
      <c r="Q96" s="41" t="str">
        <f aca="false">IF($A96="","",IFERROR(SUMIFS('CRM ACTUALS'!$H$7:$H$2006,'CRM ACTUALS'!$D$7:$D$2006,$A96)/SUMIFS('CRM ACTUALS'!$F$7:$F$2006,'CRM ACTUALS'!$D$7:$D$2006,$A96),""))</f>
        <v/>
      </c>
      <c r="R96" s="28" t="str">
        <f aca="false">IF($A96="","",IFERROR(SUMIFS('CRM ACTUALS'!$J$7:$J$2006,'CRM ACTUALS'!$D$7:$D$2006,$A96)/SUMIFS('CRM ACTUALS'!$F$7:$F$2006,'CRM ACTUALS'!$D$7:$D$2006,$A96),""))</f>
        <v/>
      </c>
      <c r="S96" s="21" t="str">
        <f aca="false">IF(OR($Q96="",N($H96)=0),"",$H96/$Q96-1)</f>
        <v/>
      </c>
    </row>
    <row r="97" customFormat="false" ht="15" hidden="false" customHeight="false" outlineLevel="0" collapsed="false">
      <c r="A97" s="11"/>
      <c r="B97" s="11"/>
      <c r="C97" s="11"/>
      <c r="D97" s="11"/>
      <c r="E97" s="36"/>
      <c r="F97" s="11"/>
      <c r="G97" s="37"/>
      <c r="H97" s="38"/>
      <c r="I97" s="37"/>
      <c r="J97" s="36"/>
      <c r="K97" s="11" t="s">
        <v>224</v>
      </c>
      <c r="L97" s="29" t="n">
        <f aca="false">($E97*$G97+$I97)*(1+IF($K97="N",0,INPUTS!$C$23))</f>
        <v>0</v>
      </c>
      <c r="M97" s="39" t="n">
        <f aca="false">$E97*$H97+$J97</f>
        <v>0</v>
      </c>
      <c r="N97" s="29" t="n">
        <f aca="false">$M97*IF(OR($B97="V",$B97="AC"),'LABOUR RATES'!$E$26,'LABOUR RATES'!$E$11)</f>
        <v>0</v>
      </c>
      <c r="O97" s="29" t="n">
        <f aca="false">$M97*IF(OR($B97="V",$B97="AC"),'LABOUR RATES'!$C$27,'LABOUR RATES'!$C$12)</f>
        <v>0</v>
      </c>
      <c r="P97" s="40" t="n">
        <f aca="false">$L97+$N97+$O97</f>
        <v>0</v>
      </c>
      <c r="Q97" s="41" t="str">
        <f aca="false">IF($A97="","",IFERROR(SUMIFS('CRM ACTUALS'!$H$7:$H$2006,'CRM ACTUALS'!$D$7:$D$2006,$A97)/SUMIFS('CRM ACTUALS'!$F$7:$F$2006,'CRM ACTUALS'!$D$7:$D$2006,$A97),""))</f>
        <v/>
      </c>
      <c r="R97" s="28" t="str">
        <f aca="false">IF($A97="","",IFERROR(SUMIFS('CRM ACTUALS'!$J$7:$J$2006,'CRM ACTUALS'!$D$7:$D$2006,$A97)/SUMIFS('CRM ACTUALS'!$F$7:$F$2006,'CRM ACTUALS'!$D$7:$D$2006,$A97),""))</f>
        <v/>
      </c>
      <c r="S97" s="21" t="str">
        <f aca="false">IF(OR($Q97="",N($H97)=0),"",$H97/$Q97-1)</f>
        <v/>
      </c>
    </row>
    <row r="98" customFormat="false" ht="15" hidden="false" customHeight="false" outlineLevel="0" collapsed="false">
      <c r="A98" s="11"/>
      <c r="B98" s="11"/>
      <c r="C98" s="11"/>
      <c r="D98" s="11"/>
      <c r="E98" s="36"/>
      <c r="F98" s="11"/>
      <c r="G98" s="37"/>
      <c r="H98" s="38"/>
      <c r="I98" s="37"/>
      <c r="J98" s="36"/>
      <c r="K98" s="11" t="s">
        <v>224</v>
      </c>
      <c r="L98" s="29" t="n">
        <f aca="false">($E98*$G98+$I98)*(1+IF($K98="N",0,INPUTS!$C$23))</f>
        <v>0</v>
      </c>
      <c r="M98" s="39" t="n">
        <f aca="false">$E98*$H98+$J98</f>
        <v>0</v>
      </c>
      <c r="N98" s="29" t="n">
        <f aca="false">$M98*IF(OR($B98="V",$B98="AC"),'LABOUR RATES'!$E$26,'LABOUR RATES'!$E$11)</f>
        <v>0</v>
      </c>
      <c r="O98" s="29" t="n">
        <f aca="false">$M98*IF(OR($B98="V",$B98="AC"),'LABOUR RATES'!$C$27,'LABOUR RATES'!$C$12)</f>
        <v>0</v>
      </c>
      <c r="P98" s="40" t="n">
        <f aca="false">$L98+$N98+$O98</f>
        <v>0</v>
      </c>
      <c r="Q98" s="41" t="str">
        <f aca="false">IF($A98="","",IFERROR(SUMIFS('CRM ACTUALS'!$H$7:$H$2006,'CRM ACTUALS'!$D$7:$D$2006,$A98)/SUMIFS('CRM ACTUALS'!$F$7:$F$2006,'CRM ACTUALS'!$D$7:$D$2006,$A98),""))</f>
        <v/>
      </c>
      <c r="R98" s="28" t="str">
        <f aca="false">IF($A98="","",IFERROR(SUMIFS('CRM ACTUALS'!$J$7:$J$2006,'CRM ACTUALS'!$D$7:$D$2006,$A98)/SUMIFS('CRM ACTUALS'!$F$7:$F$2006,'CRM ACTUALS'!$D$7:$D$2006,$A98),""))</f>
        <v/>
      </c>
      <c r="S98" s="21" t="str">
        <f aca="false">IF(OR($Q98="",N($H98)=0),"",$H98/$Q98-1)</f>
        <v/>
      </c>
    </row>
    <row r="99" customFormat="false" ht="15" hidden="false" customHeight="false" outlineLevel="0" collapsed="false">
      <c r="A99" s="11"/>
      <c r="B99" s="11"/>
      <c r="C99" s="11"/>
      <c r="D99" s="11"/>
      <c r="E99" s="36"/>
      <c r="F99" s="11"/>
      <c r="G99" s="37"/>
      <c r="H99" s="38"/>
      <c r="I99" s="37"/>
      <c r="J99" s="36"/>
      <c r="K99" s="11" t="s">
        <v>224</v>
      </c>
      <c r="L99" s="29" t="n">
        <f aca="false">($E99*$G99+$I99)*(1+IF($K99="N",0,INPUTS!$C$23))</f>
        <v>0</v>
      </c>
      <c r="M99" s="39" t="n">
        <f aca="false">$E99*$H99+$J99</f>
        <v>0</v>
      </c>
      <c r="N99" s="29" t="n">
        <f aca="false">$M99*IF(OR($B99="V",$B99="AC"),'LABOUR RATES'!$E$26,'LABOUR RATES'!$E$11)</f>
        <v>0</v>
      </c>
      <c r="O99" s="29" t="n">
        <f aca="false">$M99*IF(OR($B99="V",$B99="AC"),'LABOUR RATES'!$C$27,'LABOUR RATES'!$C$12)</f>
        <v>0</v>
      </c>
      <c r="P99" s="40" t="n">
        <f aca="false">$L99+$N99+$O99</f>
        <v>0</v>
      </c>
      <c r="Q99" s="41" t="str">
        <f aca="false">IF($A99="","",IFERROR(SUMIFS('CRM ACTUALS'!$H$7:$H$2006,'CRM ACTUALS'!$D$7:$D$2006,$A99)/SUMIFS('CRM ACTUALS'!$F$7:$F$2006,'CRM ACTUALS'!$D$7:$D$2006,$A99),""))</f>
        <v/>
      </c>
      <c r="R99" s="28" t="str">
        <f aca="false">IF($A99="","",IFERROR(SUMIFS('CRM ACTUALS'!$J$7:$J$2006,'CRM ACTUALS'!$D$7:$D$2006,$A99)/SUMIFS('CRM ACTUALS'!$F$7:$F$2006,'CRM ACTUALS'!$D$7:$D$2006,$A99),""))</f>
        <v/>
      </c>
      <c r="S99" s="21" t="str">
        <f aca="false">IF(OR($Q99="",N($H99)=0),"",$H99/$Q99-1)</f>
        <v/>
      </c>
    </row>
    <row r="100" customFormat="false" ht="15" hidden="false" customHeight="false" outlineLevel="0" collapsed="false">
      <c r="A100" s="11"/>
      <c r="B100" s="11"/>
      <c r="C100" s="11"/>
      <c r="D100" s="11"/>
      <c r="E100" s="36"/>
      <c r="F100" s="11"/>
      <c r="G100" s="37"/>
      <c r="H100" s="38"/>
      <c r="I100" s="37"/>
      <c r="J100" s="36"/>
      <c r="K100" s="11" t="s">
        <v>224</v>
      </c>
      <c r="L100" s="29" t="n">
        <f aca="false">($E100*$G100+$I100)*(1+IF($K100="N",0,INPUTS!$C$23))</f>
        <v>0</v>
      </c>
      <c r="M100" s="39" t="n">
        <f aca="false">$E100*$H100+$J100</f>
        <v>0</v>
      </c>
      <c r="N100" s="29" t="n">
        <f aca="false">$M100*IF(OR($B100="V",$B100="AC"),'LABOUR RATES'!$E$26,'LABOUR RATES'!$E$11)</f>
        <v>0</v>
      </c>
      <c r="O100" s="29" t="n">
        <f aca="false">$M100*IF(OR($B100="V",$B100="AC"),'LABOUR RATES'!$C$27,'LABOUR RATES'!$C$12)</f>
        <v>0</v>
      </c>
      <c r="P100" s="40" t="n">
        <f aca="false">$L100+$N100+$O100</f>
        <v>0</v>
      </c>
      <c r="Q100" s="41" t="str">
        <f aca="false">IF($A100="","",IFERROR(SUMIFS('CRM ACTUALS'!$H$7:$H$2006,'CRM ACTUALS'!$D$7:$D$2006,$A100)/SUMIFS('CRM ACTUALS'!$F$7:$F$2006,'CRM ACTUALS'!$D$7:$D$2006,$A100),""))</f>
        <v/>
      </c>
      <c r="R100" s="28" t="str">
        <f aca="false">IF($A100="","",IFERROR(SUMIFS('CRM ACTUALS'!$J$7:$J$2006,'CRM ACTUALS'!$D$7:$D$2006,$A100)/SUMIFS('CRM ACTUALS'!$F$7:$F$2006,'CRM ACTUALS'!$D$7:$D$2006,$A100),""))</f>
        <v/>
      </c>
      <c r="S100" s="21" t="str">
        <f aca="false">IF(OR($Q100="",N($H100)=0),"",$H100/$Q100-1)</f>
        <v/>
      </c>
    </row>
    <row r="101" customFormat="false" ht="15" hidden="false" customHeight="false" outlineLevel="0" collapsed="false">
      <c r="A101" s="11"/>
      <c r="B101" s="11"/>
      <c r="C101" s="11"/>
      <c r="D101" s="11"/>
      <c r="E101" s="36"/>
      <c r="F101" s="11"/>
      <c r="G101" s="37"/>
      <c r="H101" s="38"/>
      <c r="I101" s="37"/>
      <c r="J101" s="36"/>
      <c r="K101" s="11" t="s">
        <v>224</v>
      </c>
      <c r="L101" s="29" t="n">
        <f aca="false">($E101*$G101+$I101)*(1+IF($K101="N",0,INPUTS!$C$23))</f>
        <v>0</v>
      </c>
      <c r="M101" s="39" t="n">
        <f aca="false">$E101*$H101+$J101</f>
        <v>0</v>
      </c>
      <c r="N101" s="29" t="n">
        <f aca="false">$M101*IF(OR($B101="V",$B101="AC"),'LABOUR RATES'!$E$26,'LABOUR RATES'!$E$11)</f>
        <v>0</v>
      </c>
      <c r="O101" s="29" t="n">
        <f aca="false">$M101*IF(OR($B101="V",$B101="AC"),'LABOUR RATES'!$C$27,'LABOUR RATES'!$C$12)</f>
        <v>0</v>
      </c>
      <c r="P101" s="40" t="n">
        <f aca="false">$L101+$N101+$O101</f>
        <v>0</v>
      </c>
      <c r="Q101" s="41" t="str">
        <f aca="false">IF($A101="","",IFERROR(SUMIFS('CRM ACTUALS'!$H$7:$H$2006,'CRM ACTUALS'!$D$7:$D$2006,$A101)/SUMIFS('CRM ACTUALS'!$F$7:$F$2006,'CRM ACTUALS'!$D$7:$D$2006,$A101),""))</f>
        <v/>
      </c>
      <c r="R101" s="28" t="str">
        <f aca="false">IF($A101="","",IFERROR(SUMIFS('CRM ACTUALS'!$J$7:$J$2006,'CRM ACTUALS'!$D$7:$D$2006,$A101)/SUMIFS('CRM ACTUALS'!$F$7:$F$2006,'CRM ACTUALS'!$D$7:$D$2006,$A101),""))</f>
        <v/>
      </c>
      <c r="S101" s="21" t="str">
        <f aca="false">IF(OR($Q101="",N($H101)=0),"",$H101/$Q101-1)</f>
        <v/>
      </c>
    </row>
    <row r="102" customFormat="false" ht="15" hidden="false" customHeight="false" outlineLevel="0" collapsed="false">
      <c r="A102" s="11"/>
      <c r="B102" s="11"/>
      <c r="C102" s="11"/>
      <c r="D102" s="11"/>
      <c r="E102" s="36"/>
      <c r="F102" s="11"/>
      <c r="G102" s="37"/>
      <c r="H102" s="38"/>
      <c r="I102" s="37"/>
      <c r="J102" s="36"/>
      <c r="K102" s="11" t="s">
        <v>224</v>
      </c>
      <c r="L102" s="29" t="n">
        <f aca="false">($E102*$G102+$I102)*(1+IF($K102="N",0,INPUTS!$C$23))</f>
        <v>0</v>
      </c>
      <c r="M102" s="39" t="n">
        <f aca="false">$E102*$H102+$J102</f>
        <v>0</v>
      </c>
      <c r="N102" s="29" t="n">
        <f aca="false">$M102*IF(OR($B102="V",$B102="AC"),'LABOUR RATES'!$E$26,'LABOUR RATES'!$E$11)</f>
        <v>0</v>
      </c>
      <c r="O102" s="29" t="n">
        <f aca="false">$M102*IF(OR($B102="V",$B102="AC"),'LABOUR RATES'!$C$27,'LABOUR RATES'!$C$12)</f>
        <v>0</v>
      </c>
      <c r="P102" s="40" t="n">
        <f aca="false">$L102+$N102+$O102</f>
        <v>0</v>
      </c>
      <c r="Q102" s="41" t="str">
        <f aca="false">IF($A102="","",IFERROR(SUMIFS('CRM ACTUALS'!$H$7:$H$2006,'CRM ACTUALS'!$D$7:$D$2006,$A102)/SUMIFS('CRM ACTUALS'!$F$7:$F$2006,'CRM ACTUALS'!$D$7:$D$2006,$A102),""))</f>
        <v/>
      </c>
      <c r="R102" s="28" t="str">
        <f aca="false">IF($A102="","",IFERROR(SUMIFS('CRM ACTUALS'!$J$7:$J$2006,'CRM ACTUALS'!$D$7:$D$2006,$A102)/SUMIFS('CRM ACTUALS'!$F$7:$F$2006,'CRM ACTUALS'!$D$7:$D$2006,$A102),""))</f>
        <v/>
      </c>
      <c r="S102" s="21" t="str">
        <f aca="false">IF(OR($Q102="",N($H102)=0),"",$H102/$Q102-1)</f>
        <v/>
      </c>
    </row>
    <row r="103" customFormat="false" ht="15" hidden="false" customHeight="false" outlineLevel="0" collapsed="false">
      <c r="A103" s="11"/>
      <c r="B103" s="11"/>
      <c r="C103" s="11"/>
      <c r="D103" s="11"/>
      <c r="E103" s="36"/>
      <c r="F103" s="11"/>
      <c r="G103" s="37"/>
      <c r="H103" s="38"/>
      <c r="I103" s="37"/>
      <c r="J103" s="36"/>
      <c r="K103" s="11" t="s">
        <v>224</v>
      </c>
      <c r="L103" s="29" t="n">
        <f aca="false">($E103*$G103+$I103)*(1+IF($K103="N",0,INPUTS!$C$23))</f>
        <v>0</v>
      </c>
      <c r="M103" s="39" t="n">
        <f aca="false">$E103*$H103+$J103</f>
        <v>0</v>
      </c>
      <c r="N103" s="29" t="n">
        <f aca="false">$M103*IF(OR($B103="V",$B103="AC"),'LABOUR RATES'!$E$26,'LABOUR RATES'!$E$11)</f>
        <v>0</v>
      </c>
      <c r="O103" s="29" t="n">
        <f aca="false">$M103*IF(OR($B103="V",$B103="AC"),'LABOUR RATES'!$C$27,'LABOUR RATES'!$C$12)</f>
        <v>0</v>
      </c>
      <c r="P103" s="40" t="n">
        <f aca="false">$L103+$N103+$O103</f>
        <v>0</v>
      </c>
      <c r="Q103" s="41" t="str">
        <f aca="false">IF($A103="","",IFERROR(SUMIFS('CRM ACTUALS'!$H$7:$H$2006,'CRM ACTUALS'!$D$7:$D$2006,$A103)/SUMIFS('CRM ACTUALS'!$F$7:$F$2006,'CRM ACTUALS'!$D$7:$D$2006,$A103),""))</f>
        <v/>
      </c>
      <c r="R103" s="28" t="str">
        <f aca="false">IF($A103="","",IFERROR(SUMIFS('CRM ACTUALS'!$J$7:$J$2006,'CRM ACTUALS'!$D$7:$D$2006,$A103)/SUMIFS('CRM ACTUALS'!$F$7:$F$2006,'CRM ACTUALS'!$D$7:$D$2006,$A103),""))</f>
        <v/>
      </c>
      <c r="S103" s="21" t="str">
        <f aca="false">IF(OR($Q103="",N($H103)=0),"",$H103/$Q103-1)</f>
        <v/>
      </c>
    </row>
    <row r="104" customFormat="false" ht="15" hidden="false" customHeight="false" outlineLevel="0" collapsed="false">
      <c r="A104" s="11"/>
      <c r="B104" s="11"/>
      <c r="C104" s="11"/>
      <c r="D104" s="11"/>
      <c r="E104" s="36"/>
      <c r="F104" s="11"/>
      <c r="G104" s="37"/>
      <c r="H104" s="38"/>
      <c r="I104" s="37"/>
      <c r="J104" s="36"/>
      <c r="K104" s="11" t="s">
        <v>224</v>
      </c>
      <c r="L104" s="29" t="n">
        <f aca="false">($E104*$G104+$I104)*(1+IF($K104="N",0,INPUTS!$C$23))</f>
        <v>0</v>
      </c>
      <c r="M104" s="39" t="n">
        <f aca="false">$E104*$H104+$J104</f>
        <v>0</v>
      </c>
      <c r="N104" s="29" t="n">
        <f aca="false">$M104*IF(OR($B104="V",$B104="AC"),'LABOUR RATES'!$E$26,'LABOUR RATES'!$E$11)</f>
        <v>0</v>
      </c>
      <c r="O104" s="29" t="n">
        <f aca="false">$M104*IF(OR($B104="V",$B104="AC"),'LABOUR RATES'!$C$27,'LABOUR RATES'!$C$12)</f>
        <v>0</v>
      </c>
      <c r="P104" s="40" t="n">
        <f aca="false">$L104+$N104+$O104</f>
        <v>0</v>
      </c>
      <c r="Q104" s="41" t="str">
        <f aca="false">IF($A104="","",IFERROR(SUMIFS('CRM ACTUALS'!$H$7:$H$2006,'CRM ACTUALS'!$D$7:$D$2006,$A104)/SUMIFS('CRM ACTUALS'!$F$7:$F$2006,'CRM ACTUALS'!$D$7:$D$2006,$A104),""))</f>
        <v/>
      </c>
      <c r="R104" s="28" t="str">
        <f aca="false">IF($A104="","",IFERROR(SUMIFS('CRM ACTUALS'!$J$7:$J$2006,'CRM ACTUALS'!$D$7:$D$2006,$A104)/SUMIFS('CRM ACTUALS'!$F$7:$F$2006,'CRM ACTUALS'!$D$7:$D$2006,$A104),""))</f>
        <v/>
      </c>
      <c r="S104" s="21" t="str">
        <f aca="false">IF(OR($Q104="",N($H104)=0),"",$H104/$Q104-1)</f>
        <v/>
      </c>
    </row>
    <row r="105" customFormat="false" ht="15" hidden="false" customHeight="false" outlineLevel="0" collapsed="false">
      <c r="A105" s="11"/>
      <c r="B105" s="11"/>
      <c r="C105" s="11"/>
      <c r="D105" s="11"/>
      <c r="E105" s="36"/>
      <c r="F105" s="11"/>
      <c r="G105" s="37"/>
      <c r="H105" s="38"/>
      <c r="I105" s="37"/>
      <c r="J105" s="36"/>
      <c r="K105" s="11" t="s">
        <v>224</v>
      </c>
      <c r="L105" s="29" t="n">
        <f aca="false">($E105*$G105+$I105)*(1+IF($K105="N",0,INPUTS!$C$23))</f>
        <v>0</v>
      </c>
      <c r="M105" s="39" t="n">
        <f aca="false">$E105*$H105+$J105</f>
        <v>0</v>
      </c>
      <c r="N105" s="29" t="n">
        <f aca="false">$M105*IF(OR($B105="V",$B105="AC"),'LABOUR RATES'!$E$26,'LABOUR RATES'!$E$11)</f>
        <v>0</v>
      </c>
      <c r="O105" s="29" t="n">
        <f aca="false">$M105*IF(OR($B105="V",$B105="AC"),'LABOUR RATES'!$C$27,'LABOUR RATES'!$C$12)</f>
        <v>0</v>
      </c>
      <c r="P105" s="40" t="n">
        <f aca="false">$L105+$N105+$O105</f>
        <v>0</v>
      </c>
      <c r="Q105" s="41" t="str">
        <f aca="false">IF($A105="","",IFERROR(SUMIFS('CRM ACTUALS'!$H$7:$H$2006,'CRM ACTUALS'!$D$7:$D$2006,$A105)/SUMIFS('CRM ACTUALS'!$F$7:$F$2006,'CRM ACTUALS'!$D$7:$D$2006,$A105),""))</f>
        <v/>
      </c>
      <c r="R105" s="28" t="str">
        <f aca="false">IF($A105="","",IFERROR(SUMIFS('CRM ACTUALS'!$J$7:$J$2006,'CRM ACTUALS'!$D$7:$D$2006,$A105)/SUMIFS('CRM ACTUALS'!$F$7:$F$2006,'CRM ACTUALS'!$D$7:$D$2006,$A105),""))</f>
        <v/>
      </c>
      <c r="S105" s="21" t="str">
        <f aca="false">IF(OR($Q105="",N($H105)=0),"",$H105/$Q105-1)</f>
        <v/>
      </c>
    </row>
    <row r="106" customFormat="false" ht="15" hidden="false" customHeight="false" outlineLevel="0" collapsed="false">
      <c r="A106" s="11"/>
      <c r="B106" s="11"/>
      <c r="C106" s="11"/>
      <c r="D106" s="11"/>
      <c r="E106" s="36"/>
      <c r="F106" s="11"/>
      <c r="G106" s="37"/>
      <c r="H106" s="38"/>
      <c r="I106" s="37"/>
      <c r="J106" s="36"/>
      <c r="K106" s="11" t="s">
        <v>224</v>
      </c>
      <c r="L106" s="29" t="n">
        <f aca="false">($E106*$G106+$I106)*(1+IF($K106="N",0,INPUTS!$C$23))</f>
        <v>0</v>
      </c>
      <c r="M106" s="39" t="n">
        <f aca="false">$E106*$H106+$J106</f>
        <v>0</v>
      </c>
      <c r="N106" s="29" t="n">
        <f aca="false">$M106*IF(OR($B106="V",$B106="AC"),'LABOUR RATES'!$E$26,'LABOUR RATES'!$E$11)</f>
        <v>0</v>
      </c>
      <c r="O106" s="29" t="n">
        <f aca="false">$M106*IF(OR($B106="V",$B106="AC"),'LABOUR RATES'!$C$27,'LABOUR RATES'!$C$12)</f>
        <v>0</v>
      </c>
      <c r="P106" s="40" t="n">
        <f aca="false">$L106+$N106+$O106</f>
        <v>0</v>
      </c>
      <c r="Q106" s="41" t="str">
        <f aca="false">IF($A106="","",IFERROR(SUMIFS('CRM ACTUALS'!$H$7:$H$2006,'CRM ACTUALS'!$D$7:$D$2006,$A106)/SUMIFS('CRM ACTUALS'!$F$7:$F$2006,'CRM ACTUALS'!$D$7:$D$2006,$A106),""))</f>
        <v/>
      </c>
      <c r="R106" s="28" t="str">
        <f aca="false">IF($A106="","",IFERROR(SUMIFS('CRM ACTUALS'!$J$7:$J$2006,'CRM ACTUALS'!$D$7:$D$2006,$A106)/SUMIFS('CRM ACTUALS'!$F$7:$F$2006,'CRM ACTUALS'!$D$7:$D$2006,$A106),""))</f>
        <v/>
      </c>
      <c r="S106" s="21" t="str">
        <f aca="false">IF(OR($Q106="",N($H106)=0),"",$H106/$Q106-1)</f>
        <v/>
      </c>
    </row>
    <row r="107" customFormat="false" ht="15" hidden="false" customHeight="false" outlineLevel="0" collapsed="false">
      <c r="A107" s="11"/>
      <c r="B107" s="11"/>
      <c r="C107" s="11"/>
      <c r="D107" s="11"/>
      <c r="E107" s="36"/>
      <c r="F107" s="11"/>
      <c r="G107" s="37"/>
      <c r="H107" s="38"/>
      <c r="I107" s="37"/>
      <c r="J107" s="36"/>
      <c r="K107" s="11" t="s">
        <v>224</v>
      </c>
      <c r="L107" s="29" t="n">
        <f aca="false">($E107*$G107+$I107)*(1+IF($K107="N",0,INPUTS!$C$23))</f>
        <v>0</v>
      </c>
      <c r="M107" s="39" t="n">
        <f aca="false">$E107*$H107+$J107</f>
        <v>0</v>
      </c>
      <c r="N107" s="29" t="n">
        <f aca="false">$M107*IF(OR($B107="V",$B107="AC"),'LABOUR RATES'!$E$26,'LABOUR RATES'!$E$11)</f>
        <v>0</v>
      </c>
      <c r="O107" s="29" t="n">
        <f aca="false">$M107*IF(OR($B107="V",$B107="AC"),'LABOUR RATES'!$C$27,'LABOUR RATES'!$C$12)</f>
        <v>0</v>
      </c>
      <c r="P107" s="40" t="n">
        <f aca="false">$L107+$N107+$O107</f>
        <v>0</v>
      </c>
      <c r="Q107" s="41" t="str">
        <f aca="false">IF($A107="","",IFERROR(SUMIFS('CRM ACTUALS'!$H$7:$H$2006,'CRM ACTUALS'!$D$7:$D$2006,$A107)/SUMIFS('CRM ACTUALS'!$F$7:$F$2006,'CRM ACTUALS'!$D$7:$D$2006,$A107),""))</f>
        <v/>
      </c>
      <c r="R107" s="28" t="str">
        <f aca="false">IF($A107="","",IFERROR(SUMIFS('CRM ACTUALS'!$J$7:$J$2006,'CRM ACTUALS'!$D$7:$D$2006,$A107)/SUMIFS('CRM ACTUALS'!$F$7:$F$2006,'CRM ACTUALS'!$D$7:$D$2006,$A107),""))</f>
        <v/>
      </c>
      <c r="S107" s="21" t="str">
        <f aca="false">IF(OR($Q107="",N($H107)=0),"",$H107/$Q107-1)</f>
        <v/>
      </c>
    </row>
    <row r="108" customFormat="false" ht="15" hidden="false" customHeight="false" outlineLevel="0" collapsed="false">
      <c r="A108" s="11"/>
      <c r="B108" s="11"/>
      <c r="C108" s="11"/>
      <c r="D108" s="11"/>
      <c r="E108" s="36"/>
      <c r="F108" s="11"/>
      <c r="G108" s="37"/>
      <c r="H108" s="38"/>
      <c r="I108" s="37"/>
      <c r="J108" s="36"/>
      <c r="K108" s="11" t="s">
        <v>224</v>
      </c>
      <c r="L108" s="29" t="n">
        <f aca="false">($E108*$G108+$I108)*(1+IF($K108="N",0,INPUTS!$C$23))</f>
        <v>0</v>
      </c>
      <c r="M108" s="39" t="n">
        <f aca="false">$E108*$H108+$J108</f>
        <v>0</v>
      </c>
      <c r="N108" s="29" t="n">
        <f aca="false">$M108*IF(OR($B108="V",$B108="AC"),'LABOUR RATES'!$E$26,'LABOUR RATES'!$E$11)</f>
        <v>0</v>
      </c>
      <c r="O108" s="29" t="n">
        <f aca="false">$M108*IF(OR($B108="V",$B108="AC"),'LABOUR RATES'!$C$27,'LABOUR RATES'!$C$12)</f>
        <v>0</v>
      </c>
      <c r="P108" s="40" t="n">
        <f aca="false">$L108+$N108+$O108</f>
        <v>0</v>
      </c>
      <c r="Q108" s="41" t="str">
        <f aca="false">IF($A108="","",IFERROR(SUMIFS('CRM ACTUALS'!$H$7:$H$2006,'CRM ACTUALS'!$D$7:$D$2006,$A108)/SUMIFS('CRM ACTUALS'!$F$7:$F$2006,'CRM ACTUALS'!$D$7:$D$2006,$A108),""))</f>
        <v/>
      </c>
      <c r="R108" s="28" t="str">
        <f aca="false">IF($A108="","",IFERROR(SUMIFS('CRM ACTUALS'!$J$7:$J$2006,'CRM ACTUALS'!$D$7:$D$2006,$A108)/SUMIFS('CRM ACTUALS'!$F$7:$F$2006,'CRM ACTUALS'!$D$7:$D$2006,$A108),""))</f>
        <v/>
      </c>
      <c r="S108" s="21" t="str">
        <f aca="false">IF(OR($Q108="",N($H108)=0),"",$H108/$Q108-1)</f>
        <v/>
      </c>
    </row>
    <row r="109" customFormat="false" ht="15" hidden="false" customHeight="false" outlineLevel="0" collapsed="false">
      <c r="A109" s="11"/>
      <c r="B109" s="11"/>
      <c r="C109" s="11"/>
      <c r="D109" s="11"/>
      <c r="E109" s="36"/>
      <c r="F109" s="11"/>
      <c r="G109" s="37"/>
      <c r="H109" s="38"/>
      <c r="I109" s="37"/>
      <c r="J109" s="36"/>
      <c r="K109" s="11" t="s">
        <v>224</v>
      </c>
      <c r="L109" s="29" t="n">
        <f aca="false">($E109*$G109+$I109)*(1+IF($K109="N",0,INPUTS!$C$23))</f>
        <v>0</v>
      </c>
      <c r="M109" s="39" t="n">
        <f aca="false">$E109*$H109+$J109</f>
        <v>0</v>
      </c>
      <c r="N109" s="29" t="n">
        <f aca="false">$M109*IF(OR($B109="V",$B109="AC"),'LABOUR RATES'!$E$26,'LABOUR RATES'!$E$11)</f>
        <v>0</v>
      </c>
      <c r="O109" s="29" t="n">
        <f aca="false">$M109*IF(OR($B109="V",$B109="AC"),'LABOUR RATES'!$C$27,'LABOUR RATES'!$C$12)</f>
        <v>0</v>
      </c>
      <c r="P109" s="40" t="n">
        <f aca="false">$L109+$N109+$O109</f>
        <v>0</v>
      </c>
      <c r="Q109" s="41" t="str">
        <f aca="false">IF($A109="","",IFERROR(SUMIFS('CRM ACTUALS'!$H$7:$H$2006,'CRM ACTUALS'!$D$7:$D$2006,$A109)/SUMIFS('CRM ACTUALS'!$F$7:$F$2006,'CRM ACTUALS'!$D$7:$D$2006,$A109),""))</f>
        <v/>
      </c>
      <c r="R109" s="28" t="str">
        <f aca="false">IF($A109="","",IFERROR(SUMIFS('CRM ACTUALS'!$J$7:$J$2006,'CRM ACTUALS'!$D$7:$D$2006,$A109)/SUMIFS('CRM ACTUALS'!$F$7:$F$2006,'CRM ACTUALS'!$D$7:$D$2006,$A109),""))</f>
        <v/>
      </c>
      <c r="S109" s="21" t="str">
        <f aca="false">IF(OR($Q109="",N($H109)=0),"",$H109/$Q109-1)</f>
        <v/>
      </c>
    </row>
    <row r="110" customFormat="false" ht="15" hidden="false" customHeight="false" outlineLevel="0" collapsed="false">
      <c r="A110" s="11"/>
      <c r="B110" s="11"/>
      <c r="C110" s="11"/>
      <c r="D110" s="11"/>
      <c r="E110" s="36"/>
      <c r="F110" s="11"/>
      <c r="G110" s="37"/>
      <c r="H110" s="38"/>
      <c r="I110" s="37"/>
      <c r="J110" s="36"/>
      <c r="K110" s="11" t="s">
        <v>224</v>
      </c>
      <c r="L110" s="29" t="n">
        <f aca="false">($E110*$G110+$I110)*(1+IF($K110="N",0,INPUTS!$C$23))</f>
        <v>0</v>
      </c>
      <c r="M110" s="39" t="n">
        <f aca="false">$E110*$H110+$J110</f>
        <v>0</v>
      </c>
      <c r="N110" s="29" t="n">
        <f aca="false">$M110*IF(OR($B110="V",$B110="AC"),'LABOUR RATES'!$E$26,'LABOUR RATES'!$E$11)</f>
        <v>0</v>
      </c>
      <c r="O110" s="29" t="n">
        <f aca="false">$M110*IF(OR($B110="V",$B110="AC"),'LABOUR RATES'!$C$27,'LABOUR RATES'!$C$12)</f>
        <v>0</v>
      </c>
      <c r="P110" s="40" t="n">
        <f aca="false">$L110+$N110+$O110</f>
        <v>0</v>
      </c>
      <c r="Q110" s="41" t="str">
        <f aca="false">IF($A110="","",IFERROR(SUMIFS('CRM ACTUALS'!$H$7:$H$2006,'CRM ACTUALS'!$D$7:$D$2006,$A110)/SUMIFS('CRM ACTUALS'!$F$7:$F$2006,'CRM ACTUALS'!$D$7:$D$2006,$A110),""))</f>
        <v/>
      </c>
      <c r="R110" s="28" t="str">
        <f aca="false">IF($A110="","",IFERROR(SUMIFS('CRM ACTUALS'!$J$7:$J$2006,'CRM ACTUALS'!$D$7:$D$2006,$A110)/SUMIFS('CRM ACTUALS'!$F$7:$F$2006,'CRM ACTUALS'!$D$7:$D$2006,$A110),""))</f>
        <v/>
      </c>
      <c r="S110" s="21" t="str">
        <f aca="false">IF(OR($Q110="",N($H110)=0),"",$H110/$Q110-1)</f>
        <v/>
      </c>
    </row>
    <row r="111" customFormat="false" ht="15" hidden="false" customHeight="false" outlineLevel="0" collapsed="false">
      <c r="A111" s="11"/>
      <c r="B111" s="11"/>
      <c r="C111" s="11"/>
      <c r="D111" s="11"/>
      <c r="E111" s="36"/>
      <c r="F111" s="11"/>
      <c r="G111" s="37"/>
      <c r="H111" s="38"/>
      <c r="I111" s="37"/>
      <c r="J111" s="36"/>
      <c r="K111" s="11" t="s">
        <v>224</v>
      </c>
      <c r="L111" s="29" t="n">
        <f aca="false">($E111*$G111+$I111)*(1+IF($K111="N",0,INPUTS!$C$23))</f>
        <v>0</v>
      </c>
      <c r="M111" s="39" t="n">
        <f aca="false">$E111*$H111+$J111</f>
        <v>0</v>
      </c>
      <c r="N111" s="29" t="n">
        <f aca="false">$M111*IF(OR($B111="V",$B111="AC"),'LABOUR RATES'!$E$26,'LABOUR RATES'!$E$11)</f>
        <v>0</v>
      </c>
      <c r="O111" s="29" t="n">
        <f aca="false">$M111*IF(OR($B111="V",$B111="AC"),'LABOUR RATES'!$C$27,'LABOUR RATES'!$C$12)</f>
        <v>0</v>
      </c>
      <c r="P111" s="40" t="n">
        <f aca="false">$L111+$N111+$O111</f>
        <v>0</v>
      </c>
      <c r="Q111" s="41" t="str">
        <f aca="false">IF($A111="","",IFERROR(SUMIFS('CRM ACTUALS'!$H$7:$H$2006,'CRM ACTUALS'!$D$7:$D$2006,$A111)/SUMIFS('CRM ACTUALS'!$F$7:$F$2006,'CRM ACTUALS'!$D$7:$D$2006,$A111),""))</f>
        <v/>
      </c>
      <c r="R111" s="28" t="str">
        <f aca="false">IF($A111="","",IFERROR(SUMIFS('CRM ACTUALS'!$J$7:$J$2006,'CRM ACTUALS'!$D$7:$D$2006,$A111)/SUMIFS('CRM ACTUALS'!$F$7:$F$2006,'CRM ACTUALS'!$D$7:$D$2006,$A111),""))</f>
        <v/>
      </c>
      <c r="S111" s="21" t="str">
        <f aca="false">IF(OR($Q111="",N($H111)=0),"",$H111/$Q111-1)</f>
        <v/>
      </c>
    </row>
    <row r="112" customFormat="false" ht="15" hidden="false" customHeight="false" outlineLevel="0" collapsed="false">
      <c r="A112" s="11"/>
      <c r="B112" s="11"/>
      <c r="C112" s="11"/>
      <c r="D112" s="11"/>
      <c r="E112" s="36"/>
      <c r="F112" s="11"/>
      <c r="G112" s="37"/>
      <c r="H112" s="38"/>
      <c r="I112" s="37"/>
      <c r="J112" s="36"/>
      <c r="K112" s="11" t="s">
        <v>224</v>
      </c>
      <c r="L112" s="29" t="n">
        <f aca="false">($E112*$G112+$I112)*(1+IF($K112="N",0,INPUTS!$C$23))</f>
        <v>0</v>
      </c>
      <c r="M112" s="39" t="n">
        <f aca="false">$E112*$H112+$J112</f>
        <v>0</v>
      </c>
      <c r="N112" s="29" t="n">
        <f aca="false">$M112*IF(OR($B112="V",$B112="AC"),'LABOUR RATES'!$E$26,'LABOUR RATES'!$E$11)</f>
        <v>0</v>
      </c>
      <c r="O112" s="29" t="n">
        <f aca="false">$M112*IF(OR($B112="V",$B112="AC"),'LABOUR RATES'!$C$27,'LABOUR RATES'!$C$12)</f>
        <v>0</v>
      </c>
      <c r="P112" s="40" t="n">
        <f aca="false">$L112+$N112+$O112</f>
        <v>0</v>
      </c>
      <c r="Q112" s="41" t="str">
        <f aca="false">IF($A112="","",IFERROR(SUMIFS('CRM ACTUALS'!$H$7:$H$2006,'CRM ACTUALS'!$D$7:$D$2006,$A112)/SUMIFS('CRM ACTUALS'!$F$7:$F$2006,'CRM ACTUALS'!$D$7:$D$2006,$A112),""))</f>
        <v/>
      </c>
      <c r="R112" s="28" t="str">
        <f aca="false">IF($A112="","",IFERROR(SUMIFS('CRM ACTUALS'!$J$7:$J$2006,'CRM ACTUALS'!$D$7:$D$2006,$A112)/SUMIFS('CRM ACTUALS'!$F$7:$F$2006,'CRM ACTUALS'!$D$7:$D$2006,$A112),""))</f>
        <v/>
      </c>
      <c r="S112" s="21" t="str">
        <f aca="false">IF(OR($Q112="",N($H112)=0),"",$H112/$Q112-1)</f>
        <v/>
      </c>
    </row>
    <row r="113" customFormat="false" ht="15" hidden="false" customHeight="false" outlineLevel="0" collapsed="false">
      <c r="A113" s="11"/>
      <c r="B113" s="11"/>
      <c r="C113" s="11"/>
      <c r="D113" s="11"/>
      <c r="E113" s="36"/>
      <c r="F113" s="11"/>
      <c r="G113" s="37"/>
      <c r="H113" s="38"/>
      <c r="I113" s="37"/>
      <c r="J113" s="36"/>
      <c r="K113" s="11" t="s">
        <v>224</v>
      </c>
      <c r="L113" s="29" t="n">
        <f aca="false">($E113*$G113+$I113)*(1+IF($K113="N",0,INPUTS!$C$23))</f>
        <v>0</v>
      </c>
      <c r="M113" s="39" t="n">
        <f aca="false">$E113*$H113+$J113</f>
        <v>0</v>
      </c>
      <c r="N113" s="29" t="n">
        <f aca="false">$M113*IF(OR($B113="V",$B113="AC"),'LABOUR RATES'!$E$26,'LABOUR RATES'!$E$11)</f>
        <v>0</v>
      </c>
      <c r="O113" s="29" t="n">
        <f aca="false">$M113*IF(OR($B113="V",$B113="AC"),'LABOUR RATES'!$C$27,'LABOUR RATES'!$C$12)</f>
        <v>0</v>
      </c>
      <c r="P113" s="40" t="n">
        <f aca="false">$L113+$N113+$O113</f>
        <v>0</v>
      </c>
      <c r="Q113" s="41" t="str">
        <f aca="false">IF($A113="","",IFERROR(SUMIFS('CRM ACTUALS'!$H$7:$H$2006,'CRM ACTUALS'!$D$7:$D$2006,$A113)/SUMIFS('CRM ACTUALS'!$F$7:$F$2006,'CRM ACTUALS'!$D$7:$D$2006,$A113),""))</f>
        <v/>
      </c>
      <c r="R113" s="28" t="str">
        <f aca="false">IF($A113="","",IFERROR(SUMIFS('CRM ACTUALS'!$J$7:$J$2006,'CRM ACTUALS'!$D$7:$D$2006,$A113)/SUMIFS('CRM ACTUALS'!$F$7:$F$2006,'CRM ACTUALS'!$D$7:$D$2006,$A113),""))</f>
        <v/>
      </c>
      <c r="S113" s="21" t="str">
        <f aca="false">IF(OR($Q113="",N($H113)=0),"",$H113/$Q113-1)</f>
        <v/>
      </c>
    </row>
    <row r="114" customFormat="false" ht="15" hidden="false" customHeight="false" outlineLevel="0" collapsed="false">
      <c r="A114" s="11"/>
      <c r="B114" s="11"/>
      <c r="C114" s="11"/>
      <c r="D114" s="11"/>
      <c r="E114" s="36"/>
      <c r="F114" s="11"/>
      <c r="G114" s="37"/>
      <c r="H114" s="38"/>
      <c r="I114" s="37"/>
      <c r="J114" s="36"/>
      <c r="K114" s="11" t="s">
        <v>224</v>
      </c>
      <c r="L114" s="29" t="n">
        <f aca="false">($E114*$G114+$I114)*(1+IF($K114="N",0,INPUTS!$C$23))</f>
        <v>0</v>
      </c>
      <c r="M114" s="39" t="n">
        <f aca="false">$E114*$H114+$J114</f>
        <v>0</v>
      </c>
      <c r="N114" s="29" t="n">
        <f aca="false">$M114*IF(OR($B114="V",$B114="AC"),'LABOUR RATES'!$E$26,'LABOUR RATES'!$E$11)</f>
        <v>0</v>
      </c>
      <c r="O114" s="29" t="n">
        <f aca="false">$M114*IF(OR($B114="V",$B114="AC"),'LABOUR RATES'!$C$27,'LABOUR RATES'!$C$12)</f>
        <v>0</v>
      </c>
      <c r="P114" s="40" t="n">
        <f aca="false">$L114+$N114+$O114</f>
        <v>0</v>
      </c>
      <c r="Q114" s="41" t="str">
        <f aca="false">IF($A114="","",IFERROR(SUMIFS('CRM ACTUALS'!$H$7:$H$2006,'CRM ACTUALS'!$D$7:$D$2006,$A114)/SUMIFS('CRM ACTUALS'!$F$7:$F$2006,'CRM ACTUALS'!$D$7:$D$2006,$A114),""))</f>
        <v/>
      </c>
      <c r="R114" s="28" t="str">
        <f aca="false">IF($A114="","",IFERROR(SUMIFS('CRM ACTUALS'!$J$7:$J$2006,'CRM ACTUALS'!$D$7:$D$2006,$A114)/SUMIFS('CRM ACTUALS'!$F$7:$F$2006,'CRM ACTUALS'!$D$7:$D$2006,$A114),""))</f>
        <v/>
      </c>
      <c r="S114" s="21" t="str">
        <f aca="false">IF(OR($Q114="",N($H114)=0),"",$H114/$Q114-1)</f>
        <v/>
      </c>
    </row>
    <row r="115" customFormat="false" ht="15" hidden="false" customHeight="false" outlineLevel="0" collapsed="false">
      <c r="A115" s="11"/>
      <c r="B115" s="11"/>
      <c r="C115" s="11"/>
      <c r="D115" s="11"/>
      <c r="E115" s="36"/>
      <c r="F115" s="11"/>
      <c r="G115" s="37"/>
      <c r="H115" s="38"/>
      <c r="I115" s="37"/>
      <c r="J115" s="36"/>
      <c r="K115" s="11" t="s">
        <v>224</v>
      </c>
      <c r="L115" s="29" t="n">
        <f aca="false">($E115*$G115+$I115)*(1+IF($K115="N",0,INPUTS!$C$23))</f>
        <v>0</v>
      </c>
      <c r="M115" s="39" t="n">
        <f aca="false">$E115*$H115+$J115</f>
        <v>0</v>
      </c>
      <c r="N115" s="29" t="n">
        <f aca="false">$M115*IF(OR($B115="V",$B115="AC"),'LABOUR RATES'!$E$26,'LABOUR RATES'!$E$11)</f>
        <v>0</v>
      </c>
      <c r="O115" s="29" t="n">
        <f aca="false">$M115*IF(OR($B115="V",$B115="AC"),'LABOUR RATES'!$C$27,'LABOUR RATES'!$C$12)</f>
        <v>0</v>
      </c>
      <c r="P115" s="40" t="n">
        <f aca="false">$L115+$N115+$O115</f>
        <v>0</v>
      </c>
      <c r="Q115" s="41" t="str">
        <f aca="false">IF($A115="","",IFERROR(SUMIFS('CRM ACTUALS'!$H$7:$H$2006,'CRM ACTUALS'!$D$7:$D$2006,$A115)/SUMIFS('CRM ACTUALS'!$F$7:$F$2006,'CRM ACTUALS'!$D$7:$D$2006,$A115),""))</f>
        <v/>
      </c>
      <c r="R115" s="28" t="str">
        <f aca="false">IF($A115="","",IFERROR(SUMIFS('CRM ACTUALS'!$J$7:$J$2006,'CRM ACTUALS'!$D$7:$D$2006,$A115)/SUMIFS('CRM ACTUALS'!$F$7:$F$2006,'CRM ACTUALS'!$D$7:$D$2006,$A115),""))</f>
        <v/>
      </c>
      <c r="S115" s="21" t="str">
        <f aca="false">IF(OR($Q115="",N($H115)=0),"",$H115/$Q115-1)</f>
        <v/>
      </c>
    </row>
    <row r="116" customFormat="false" ht="15" hidden="false" customHeight="false" outlineLevel="0" collapsed="false">
      <c r="A116" s="11"/>
      <c r="B116" s="11"/>
      <c r="C116" s="11"/>
      <c r="D116" s="11"/>
      <c r="E116" s="36"/>
      <c r="F116" s="11"/>
      <c r="G116" s="37"/>
      <c r="H116" s="38"/>
      <c r="I116" s="37"/>
      <c r="J116" s="36"/>
      <c r="K116" s="11" t="s">
        <v>224</v>
      </c>
      <c r="L116" s="29" t="n">
        <f aca="false">($E116*$G116+$I116)*(1+IF($K116="N",0,INPUTS!$C$23))</f>
        <v>0</v>
      </c>
      <c r="M116" s="39" t="n">
        <f aca="false">$E116*$H116+$J116</f>
        <v>0</v>
      </c>
      <c r="N116" s="29" t="n">
        <f aca="false">$M116*IF(OR($B116="V",$B116="AC"),'LABOUR RATES'!$E$26,'LABOUR RATES'!$E$11)</f>
        <v>0</v>
      </c>
      <c r="O116" s="29" t="n">
        <f aca="false">$M116*IF(OR($B116="V",$B116="AC"),'LABOUR RATES'!$C$27,'LABOUR RATES'!$C$12)</f>
        <v>0</v>
      </c>
      <c r="P116" s="40" t="n">
        <f aca="false">$L116+$N116+$O116</f>
        <v>0</v>
      </c>
      <c r="Q116" s="41" t="str">
        <f aca="false">IF($A116="","",IFERROR(SUMIFS('CRM ACTUALS'!$H$7:$H$2006,'CRM ACTUALS'!$D$7:$D$2006,$A116)/SUMIFS('CRM ACTUALS'!$F$7:$F$2006,'CRM ACTUALS'!$D$7:$D$2006,$A116),""))</f>
        <v/>
      </c>
      <c r="R116" s="28" t="str">
        <f aca="false">IF($A116="","",IFERROR(SUMIFS('CRM ACTUALS'!$J$7:$J$2006,'CRM ACTUALS'!$D$7:$D$2006,$A116)/SUMIFS('CRM ACTUALS'!$F$7:$F$2006,'CRM ACTUALS'!$D$7:$D$2006,$A116),""))</f>
        <v/>
      </c>
      <c r="S116" s="21" t="str">
        <f aca="false">IF(OR($Q116="",N($H116)=0),"",$H116/$Q116-1)</f>
        <v/>
      </c>
    </row>
    <row r="117" customFormat="false" ht="15" hidden="false" customHeight="false" outlineLevel="0" collapsed="false">
      <c r="A117" s="11"/>
      <c r="B117" s="11"/>
      <c r="C117" s="11"/>
      <c r="D117" s="11"/>
      <c r="E117" s="36"/>
      <c r="F117" s="11"/>
      <c r="G117" s="37"/>
      <c r="H117" s="38"/>
      <c r="I117" s="37"/>
      <c r="J117" s="36"/>
      <c r="K117" s="11" t="s">
        <v>224</v>
      </c>
      <c r="L117" s="29" t="n">
        <f aca="false">($E117*$G117+$I117)*(1+IF($K117="N",0,INPUTS!$C$23))</f>
        <v>0</v>
      </c>
      <c r="M117" s="39" t="n">
        <f aca="false">$E117*$H117+$J117</f>
        <v>0</v>
      </c>
      <c r="N117" s="29" t="n">
        <f aca="false">$M117*IF(OR($B117="V",$B117="AC"),'LABOUR RATES'!$E$26,'LABOUR RATES'!$E$11)</f>
        <v>0</v>
      </c>
      <c r="O117" s="29" t="n">
        <f aca="false">$M117*IF(OR($B117="V",$B117="AC"),'LABOUR RATES'!$C$27,'LABOUR RATES'!$C$12)</f>
        <v>0</v>
      </c>
      <c r="P117" s="40" t="n">
        <f aca="false">$L117+$N117+$O117</f>
        <v>0</v>
      </c>
      <c r="Q117" s="41" t="str">
        <f aca="false">IF($A117="","",IFERROR(SUMIFS('CRM ACTUALS'!$H$7:$H$2006,'CRM ACTUALS'!$D$7:$D$2006,$A117)/SUMIFS('CRM ACTUALS'!$F$7:$F$2006,'CRM ACTUALS'!$D$7:$D$2006,$A117),""))</f>
        <v/>
      </c>
      <c r="R117" s="28" t="str">
        <f aca="false">IF($A117="","",IFERROR(SUMIFS('CRM ACTUALS'!$J$7:$J$2006,'CRM ACTUALS'!$D$7:$D$2006,$A117)/SUMIFS('CRM ACTUALS'!$F$7:$F$2006,'CRM ACTUALS'!$D$7:$D$2006,$A117),""))</f>
        <v/>
      </c>
      <c r="S117" s="21" t="str">
        <f aca="false">IF(OR($Q117="",N($H117)=0),"",$H117/$Q117-1)</f>
        <v/>
      </c>
    </row>
    <row r="118" customFormat="false" ht="15" hidden="false" customHeight="false" outlineLevel="0" collapsed="false">
      <c r="A118" s="11"/>
      <c r="B118" s="11"/>
      <c r="C118" s="11"/>
      <c r="D118" s="11"/>
      <c r="E118" s="36"/>
      <c r="F118" s="11"/>
      <c r="G118" s="37"/>
      <c r="H118" s="38"/>
      <c r="I118" s="37"/>
      <c r="J118" s="36"/>
      <c r="K118" s="11" t="s">
        <v>224</v>
      </c>
      <c r="L118" s="29" t="n">
        <f aca="false">($E118*$G118+$I118)*(1+IF($K118="N",0,INPUTS!$C$23))</f>
        <v>0</v>
      </c>
      <c r="M118" s="39" t="n">
        <f aca="false">$E118*$H118+$J118</f>
        <v>0</v>
      </c>
      <c r="N118" s="29" t="n">
        <f aca="false">$M118*IF(OR($B118="V",$B118="AC"),'LABOUR RATES'!$E$26,'LABOUR RATES'!$E$11)</f>
        <v>0</v>
      </c>
      <c r="O118" s="29" t="n">
        <f aca="false">$M118*IF(OR($B118="V",$B118="AC"),'LABOUR RATES'!$C$27,'LABOUR RATES'!$C$12)</f>
        <v>0</v>
      </c>
      <c r="P118" s="40" t="n">
        <f aca="false">$L118+$N118+$O118</f>
        <v>0</v>
      </c>
      <c r="Q118" s="41" t="str">
        <f aca="false">IF($A118="","",IFERROR(SUMIFS('CRM ACTUALS'!$H$7:$H$2006,'CRM ACTUALS'!$D$7:$D$2006,$A118)/SUMIFS('CRM ACTUALS'!$F$7:$F$2006,'CRM ACTUALS'!$D$7:$D$2006,$A118),""))</f>
        <v/>
      </c>
      <c r="R118" s="28" t="str">
        <f aca="false">IF($A118="","",IFERROR(SUMIFS('CRM ACTUALS'!$J$7:$J$2006,'CRM ACTUALS'!$D$7:$D$2006,$A118)/SUMIFS('CRM ACTUALS'!$F$7:$F$2006,'CRM ACTUALS'!$D$7:$D$2006,$A118),""))</f>
        <v/>
      </c>
      <c r="S118" s="21" t="str">
        <f aca="false">IF(OR($Q118="",N($H118)=0),"",$H118/$Q118-1)</f>
        <v/>
      </c>
    </row>
    <row r="119" customFormat="false" ht="15" hidden="false" customHeight="false" outlineLevel="0" collapsed="false">
      <c r="A119" s="11"/>
      <c r="B119" s="11"/>
      <c r="C119" s="11"/>
      <c r="D119" s="11"/>
      <c r="E119" s="36"/>
      <c r="F119" s="11"/>
      <c r="G119" s="37"/>
      <c r="H119" s="38"/>
      <c r="I119" s="37"/>
      <c r="J119" s="36"/>
      <c r="K119" s="11" t="s">
        <v>224</v>
      </c>
      <c r="L119" s="29" t="n">
        <f aca="false">($E119*$G119+$I119)*(1+IF($K119="N",0,INPUTS!$C$23))</f>
        <v>0</v>
      </c>
      <c r="M119" s="39" t="n">
        <f aca="false">$E119*$H119+$J119</f>
        <v>0</v>
      </c>
      <c r="N119" s="29" t="n">
        <f aca="false">$M119*IF(OR($B119="V",$B119="AC"),'LABOUR RATES'!$E$26,'LABOUR RATES'!$E$11)</f>
        <v>0</v>
      </c>
      <c r="O119" s="29" t="n">
        <f aca="false">$M119*IF(OR($B119="V",$B119="AC"),'LABOUR RATES'!$C$27,'LABOUR RATES'!$C$12)</f>
        <v>0</v>
      </c>
      <c r="P119" s="40" t="n">
        <f aca="false">$L119+$N119+$O119</f>
        <v>0</v>
      </c>
      <c r="Q119" s="41" t="str">
        <f aca="false">IF($A119="","",IFERROR(SUMIFS('CRM ACTUALS'!$H$7:$H$2006,'CRM ACTUALS'!$D$7:$D$2006,$A119)/SUMIFS('CRM ACTUALS'!$F$7:$F$2006,'CRM ACTUALS'!$D$7:$D$2006,$A119),""))</f>
        <v/>
      </c>
      <c r="R119" s="28" t="str">
        <f aca="false">IF($A119="","",IFERROR(SUMIFS('CRM ACTUALS'!$J$7:$J$2006,'CRM ACTUALS'!$D$7:$D$2006,$A119)/SUMIFS('CRM ACTUALS'!$F$7:$F$2006,'CRM ACTUALS'!$D$7:$D$2006,$A119),""))</f>
        <v/>
      </c>
      <c r="S119" s="21" t="str">
        <f aca="false">IF(OR($Q119="",N($H119)=0),"",$H119/$Q119-1)</f>
        <v/>
      </c>
    </row>
    <row r="120" customFormat="false" ht="15" hidden="false" customHeight="false" outlineLevel="0" collapsed="false">
      <c r="A120" s="11"/>
      <c r="B120" s="11"/>
      <c r="C120" s="11"/>
      <c r="D120" s="11"/>
      <c r="E120" s="36"/>
      <c r="F120" s="11"/>
      <c r="G120" s="37"/>
      <c r="H120" s="38"/>
      <c r="I120" s="37"/>
      <c r="J120" s="36"/>
      <c r="K120" s="11" t="s">
        <v>224</v>
      </c>
      <c r="L120" s="29" t="n">
        <f aca="false">($E120*$G120+$I120)*(1+IF($K120="N",0,INPUTS!$C$23))</f>
        <v>0</v>
      </c>
      <c r="M120" s="39" t="n">
        <f aca="false">$E120*$H120+$J120</f>
        <v>0</v>
      </c>
      <c r="N120" s="29" t="n">
        <f aca="false">$M120*IF(OR($B120="V",$B120="AC"),'LABOUR RATES'!$E$26,'LABOUR RATES'!$E$11)</f>
        <v>0</v>
      </c>
      <c r="O120" s="29" t="n">
        <f aca="false">$M120*IF(OR($B120="V",$B120="AC"),'LABOUR RATES'!$C$27,'LABOUR RATES'!$C$12)</f>
        <v>0</v>
      </c>
      <c r="P120" s="40" t="n">
        <f aca="false">$L120+$N120+$O120</f>
        <v>0</v>
      </c>
      <c r="Q120" s="41" t="str">
        <f aca="false">IF($A120="","",IFERROR(SUMIFS('CRM ACTUALS'!$H$7:$H$2006,'CRM ACTUALS'!$D$7:$D$2006,$A120)/SUMIFS('CRM ACTUALS'!$F$7:$F$2006,'CRM ACTUALS'!$D$7:$D$2006,$A120),""))</f>
        <v/>
      </c>
      <c r="R120" s="28" t="str">
        <f aca="false">IF($A120="","",IFERROR(SUMIFS('CRM ACTUALS'!$J$7:$J$2006,'CRM ACTUALS'!$D$7:$D$2006,$A120)/SUMIFS('CRM ACTUALS'!$F$7:$F$2006,'CRM ACTUALS'!$D$7:$D$2006,$A120),""))</f>
        <v/>
      </c>
      <c r="S120" s="21" t="str">
        <f aca="false">IF(OR($Q120="",N($H120)=0),"",$H120/$Q120-1)</f>
        <v/>
      </c>
    </row>
    <row r="121" customFormat="false" ht="15" hidden="false" customHeight="false" outlineLevel="0" collapsed="false">
      <c r="A121" s="11"/>
      <c r="B121" s="11"/>
      <c r="C121" s="11"/>
      <c r="D121" s="11"/>
      <c r="E121" s="36"/>
      <c r="F121" s="11"/>
      <c r="G121" s="37"/>
      <c r="H121" s="38"/>
      <c r="I121" s="37"/>
      <c r="J121" s="36"/>
      <c r="K121" s="11" t="s">
        <v>224</v>
      </c>
      <c r="L121" s="29" t="n">
        <f aca="false">($E121*$G121+$I121)*(1+IF($K121="N",0,INPUTS!$C$23))</f>
        <v>0</v>
      </c>
      <c r="M121" s="39" t="n">
        <f aca="false">$E121*$H121+$J121</f>
        <v>0</v>
      </c>
      <c r="N121" s="29" t="n">
        <f aca="false">$M121*IF(OR($B121="V",$B121="AC"),'LABOUR RATES'!$E$26,'LABOUR RATES'!$E$11)</f>
        <v>0</v>
      </c>
      <c r="O121" s="29" t="n">
        <f aca="false">$M121*IF(OR($B121="V",$B121="AC"),'LABOUR RATES'!$C$27,'LABOUR RATES'!$C$12)</f>
        <v>0</v>
      </c>
      <c r="P121" s="40" t="n">
        <f aca="false">$L121+$N121+$O121</f>
        <v>0</v>
      </c>
      <c r="Q121" s="41" t="str">
        <f aca="false">IF($A121="","",IFERROR(SUMIFS('CRM ACTUALS'!$H$7:$H$2006,'CRM ACTUALS'!$D$7:$D$2006,$A121)/SUMIFS('CRM ACTUALS'!$F$7:$F$2006,'CRM ACTUALS'!$D$7:$D$2006,$A121),""))</f>
        <v/>
      </c>
      <c r="R121" s="28" t="str">
        <f aca="false">IF($A121="","",IFERROR(SUMIFS('CRM ACTUALS'!$J$7:$J$2006,'CRM ACTUALS'!$D$7:$D$2006,$A121)/SUMIFS('CRM ACTUALS'!$F$7:$F$2006,'CRM ACTUALS'!$D$7:$D$2006,$A121),""))</f>
        <v/>
      </c>
      <c r="S121" s="21" t="str">
        <f aca="false">IF(OR($Q121="",N($H121)=0),"",$H121/$Q121-1)</f>
        <v/>
      </c>
    </row>
    <row r="122" customFormat="false" ht="15" hidden="false" customHeight="false" outlineLevel="0" collapsed="false">
      <c r="A122" s="11"/>
      <c r="B122" s="11"/>
      <c r="C122" s="11"/>
      <c r="D122" s="11"/>
      <c r="E122" s="36"/>
      <c r="F122" s="11"/>
      <c r="G122" s="37"/>
      <c r="H122" s="38"/>
      <c r="I122" s="37"/>
      <c r="J122" s="36"/>
      <c r="K122" s="11" t="s">
        <v>224</v>
      </c>
      <c r="L122" s="29" t="n">
        <f aca="false">($E122*$G122+$I122)*(1+IF($K122="N",0,INPUTS!$C$23))</f>
        <v>0</v>
      </c>
      <c r="M122" s="39" t="n">
        <f aca="false">$E122*$H122+$J122</f>
        <v>0</v>
      </c>
      <c r="N122" s="29" t="n">
        <f aca="false">$M122*IF(OR($B122="V",$B122="AC"),'LABOUR RATES'!$E$26,'LABOUR RATES'!$E$11)</f>
        <v>0</v>
      </c>
      <c r="O122" s="29" t="n">
        <f aca="false">$M122*IF(OR($B122="V",$B122="AC"),'LABOUR RATES'!$C$27,'LABOUR RATES'!$C$12)</f>
        <v>0</v>
      </c>
      <c r="P122" s="40" t="n">
        <f aca="false">$L122+$N122+$O122</f>
        <v>0</v>
      </c>
      <c r="Q122" s="41" t="str">
        <f aca="false">IF($A122="","",IFERROR(SUMIFS('CRM ACTUALS'!$H$7:$H$2006,'CRM ACTUALS'!$D$7:$D$2006,$A122)/SUMIFS('CRM ACTUALS'!$F$7:$F$2006,'CRM ACTUALS'!$D$7:$D$2006,$A122),""))</f>
        <v/>
      </c>
      <c r="R122" s="28" t="str">
        <f aca="false">IF($A122="","",IFERROR(SUMIFS('CRM ACTUALS'!$J$7:$J$2006,'CRM ACTUALS'!$D$7:$D$2006,$A122)/SUMIFS('CRM ACTUALS'!$F$7:$F$2006,'CRM ACTUALS'!$D$7:$D$2006,$A122),""))</f>
        <v/>
      </c>
      <c r="S122" s="21" t="str">
        <f aca="false">IF(OR($Q122="",N($H122)=0),"",$H122/$Q122-1)</f>
        <v/>
      </c>
    </row>
    <row r="123" customFormat="false" ht="15" hidden="false" customHeight="false" outlineLevel="0" collapsed="false">
      <c r="A123" s="11"/>
      <c r="B123" s="11"/>
      <c r="C123" s="11"/>
      <c r="D123" s="11"/>
      <c r="E123" s="36"/>
      <c r="F123" s="11"/>
      <c r="G123" s="37"/>
      <c r="H123" s="38"/>
      <c r="I123" s="37"/>
      <c r="J123" s="36"/>
      <c r="K123" s="11" t="s">
        <v>224</v>
      </c>
      <c r="L123" s="29" t="n">
        <f aca="false">($E123*$G123+$I123)*(1+IF($K123="N",0,INPUTS!$C$23))</f>
        <v>0</v>
      </c>
      <c r="M123" s="39" t="n">
        <f aca="false">$E123*$H123+$J123</f>
        <v>0</v>
      </c>
      <c r="N123" s="29" t="n">
        <f aca="false">$M123*IF(OR($B123="V",$B123="AC"),'LABOUR RATES'!$E$26,'LABOUR RATES'!$E$11)</f>
        <v>0</v>
      </c>
      <c r="O123" s="29" t="n">
        <f aca="false">$M123*IF(OR($B123="V",$B123="AC"),'LABOUR RATES'!$C$27,'LABOUR RATES'!$C$12)</f>
        <v>0</v>
      </c>
      <c r="P123" s="40" t="n">
        <f aca="false">$L123+$N123+$O123</f>
        <v>0</v>
      </c>
      <c r="Q123" s="41" t="str">
        <f aca="false">IF($A123="","",IFERROR(SUMIFS('CRM ACTUALS'!$H$7:$H$2006,'CRM ACTUALS'!$D$7:$D$2006,$A123)/SUMIFS('CRM ACTUALS'!$F$7:$F$2006,'CRM ACTUALS'!$D$7:$D$2006,$A123),""))</f>
        <v/>
      </c>
      <c r="R123" s="28" t="str">
        <f aca="false">IF($A123="","",IFERROR(SUMIFS('CRM ACTUALS'!$J$7:$J$2006,'CRM ACTUALS'!$D$7:$D$2006,$A123)/SUMIFS('CRM ACTUALS'!$F$7:$F$2006,'CRM ACTUALS'!$D$7:$D$2006,$A123),""))</f>
        <v/>
      </c>
      <c r="S123" s="21" t="str">
        <f aca="false">IF(OR($Q123="",N($H123)=0),"",$H123/$Q123-1)</f>
        <v/>
      </c>
    </row>
    <row r="124" customFormat="false" ht="15" hidden="false" customHeight="false" outlineLevel="0" collapsed="false">
      <c r="A124" s="11"/>
      <c r="B124" s="11"/>
      <c r="C124" s="11"/>
      <c r="D124" s="11"/>
      <c r="E124" s="36"/>
      <c r="F124" s="11"/>
      <c r="G124" s="37"/>
      <c r="H124" s="38"/>
      <c r="I124" s="37"/>
      <c r="J124" s="36"/>
      <c r="K124" s="11" t="s">
        <v>224</v>
      </c>
      <c r="L124" s="29" t="n">
        <f aca="false">($E124*$G124+$I124)*(1+IF($K124="N",0,INPUTS!$C$23))</f>
        <v>0</v>
      </c>
      <c r="M124" s="39" t="n">
        <f aca="false">$E124*$H124+$J124</f>
        <v>0</v>
      </c>
      <c r="N124" s="29" t="n">
        <f aca="false">$M124*IF(OR($B124="V",$B124="AC"),'LABOUR RATES'!$E$26,'LABOUR RATES'!$E$11)</f>
        <v>0</v>
      </c>
      <c r="O124" s="29" t="n">
        <f aca="false">$M124*IF(OR($B124="V",$B124="AC"),'LABOUR RATES'!$C$27,'LABOUR RATES'!$C$12)</f>
        <v>0</v>
      </c>
      <c r="P124" s="40" t="n">
        <f aca="false">$L124+$N124+$O124</f>
        <v>0</v>
      </c>
      <c r="Q124" s="41" t="str">
        <f aca="false">IF($A124="","",IFERROR(SUMIFS('CRM ACTUALS'!$H$7:$H$2006,'CRM ACTUALS'!$D$7:$D$2006,$A124)/SUMIFS('CRM ACTUALS'!$F$7:$F$2006,'CRM ACTUALS'!$D$7:$D$2006,$A124),""))</f>
        <v/>
      </c>
      <c r="R124" s="28" t="str">
        <f aca="false">IF($A124="","",IFERROR(SUMIFS('CRM ACTUALS'!$J$7:$J$2006,'CRM ACTUALS'!$D$7:$D$2006,$A124)/SUMIFS('CRM ACTUALS'!$F$7:$F$2006,'CRM ACTUALS'!$D$7:$D$2006,$A124),""))</f>
        <v/>
      </c>
      <c r="S124" s="21" t="str">
        <f aca="false">IF(OR($Q124="",N($H124)=0),"",$H124/$Q124-1)</f>
        <v/>
      </c>
    </row>
    <row r="125" customFormat="false" ht="15" hidden="false" customHeight="false" outlineLevel="0" collapsed="false">
      <c r="A125" s="11"/>
      <c r="B125" s="11"/>
      <c r="C125" s="11"/>
      <c r="D125" s="11"/>
      <c r="E125" s="36"/>
      <c r="F125" s="11"/>
      <c r="G125" s="37"/>
      <c r="H125" s="38"/>
      <c r="I125" s="37"/>
      <c r="J125" s="36"/>
      <c r="K125" s="11" t="s">
        <v>224</v>
      </c>
      <c r="L125" s="29" t="n">
        <f aca="false">($E125*$G125+$I125)*(1+IF($K125="N",0,INPUTS!$C$23))</f>
        <v>0</v>
      </c>
      <c r="M125" s="39" t="n">
        <f aca="false">$E125*$H125+$J125</f>
        <v>0</v>
      </c>
      <c r="N125" s="29" t="n">
        <f aca="false">$M125*IF(OR($B125="V",$B125="AC"),'LABOUR RATES'!$E$26,'LABOUR RATES'!$E$11)</f>
        <v>0</v>
      </c>
      <c r="O125" s="29" t="n">
        <f aca="false">$M125*IF(OR($B125="V",$B125="AC"),'LABOUR RATES'!$C$27,'LABOUR RATES'!$C$12)</f>
        <v>0</v>
      </c>
      <c r="P125" s="40" t="n">
        <f aca="false">$L125+$N125+$O125</f>
        <v>0</v>
      </c>
      <c r="Q125" s="41" t="str">
        <f aca="false">IF($A125="","",IFERROR(SUMIFS('CRM ACTUALS'!$H$7:$H$2006,'CRM ACTUALS'!$D$7:$D$2006,$A125)/SUMIFS('CRM ACTUALS'!$F$7:$F$2006,'CRM ACTUALS'!$D$7:$D$2006,$A125),""))</f>
        <v/>
      </c>
      <c r="R125" s="28" t="str">
        <f aca="false">IF($A125="","",IFERROR(SUMIFS('CRM ACTUALS'!$J$7:$J$2006,'CRM ACTUALS'!$D$7:$D$2006,$A125)/SUMIFS('CRM ACTUALS'!$F$7:$F$2006,'CRM ACTUALS'!$D$7:$D$2006,$A125),""))</f>
        <v/>
      </c>
      <c r="S125" s="21" t="str">
        <f aca="false">IF(OR($Q125="",N($H125)=0),"",$H125/$Q125-1)</f>
        <v/>
      </c>
    </row>
    <row r="126" customFormat="false" ht="15" hidden="false" customHeight="false" outlineLevel="0" collapsed="false">
      <c r="A126" s="11"/>
      <c r="B126" s="11"/>
      <c r="C126" s="11"/>
      <c r="D126" s="11"/>
      <c r="E126" s="36"/>
      <c r="F126" s="11"/>
      <c r="G126" s="37"/>
      <c r="H126" s="38"/>
      <c r="I126" s="37"/>
      <c r="J126" s="36"/>
      <c r="K126" s="11" t="s">
        <v>224</v>
      </c>
      <c r="L126" s="29" t="n">
        <f aca="false">($E126*$G126+$I126)*(1+IF($K126="N",0,INPUTS!$C$23))</f>
        <v>0</v>
      </c>
      <c r="M126" s="39" t="n">
        <f aca="false">$E126*$H126+$J126</f>
        <v>0</v>
      </c>
      <c r="N126" s="29" t="n">
        <f aca="false">$M126*IF(OR($B126="V",$B126="AC"),'LABOUR RATES'!$E$26,'LABOUR RATES'!$E$11)</f>
        <v>0</v>
      </c>
      <c r="O126" s="29" t="n">
        <f aca="false">$M126*IF(OR($B126="V",$B126="AC"),'LABOUR RATES'!$C$27,'LABOUR RATES'!$C$12)</f>
        <v>0</v>
      </c>
      <c r="P126" s="40" t="n">
        <f aca="false">$L126+$N126+$O126</f>
        <v>0</v>
      </c>
      <c r="Q126" s="41" t="str">
        <f aca="false">IF($A126="","",IFERROR(SUMIFS('CRM ACTUALS'!$H$7:$H$2006,'CRM ACTUALS'!$D$7:$D$2006,$A126)/SUMIFS('CRM ACTUALS'!$F$7:$F$2006,'CRM ACTUALS'!$D$7:$D$2006,$A126),""))</f>
        <v/>
      </c>
      <c r="R126" s="28" t="str">
        <f aca="false">IF($A126="","",IFERROR(SUMIFS('CRM ACTUALS'!$J$7:$J$2006,'CRM ACTUALS'!$D$7:$D$2006,$A126)/SUMIFS('CRM ACTUALS'!$F$7:$F$2006,'CRM ACTUALS'!$D$7:$D$2006,$A126),""))</f>
        <v/>
      </c>
      <c r="S126" s="21" t="str">
        <f aca="false">IF(OR($Q126="",N($H126)=0),"",$H126/$Q126-1)</f>
        <v/>
      </c>
    </row>
    <row r="127" customFormat="false" ht="15" hidden="false" customHeight="false" outlineLevel="0" collapsed="false">
      <c r="A127" s="11"/>
      <c r="B127" s="11"/>
      <c r="C127" s="11"/>
      <c r="D127" s="11"/>
      <c r="E127" s="36"/>
      <c r="F127" s="11"/>
      <c r="G127" s="37"/>
      <c r="H127" s="38"/>
      <c r="I127" s="37"/>
      <c r="J127" s="36"/>
      <c r="K127" s="11" t="s">
        <v>224</v>
      </c>
      <c r="L127" s="29" t="n">
        <f aca="false">($E127*$G127+$I127)*(1+IF($K127="N",0,INPUTS!$C$23))</f>
        <v>0</v>
      </c>
      <c r="M127" s="39" t="n">
        <f aca="false">$E127*$H127+$J127</f>
        <v>0</v>
      </c>
      <c r="N127" s="29" t="n">
        <f aca="false">$M127*IF(OR($B127="V",$B127="AC"),'LABOUR RATES'!$E$26,'LABOUR RATES'!$E$11)</f>
        <v>0</v>
      </c>
      <c r="O127" s="29" t="n">
        <f aca="false">$M127*IF(OR($B127="V",$B127="AC"),'LABOUR RATES'!$C$27,'LABOUR RATES'!$C$12)</f>
        <v>0</v>
      </c>
      <c r="P127" s="40" t="n">
        <f aca="false">$L127+$N127+$O127</f>
        <v>0</v>
      </c>
      <c r="Q127" s="41" t="str">
        <f aca="false">IF($A127="","",IFERROR(SUMIFS('CRM ACTUALS'!$H$7:$H$2006,'CRM ACTUALS'!$D$7:$D$2006,$A127)/SUMIFS('CRM ACTUALS'!$F$7:$F$2006,'CRM ACTUALS'!$D$7:$D$2006,$A127),""))</f>
        <v/>
      </c>
      <c r="R127" s="28" t="str">
        <f aca="false">IF($A127="","",IFERROR(SUMIFS('CRM ACTUALS'!$J$7:$J$2006,'CRM ACTUALS'!$D$7:$D$2006,$A127)/SUMIFS('CRM ACTUALS'!$F$7:$F$2006,'CRM ACTUALS'!$D$7:$D$2006,$A127),""))</f>
        <v/>
      </c>
      <c r="S127" s="21" t="str">
        <f aca="false">IF(OR($Q127="",N($H127)=0),"",$H127/$Q127-1)</f>
        <v/>
      </c>
    </row>
    <row r="128" customFormat="false" ht="15" hidden="false" customHeight="false" outlineLevel="0" collapsed="false">
      <c r="A128" s="11"/>
      <c r="B128" s="11"/>
      <c r="C128" s="11"/>
      <c r="D128" s="11"/>
      <c r="E128" s="36"/>
      <c r="F128" s="11"/>
      <c r="G128" s="37"/>
      <c r="H128" s="38"/>
      <c r="I128" s="37"/>
      <c r="J128" s="36"/>
      <c r="K128" s="11" t="s">
        <v>224</v>
      </c>
      <c r="L128" s="29" t="n">
        <f aca="false">($E128*$G128+$I128)*(1+IF($K128="N",0,INPUTS!$C$23))</f>
        <v>0</v>
      </c>
      <c r="M128" s="39" t="n">
        <f aca="false">$E128*$H128+$J128</f>
        <v>0</v>
      </c>
      <c r="N128" s="29" t="n">
        <f aca="false">$M128*IF(OR($B128="V",$B128="AC"),'LABOUR RATES'!$E$26,'LABOUR RATES'!$E$11)</f>
        <v>0</v>
      </c>
      <c r="O128" s="29" t="n">
        <f aca="false">$M128*IF(OR($B128="V",$B128="AC"),'LABOUR RATES'!$C$27,'LABOUR RATES'!$C$12)</f>
        <v>0</v>
      </c>
      <c r="P128" s="40" t="n">
        <f aca="false">$L128+$N128+$O128</f>
        <v>0</v>
      </c>
      <c r="Q128" s="41" t="str">
        <f aca="false">IF($A128="","",IFERROR(SUMIFS('CRM ACTUALS'!$H$7:$H$2006,'CRM ACTUALS'!$D$7:$D$2006,$A128)/SUMIFS('CRM ACTUALS'!$F$7:$F$2006,'CRM ACTUALS'!$D$7:$D$2006,$A128),""))</f>
        <v/>
      </c>
      <c r="R128" s="28" t="str">
        <f aca="false">IF($A128="","",IFERROR(SUMIFS('CRM ACTUALS'!$J$7:$J$2006,'CRM ACTUALS'!$D$7:$D$2006,$A128)/SUMIFS('CRM ACTUALS'!$F$7:$F$2006,'CRM ACTUALS'!$D$7:$D$2006,$A128),""))</f>
        <v/>
      </c>
      <c r="S128" s="21" t="str">
        <f aca="false">IF(OR($Q128="",N($H128)=0),"",$H128/$Q128-1)</f>
        <v/>
      </c>
    </row>
    <row r="129" customFormat="false" ht="15" hidden="false" customHeight="false" outlineLevel="0" collapsed="false">
      <c r="A129" s="11"/>
      <c r="B129" s="11"/>
      <c r="C129" s="11"/>
      <c r="D129" s="11"/>
      <c r="E129" s="36"/>
      <c r="F129" s="11"/>
      <c r="G129" s="37"/>
      <c r="H129" s="38"/>
      <c r="I129" s="37"/>
      <c r="J129" s="36"/>
      <c r="K129" s="11" t="s">
        <v>224</v>
      </c>
      <c r="L129" s="29" t="n">
        <f aca="false">($E129*$G129+$I129)*(1+IF($K129="N",0,INPUTS!$C$23))</f>
        <v>0</v>
      </c>
      <c r="M129" s="39" t="n">
        <f aca="false">$E129*$H129+$J129</f>
        <v>0</v>
      </c>
      <c r="N129" s="29" t="n">
        <f aca="false">$M129*IF(OR($B129="V",$B129="AC"),'LABOUR RATES'!$E$26,'LABOUR RATES'!$E$11)</f>
        <v>0</v>
      </c>
      <c r="O129" s="29" t="n">
        <f aca="false">$M129*IF(OR($B129="V",$B129="AC"),'LABOUR RATES'!$C$27,'LABOUR RATES'!$C$12)</f>
        <v>0</v>
      </c>
      <c r="P129" s="40" t="n">
        <f aca="false">$L129+$N129+$O129</f>
        <v>0</v>
      </c>
      <c r="Q129" s="41" t="str">
        <f aca="false">IF($A129="","",IFERROR(SUMIFS('CRM ACTUALS'!$H$7:$H$2006,'CRM ACTUALS'!$D$7:$D$2006,$A129)/SUMIFS('CRM ACTUALS'!$F$7:$F$2006,'CRM ACTUALS'!$D$7:$D$2006,$A129),""))</f>
        <v/>
      </c>
      <c r="R129" s="28" t="str">
        <f aca="false">IF($A129="","",IFERROR(SUMIFS('CRM ACTUALS'!$J$7:$J$2006,'CRM ACTUALS'!$D$7:$D$2006,$A129)/SUMIFS('CRM ACTUALS'!$F$7:$F$2006,'CRM ACTUALS'!$D$7:$D$2006,$A129),""))</f>
        <v/>
      </c>
      <c r="S129" s="21" t="str">
        <f aca="false">IF(OR($Q129="",N($H129)=0),"",$H129/$Q129-1)</f>
        <v/>
      </c>
    </row>
    <row r="130" customFormat="false" ht="15" hidden="false" customHeight="false" outlineLevel="0" collapsed="false">
      <c r="A130" s="11"/>
      <c r="B130" s="11"/>
      <c r="C130" s="11"/>
      <c r="D130" s="11"/>
      <c r="E130" s="36"/>
      <c r="F130" s="11"/>
      <c r="G130" s="37"/>
      <c r="H130" s="38"/>
      <c r="I130" s="37"/>
      <c r="J130" s="36"/>
      <c r="K130" s="11" t="s">
        <v>224</v>
      </c>
      <c r="L130" s="29" t="n">
        <f aca="false">($E130*$G130+$I130)*(1+IF($K130="N",0,INPUTS!$C$23))</f>
        <v>0</v>
      </c>
      <c r="M130" s="39" t="n">
        <f aca="false">$E130*$H130+$J130</f>
        <v>0</v>
      </c>
      <c r="N130" s="29" t="n">
        <f aca="false">$M130*IF(OR($B130="V",$B130="AC"),'LABOUR RATES'!$E$26,'LABOUR RATES'!$E$11)</f>
        <v>0</v>
      </c>
      <c r="O130" s="29" t="n">
        <f aca="false">$M130*IF(OR($B130="V",$B130="AC"),'LABOUR RATES'!$C$27,'LABOUR RATES'!$C$12)</f>
        <v>0</v>
      </c>
      <c r="P130" s="40" t="n">
        <f aca="false">$L130+$N130+$O130</f>
        <v>0</v>
      </c>
      <c r="Q130" s="41" t="str">
        <f aca="false">IF($A130="","",IFERROR(SUMIFS('CRM ACTUALS'!$H$7:$H$2006,'CRM ACTUALS'!$D$7:$D$2006,$A130)/SUMIFS('CRM ACTUALS'!$F$7:$F$2006,'CRM ACTUALS'!$D$7:$D$2006,$A130),""))</f>
        <v/>
      </c>
      <c r="R130" s="28" t="str">
        <f aca="false">IF($A130="","",IFERROR(SUMIFS('CRM ACTUALS'!$J$7:$J$2006,'CRM ACTUALS'!$D$7:$D$2006,$A130)/SUMIFS('CRM ACTUALS'!$F$7:$F$2006,'CRM ACTUALS'!$D$7:$D$2006,$A130),""))</f>
        <v/>
      </c>
      <c r="S130" s="21" t="str">
        <f aca="false">IF(OR($Q130="",N($H130)=0),"",$H130/$Q130-1)</f>
        <v/>
      </c>
    </row>
    <row r="131" customFormat="false" ht="15" hidden="false" customHeight="false" outlineLevel="0" collapsed="false">
      <c r="A131" s="11"/>
      <c r="B131" s="11"/>
      <c r="C131" s="11"/>
      <c r="D131" s="11"/>
      <c r="E131" s="36"/>
      <c r="F131" s="11"/>
      <c r="G131" s="37"/>
      <c r="H131" s="38"/>
      <c r="I131" s="37"/>
      <c r="J131" s="36"/>
      <c r="K131" s="11" t="s">
        <v>224</v>
      </c>
      <c r="L131" s="29" t="n">
        <f aca="false">($E131*$G131+$I131)*(1+IF($K131="N",0,INPUTS!$C$23))</f>
        <v>0</v>
      </c>
      <c r="M131" s="39" t="n">
        <f aca="false">$E131*$H131+$J131</f>
        <v>0</v>
      </c>
      <c r="N131" s="29" t="n">
        <f aca="false">$M131*IF(OR($B131="V",$B131="AC"),'LABOUR RATES'!$E$26,'LABOUR RATES'!$E$11)</f>
        <v>0</v>
      </c>
      <c r="O131" s="29" t="n">
        <f aca="false">$M131*IF(OR($B131="V",$B131="AC"),'LABOUR RATES'!$C$27,'LABOUR RATES'!$C$12)</f>
        <v>0</v>
      </c>
      <c r="P131" s="40" t="n">
        <f aca="false">$L131+$N131+$O131</f>
        <v>0</v>
      </c>
      <c r="Q131" s="41" t="str">
        <f aca="false">IF($A131="","",IFERROR(SUMIFS('CRM ACTUALS'!$H$7:$H$2006,'CRM ACTUALS'!$D$7:$D$2006,$A131)/SUMIFS('CRM ACTUALS'!$F$7:$F$2006,'CRM ACTUALS'!$D$7:$D$2006,$A131),""))</f>
        <v/>
      </c>
      <c r="R131" s="28" t="str">
        <f aca="false">IF($A131="","",IFERROR(SUMIFS('CRM ACTUALS'!$J$7:$J$2006,'CRM ACTUALS'!$D$7:$D$2006,$A131)/SUMIFS('CRM ACTUALS'!$F$7:$F$2006,'CRM ACTUALS'!$D$7:$D$2006,$A131),""))</f>
        <v/>
      </c>
      <c r="S131" s="21" t="str">
        <f aca="false">IF(OR($Q131="",N($H131)=0),"",$H131/$Q131-1)</f>
        <v/>
      </c>
    </row>
    <row r="132" customFormat="false" ht="15" hidden="false" customHeight="false" outlineLevel="0" collapsed="false">
      <c r="A132" s="11"/>
      <c r="B132" s="11"/>
      <c r="C132" s="11"/>
      <c r="D132" s="11"/>
      <c r="E132" s="36"/>
      <c r="F132" s="11"/>
      <c r="G132" s="37"/>
      <c r="H132" s="38"/>
      <c r="I132" s="37"/>
      <c r="J132" s="36"/>
      <c r="K132" s="11" t="s">
        <v>224</v>
      </c>
      <c r="L132" s="29" t="n">
        <f aca="false">($E132*$G132+$I132)*(1+IF($K132="N",0,INPUTS!$C$23))</f>
        <v>0</v>
      </c>
      <c r="M132" s="39" t="n">
        <f aca="false">$E132*$H132+$J132</f>
        <v>0</v>
      </c>
      <c r="N132" s="29" t="n">
        <f aca="false">$M132*IF(OR($B132="V",$B132="AC"),'LABOUR RATES'!$E$26,'LABOUR RATES'!$E$11)</f>
        <v>0</v>
      </c>
      <c r="O132" s="29" t="n">
        <f aca="false">$M132*IF(OR($B132="V",$B132="AC"),'LABOUR RATES'!$C$27,'LABOUR RATES'!$C$12)</f>
        <v>0</v>
      </c>
      <c r="P132" s="40" t="n">
        <f aca="false">$L132+$N132+$O132</f>
        <v>0</v>
      </c>
      <c r="Q132" s="41" t="str">
        <f aca="false">IF($A132="","",IFERROR(SUMIFS('CRM ACTUALS'!$H$7:$H$2006,'CRM ACTUALS'!$D$7:$D$2006,$A132)/SUMIFS('CRM ACTUALS'!$F$7:$F$2006,'CRM ACTUALS'!$D$7:$D$2006,$A132),""))</f>
        <v/>
      </c>
      <c r="R132" s="28" t="str">
        <f aca="false">IF($A132="","",IFERROR(SUMIFS('CRM ACTUALS'!$J$7:$J$2006,'CRM ACTUALS'!$D$7:$D$2006,$A132)/SUMIFS('CRM ACTUALS'!$F$7:$F$2006,'CRM ACTUALS'!$D$7:$D$2006,$A132),""))</f>
        <v/>
      </c>
      <c r="S132" s="21" t="str">
        <f aca="false">IF(OR($Q132="",N($H132)=0),"",$H132/$Q132-1)</f>
        <v/>
      </c>
    </row>
    <row r="133" customFormat="false" ht="15" hidden="false" customHeight="false" outlineLevel="0" collapsed="false">
      <c r="A133" s="11"/>
      <c r="B133" s="11"/>
      <c r="C133" s="11"/>
      <c r="D133" s="11"/>
      <c r="E133" s="36"/>
      <c r="F133" s="11"/>
      <c r="G133" s="37"/>
      <c r="H133" s="38"/>
      <c r="I133" s="37"/>
      <c r="J133" s="36"/>
      <c r="K133" s="11" t="s">
        <v>224</v>
      </c>
      <c r="L133" s="29" t="n">
        <f aca="false">($E133*$G133+$I133)*(1+IF($K133="N",0,INPUTS!$C$23))</f>
        <v>0</v>
      </c>
      <c r="M133" s="39" t="n">
        <f aca="false">$E133*$H133+$J133</f>
        <v>0</v>
      </c>
      <c r="N133" s="29" t="n">
        <f aca="false">$M133*IF(OR($B133="V",$B133="AC"),'LABOUR RATES'!$E$26,'LABOUR RATES'!$E$11)</f>
        <v>0</v>
      </c>
      <c r="O133" s="29" t="n">
        <f aca="false">$M133*IF(OR($B133="V",$B133="AC"),'LABOUR RATES'!$C$27,'LABOUR RATES'!$C$12)</f>
        <v>0</v>
      </c>
      <c r="P133" s="40" t="n">
        <f aca="false">$L133+$N133+$O133</f>
        <v>0</v>
      </c>
      <c r="Q133" s="41" t="str">
        <f aca="false">IF($A133="","",IFERROR(SUMIFS('CRM ACTUALS'!$H$7:$H$2006,'CRM ACTUALS'!$D$7:$D$2006,$A133)/SUMIFS('CRM ACTUALS'!$F$7:$F$2006,'CRM ACTUALS'!$D$7:$D$2006,$A133),""))</f>
        <v/>
      </c>
      <c r="R133" s="28" t="str">
        <f aca="false">IF($A133="","",IFERROR(SUMIFS('CRM ACTUALS'!$J$7:$J$2006,'CRM ACTUALS'!$D$7:$D$2006,$A133)/SUMIFS('CRM ACTUALS'!$F$7:$F$2006,'CRM ACTUALS'!$D$7:$D$2006,$A133),""))</f>
        <v/>
      </c>
      <c r="S133" s="21" t="str">
        <f aca="false">IF(OR($Q133="",N($H133)=0),"",$H133/$Q133-1)</f>
        <v/>
      </c>
    </row>
    <row r="134" customFormat="false" ht="15" hidden="false" customHeight="false" outlineLevel="0" collapsed="false">
      <c r="A134" s="11"/>
      <c r="B134" s="11"/>
      <c r="C134" s="11"/>
      <c r="D134" s="11"/>
      <c r="E134" s="36"/>
      <c r="F134" s="11"/>
      <c r="G134" s="37"/>
      <c r="H134" s="38"/>
      <c r="I134" s="37"/>
      <c r="J134" s="36"/>
      <c r="K134" s="11" t="s">
        <v>224</v>
      </c>
      <c r="L134" s="29" t="n">
        <f aca="false">($E134*$G134+$I134)*(1+IF($K134="N",0,INPUTS!$C$23))</f>
        <v>0</v>
      </c>
      <c r="M134" s="39" t="n">
        <f aca="false">$E134*$H134+$J134</f>
        <v>0</v>
      </c>
      <c r="N134" s="29" t="n">
        <f aca="false">$M134*IF(OR($B134="V",$B134="AC"),'LABOUR RATES'!$E$26,'LABOUR RATES'!$E$11)</f>
        <v>0</v>
      </c>
      <c r="O134" s="29" t="n">
        <f aca="false">$M134*IF(OR($B134="V",$B134="AC"),'LABOUR RATES'!$C$27,'LABOUR RATES'!$C$12)</f>
        <v>0</v>
      </c>
      <c r="P134" s="40" t="n">
        <f aca="false">$L134+$N134+$O134</f>
        <v>0</v>
      </c>
      <c r="Q134" s="41" t="str">
        <f aca="false">IF($A134="","",IFERROR(SUMIFS('CRM ACTUALS'!$H$7:$H$2006,'CRM ACTUALS'!$D$7:$D$2006,$A134)/SUMIFS('CRM ACTUALS'!$F$7:$F$2006,'CRM ACTUALS'!$D$7:$D$2006,$A134),""))</f>
        <v/>
      </c>
      <c r="R134" s="28" t="str">
        <f aca="false">IF($A134="","",IFERROR(SUMIFS('CRM ACTUALS'!$J$7:$J$2006,'CRM ACTUALS'!$D$7:$D$2006,$A134)/SUMIFS('CRM ACTUALS'!$F$7:$F$2006,'CRM ACTUALS'!$D$7:$D$2006,$A134),""))</f>
        <v/>
      </c>
      <c r="S134" s="21" t="str">
        <f aca="false">IF(OR($Q134="",N($H134)=0),"",$H134/$Q134-1)</f>
        <v/>
      </c>
    </row>
    <row r="135" customFormat="false" ht="15" hidden="false" customHeight="false" outlineLevel="0" collapsed="false">
      <c r="A135" s="11"/>
      <c r="B135" s="11"/>
      <c r="C135" s="11"/>
      <c r="D135" s="11"/>
      <c r="E135" s="36"/>
      <c r="F135" s="11"/>
      <c r="G135" s="37"/>
      <c r="H135" s="38"/>
      <c r="I135" s="37"/>
      <c r="J135" s="36"/>
      <c r="K135" s="11" t="s">
        <v>224</v>
      </c>
      <c r="L135" s="29" t="n">
        <f aca="false">($E135*$G135+$I135)*(1+IF($K135="N",0,INPUTS!$C$23))</f>
        <v>0</v>
      </c>
      <c r="M135" s="39" t="n">
        <f aca="false">$E135*$H135+$J135</f>
        <v>0</v>
      </c>
      <c r="N135" s="29" t="n">
        <f aca="false">$M135*IF(OR($B135="V",$B135="AC"),'LABOUR RATES'!$E$26,'LABOUR RATES'!$E$11)</f>
        <v>0</v>
      </c>
      <c r="O135" s="29" t="n">
        <f aca="false">$M135*IF(OR($B135="V",$B135="AC"),'LABOUR RATES'!$C$27,'LABOUR RATES'!$C$12)</f>
        <v>0</v>
      </c>
      <c r="P135" s="40" t="n">
        <f aca="false">$L135+$N135+$O135</f>
        <v>0</v>
      </c>
      <c r="Q135" s="41" t="str">
        <f aca="false">IF($A135="","",IFERROR(SUMIFS('CRM ACTUALS'!$H$7:$H$2006,'CRM ACTUALS'!$D$7:$D$2006,$A135)/SUMIFS('CRM ACTUALS'!$F$7:$F$2006,'CRM ACTUALS'!$D$7:$D$2006,$A135),""))</f>
        <v/>
      </c>
      <c r="R135" s="28" t="str">
        <f aca="false">IF($A135="","",IFERROR(SUMIFS('CRM ACTUALS'!$J$7:$J$2006,'CRM ACTUALS'!$D$7:$D$2006,$A135)/SUMIFS('CRM ACTUALS'!$F$7:$F$2006,'CRM ACTUALS'!$D$7:$D$2006,$A135),""))</f>
        <v/>
      </c>
      <c r="S135" s="21" t="str">
        <f aca="false">IF(OR($Q135="",N($H135)=0),"",$H135/$Q135-1)</f>
        <v/>
      </c>
    </row>
    <row r="136" customFormat="false" ht="15" hidden="false" customHeight="false" outlineLevel="0" collapsed="false">
      <c r="A136" s="11"/>
      <c r="B136" s="11"/>
      <c r="C136" s="11"/>
      <c r="D136" s="11"/>
      <c r="E136" s="36"/>
      <c r="F136" s="11"/>
      <c r="G136" s="37"/>
      <c r="H136" s="38"/>
      <c r="I136" s="37"/>
      <c r="J136" s="36"/>
      <c r="K136" s="11" t="s">
        <v>224</v>
      </c>
      <c r="L136" s="29" t="n">
        <f aca="false">($E136*$G136+$I136)*(1+IF($K136="N",0,INPUTS!$C$23))</f>
        <v>0</v>
      </c>
      <c r="M136" s="39" t="n">
        <f aca="false">$E136*$H136+$J136</f>
        <v>0</v>
      </c>
      <c r="N136" s="29" t="n">
        <f aca="false">$M136*IF(OR($B136="V",$B136="AC"),'LABOUR RATES'!$E$26,'LABOUR RATES'!$E$11)</f>
        <v>0</v>
      </c>
      <c r="O136" s="29" t="n">
        <f aca="false">$M136*IF(OR($B136="V",$B136="AC"),'LABOUR RATES'!$C$27,'LABOUR RATES'!$C$12)</f>
        <v>0</v>
      </c>
      <c r="P136" s="40" t="n">
        <f aca="false">$L136+$N136+$O136</f>
        <v>0</v>
      </c>
      <c r="Q136" s="41" t="str">
        <f aca="false">IF($A136="","",IFERROR(SUMIFS('CRM ACTUALS'!$H$7:$H$2006,'CRM ACTUALS'!$D$7:$D$2006,$A136)/SUMIFS('CRM ACTUALS'!$F$7:$F$2006,'CRM ACTUALS'!$D$7:$D$2006,$A136),""))</f>
        <v/>
      </c>
      <c r="R136" s="28" t="str">
        <f aca="false">IF($A136="","",IFERROR(SUMIFS('CRM ACTUALS'!$J$7:$J$2006,'CRM ACTUALS'!$D$7:$D$2006,$A136)/SUMIFS('CRM ACTUALS'!$F$7:$F$2006,'CRM ACTUALS'!$D$7:$D$2006,$A136),""))</f>
        <v/>
      </c>
      <c r="S136" s="21" t="str">
        <f aca="false">IF(OR($Q136="",N($H136)=0),"",$H136/$Q136-1)</f>
        <v/>
      </c>
    </row>
    <row r="137" customFormat="false" ht="15" hidden="false" customHeight="false" outlineLevel="0" collapsed="false">
      <c r="A137" s="11"/>
      <c r="B137" s="11"/>
      <c r="C137" s="11"/>
      <c r="D137" s="11"/>
      <c r="E137" s="36"/>
      <c r="F137" s="11"/>
      <c r="G137" s="37"/>
      <c r="H137" s="38"/>
      <c r="I137" s="37"/>
      <c r="J137" s="36"/>
      <c r="K137" s="11" t="s">
        <v>224</v>
      </c>
      <c r="L137" s="29" t="n">
        <f aca="false">($E137*$G137+$I137)*(1+IF($K137="N",0,INPUTS!$C$23))</f>
        <v>0</v>
      </c>
      <c r="M137" s="39" t="n">
        <f aca="false">$E137*$H137+$J137</f>
        <v>0</v>
      </c>
      <c r="N137" s="29" t="n">
        <f aca="false">$M137*IF(OR($B137="V",$B137="AC"),'LABOUR RATES'!$E$26,'LABOUR RATES'!$E$11)</f>
        <v>0</v>
      </c>
      <c r="O137" s="29" t="n">
        <f aca="false">$M137*IF(OR($B137="V",$B137="AC"),'LABOUR RATES'!$C$27,'LABOUR RATES'!$C$12)</f>
        <v>0</v>
      </c>
      <c r="P137" s="40" t="n">
        <f aca="false">$L137+$N137+$O137</f>
        <v>0</v>
      </c>
      <c r="Q137" s="41" t="str">
        <f aca="false">IF($A137="","",IFERROR(SUMIFS('CRM ACTUALS'!$H$7:$H$2006,'CRM ACTUALS'!$D$7:$D$2006,$A137)/SUMIFS('CRM ACTUALS'!$F$7:$F$2006,'CRM ACTUALS'!$D$7:$D$2006,$A137),""))</f>
        <v/>
      </c>
      <c r="R137" s="28" t="str">
        <f aca="false">IF($A137="","",IFERROR(SUMIFS('CRM ACTUALS'!$J$7:$J$2006,'CRM ACTUALS'!$D$7:$D$2006,$A137)/SUMIFS('CRM ACTUALS'!$F$7:$F$2006,'CRM ACTUALS'!$D$7:$D$2006,$A137),""))</f>
        <v/>
      </c>
      <c r="S137" s="21" t="str">
        <f aca="false">IF(OR($Q137="",N($H137)=0),"",$H137/$Q137-1)</f>
        <v/>
      </c>
    </row>
    <row r="138" customFormat="false" ht="15" hidden="false" customHeight="false" outlineLevel="0" collapsed="false">
      <c r="A138" s="11"/>
      <c r="B138" s="11"/>
      <c r="C138" s="11"/>
      <c r="D138" s="11"/>
      <c r="E138" s="36"/>
      <c r="F138" s="11"/>
      <c r="G138" s="37"/>
      <c r="H138" s="38"/>
      <c r="I138" s="37"/>
      <c r="J138" s="36"/>
      <c r="K138" s="11" t="s">
        <v>224</v>
      </c>
      <c r="L138" s="29" t="n">
        <f aca="false">($E138*$G138+$I138)*(1+IF($K138="N",0,INPUTS!$C$23))</f>
        <v>0</v>
      </c>
      <c r="M138" s="39" t="n">
        <f aca="false">$E138*$H138+$J138</f>
        <v>0</v>
      </c>
      <c r="N138" s="29" t="n">
        <f aca="false">$M138*IF(OR($B138="V",$B138="AC"),'LABOUR RATES'!$E$26,'LABOUR RATES'!$E$11)</f>
        <v>0</v>
      </c>
      <c r="O138" s="29" t="n">
        <f aca="false">$M138*IF(OR($B138="V",$B138="AC"),'LABOUR RATES'!$C$27,'LABOUR RATES'!$C$12)</f>
        <v>0</v>
      </c>
      <c r="P138" s="40" t="n">
        <f aca="false">$L138+$N138+$O138</f>
        <v>0</v>
      </c>
      <c r="Q138" s="41" t="str">
        <f aca="false">IF($A138="","",IFERROR(SUMIFS('CRM ACTUALS'!$H$7:$H$2006,'CRM ACTUALS'!$D$7:$D$2006,$A138)/SUMIFS('CRM ACTUALS'!$F$7:$F$2006,'CRM ACTUALS'!$D$7:$D$2006,$A138),""))</f>
        <v/>
      </c>
      <c r="R138" s="28" t="str">
        <f aca="false">IF($A138="","",IFERROR(SUMIFS('CRM ACTUALS'!$J$7:$J$2006,'CRM ACTUALS'!$D$7:$D$2006,$A138)/SUMIFS('CRM ACTUALS'!$F$7:$F$2006,'CRM ACTUALS'!$D$7:$D$2006,$A138),""))</f>
        <v/>
      </c>
      <c r="S138" s="21" t="str">
        <f aca="false">IF(OR($Q138="",N($H138)=0),"",$H138/$Q138-1)</f>
        <v/>
      </c>
    </row>
    <row r="139" customFormat="false" ht="15" hidden="false" customHeight="false" outlineLevel="0" collapsed="false">
      <c r="A139" s="11"/>
      <c r="B139" s="11"/>
      <c r="C139" s="11"/>
      <c r="D139" s="11"/>
      <c r="E139" s="36"/>
      <c r="F139" s="11"/>
      <c r="G139" s="37"/>
      <c r="H139" s="38"/>
      <c r="I139" s="37"/>
      <c r="J139" s="36"/>
      <c r="K139" s="11" t="s">
        <v>224</v>
      </c>
      <c r="L139" s="29" t="n">
        <f aca="false">($E139*$G139+$I139)*(1+IF($K139="N",0,INPUTS!$C$23))</f>
        <v>0</v>
      </c>
      <c r="M139" s="39" t="n">
        <f aca="false">$E139*$H139+$J139</f>
        <v>0</v>
      </c>
      <c r="N139" s="29" t="n">
        <f aca="false">$M139*IF(OR($B139="V",$B139="AC"),'LABOUR RATES'!$E$26,'LABOUR RATES'!$E$11)</f>
        <v>0</v>
      </c>
      <c r="O139" s="29" t="n">
        <f aca="false">$M139*IF(OR($B139="V",$B139="AC"),'LABOUR RATES'!$C$27,'LABOUR RATES'!$C$12)</f>
        <v>0</v>
      </c>
      <c r="P139" s="40" t="n">
        <f aca="false">$L139+$N139+$O139</f>
        <v>0</v>
      </c>
      <c r="Q139" s="41" t="str">
        <f aca="false">IF($A139="","",IFERROR(SUMIFS('CRM ACTUALS'!$H$7:$H$2006,'CRM ACTUALS'!$D$7:$D$2006,$A139)/SUMIFS('CRM ACTUALS'!$F$7:$F$2006,'CRM ACTUALS'!$D$7:$D$2006,$A139),""))</f>
        <v/>
      </c>
      <c r="R139" s="28" t="str">
        <f aca="false">IF($A139="","",IFERROR(SUMIFS('CRM ACTUALS'!$J$7:$J$2006,'CRM ACTUALS'!$D$7:$D$2006,$A139)/SUMIFS('CRM ACTUALS'!$F$7:$F$2006,'CRM ACTUALS'!$D$7:$D$2006,$A139),""))</f>
        <v/>
      </c>
      <c r="S139" s="21" t="str">
        <f aca="false">IF(OR($Q139="",N($H139)=0),"",$H139/$Q139-1)</f>
        <v/>
      </c>
    </row>
    <row r="140" customFormat="false" ht="15" hidden="false" customHeight="false" outlineLevel="0" collapsed="false">
      <c r="A140" s="11"/>
      <c r="B140" s="11"/>
      <c r="C140" s="11"/>
      <c r="D140" s="11"/>
      <c r="E140" s="36"/>
      <c r="F140" s="11"/>
      <c r="G140" s="37"/>
      <c r="H140" s="38"/>
      <c r="I140" s="37"/>
      <c r="J140" s="36"/>
      <c r="K140" s="11" t="s">
        <v>224</v>
      </c>
      <c r="L140" s="29" t="n">
        <f aca="false">($E140*$G140+$I140)*(1+IF($K140="N",0,INPUTS!$C$23))</f>
        <v>0</v>
      </c>
      <c r="M140" s="39" t="n">
        <f aca="false">$E140*$H140+$J140</f>
        <v>0</v>
      </c>
      <c r="N140" s="29" t="n">
        <f aca="false">$M140*IF(OR($B140="V",$B140="AC"),'LABOUR RATES'!$E$26,'LABOUR RATES'!$E$11)</f>
        <v>0</v>
      </c>
      <c r="O140" s="29" t="n">
        <f aca="false">$M140*IF(OR($B140="V",$B140="AC"),'LABOUR RATES'!$C$27,'LABOUR RATES'!$C$12)</f>
        <v>0</v>
      </c>
      <c r="P140" s="40" t="n">
        <f aca="false">$L140+$N140+$O140</f>
        <v>0</v>
      </c>
      <c r="Q140" s="41" t="str">
        <f aca="false">IF($A140="","",IFERROR(SUMIFS('CRM ACTUALS'!$H$7:$H$2006,'CRM ACTUALS'!$D$7:$D$2006,$A140)/SUMIFS('CRM ACTUALS'!$F$7:$F$2006,'CRM ACTUALS'!$D$7:$D$2006,$A140),""))</f>
        <v/>
      </c>
      <c r="R140" s="28" t="str">
        <f aca="false">IF($A140="","",IFERROR(SUMIFS('CRM ACTUALS'!$J$7:$J$2006,'CRM ACTUALS'!$D$7:$D$2006,$A140)/SUMIFS('CRM ACTUALS'!$F$7:$F$2006,'CRM ACTUALS'!$D$7:$D$2006,$A140),""))</f>
        <v/>
      </c>
      <c r="S140" s="21" t="str">
        <f aca="false">IF(OR($Q140="",N($H140)=0),"",$H140/$Q140-1)</f>
        <v/>
      </c>
    </row>
    <row r="141" customFormat="false" ht="15" hidden="false" customHeight="false" outlineLevel="0" collapsed="false">
      <c r="A141" s="11"/>
      <c r="B141" s="11"/>
      <c r="C141" s="11"/>
      <c r="D141" s="11"/>
      <c r="E141" s="36"/>
      <c r="F141" s="11"/>
      <c r="G141" s="37"/>
      <c r="H141" s="38"/>
      <c r="I141" s="37"/>
      <c r="J141" s="36"/>
      <c r="K141" s="11" t="s">
        <v>224</v>
      </c>
      <c r="L141" s="29" t="n">
        <f aca="false">($E141*$G141+$I141)*(1+IF($K141="N",0,INPUTS!$C$23))</f>
        <v>0</v>
      </c>
      <c r="M141" s="39" t="n">
        <f aca="false">$E141*$H141+$J141</f>
        <v>0</v>
      </c>
      <c r="N141" s="29" t="n">
        <f aca="false">$M141*IF(OR($B141="V",$B141="AC"),'LABOUR RATES'!$E$26,'LABOUR RATES'!$E$11)</f>
        <v>0</v>
      </c>
      <c r="O141" s="29" t="n">
        <f aca="false">$M141*IF(OR($B141="V",$B141="AC"),'LABOUR RATES'!$C$27,'LABOUR RATES'!$C$12)</f>
        <v>0</v>
      </c>
      <c r="P141" s="40" t="n">
        <f aca="false">$L141+$N141+$O141</f>
        <v>0</v>
      </c>
      <c r="Q141" s="41" t="str">
        <f aca="false">IF($A141="","",IFERROR(SUMIFS('CRM ACTUALS'!$H$7:$H$2006,'CRM ACTUALS'!$D$7:$D$2006,$A141)/SUMIFS('CRM ACTUALS'!$F$7:$F$2006,'CRM ACTUALS'!$D$7:$D$2006,$A141),""))</f>
        <v/>
      </c>
      <c r="R141" s="28" t="str">
        <f aca="false">IF($A141="","",IFERROR(SUMIFS('CRM ACTUALS'!$J$7:$J$2006,'CRM ACTUALS'!$D$7:$D$2006,$A141)/SUMIFS('CRM ACTUALS'!$F$7:$F$2006,'CRM ACTUALS'!$D$7:$D$2006,$A141),""))</f>
        <v/>
      </c>
      <c r="S141" s="21" t="str">
        <f aca="false">IF(OR($Q141="",N($H141)=0),"",$H141/$Q141-1)</f>
        <v/>
      </c>
    </row>
    <row r="142" customFormat="false" ht="15" hidden="false" customHeight="false" outlineLevel="0" collapsed="false">
      <c r="A142" s="11"/>
      <c r="B142" s="11"/>
      <c r="C142" s="11"/>
      <c r="D142" s="11"/>
      <c r="E142" s="36"/>
      <c r="F142" s="11"/>
      <c r="G142" s="37"/>
      <c r="H142" s="38"/>
      <c r="I142" s="37"/>
      <c r="J142" s="36"/>
      <c r="K142" s="11" t="s">
        <v>224</v>
      </c>
      <c r="L142" s="29" t="n">
        <f aca="false">($E142*$G142+$I142)*(1+IF($K142="N",0,INPUTS!$C$23))</f>
        <v>0</v>
      </c>
      <c r="M142" s="39" t="n">
        <f aca="false">$E142*$H142+$J142</f>
        <v>0</v>
      </c>
      <c r="N142" s="29" t="n">
        <f aca="false">$M142*IF(OR($B142="V",$B142="AC"),'LABOUR RATES'!$E$26,'LABOUR RATES'!$E$11)</f>
        <v>0</v>
      </c>
      <c r="O142" s="29" t="n">
        <f aca="false">$M142*IF(OR($B142="V",$B142="AC"),'LABOUR RATES'!$C$27,'LABOUR RATES'!$C$12)</f>
        <v>0</v>
      </c>
      <c r="P142" s="40" t="n">
        <f aca="false">$L142+$N142+$O142</f>
        <v>0</v>
      </c>
      <c r="Q142" s="41" t="str">
        <f aca="false">IF($A142="","",IFERROR(SUMIFS('CRM ACTUALS'!$H$7:$H$2006,'CRM ACTUALS'!$D$7:$D$2006,$A142)/SUMIFS('CRM ACTUALS'!$F$7:$F$2006,'CRM ACTUALS'!$D$7:$D$2006,$A142),""))</f>
        <v/>
      </c>
      <c r="R142" s="28" t="str">
        <f aca="false">IF($A142="","",IFERROR(SUMIFS('CRM ACTUALS'!$J$7:$J$2006,'CRM ACTUALS'!$D$7:$D$2006,$A142)/SUMIFS('CRM ACTUALS'!$F$7:$F$2006,'CRM ACTUALS'!$D$7:$D$2006,$A142),""))</f>
        <v/>
      </c>
      <c r="S142" s="21" t="str">
        <f aca="false">IF(OR($Q142="",N($H142)=0),"",$H142/$Q142-1)</f>
        <v/>
      </c>
    </row>
    <row r="143" customFormat="false" ht="15" hidden="false" customHeight="false" outlineLevel="0" collapsed="false">
      <c r="A143" s="11"/>
      <c r="B143" s="11"/>
      <c r="C143" s="11"/>
      <c r="D143" s="11"/>
      <c r="E143" s="36"/>
      <c r="F143" s="11"/>
      <c r="G143" s="37"/>
      <c r="H143" s="38"/>
      <c r="I143" s="37"/>
      <c r="J143" s="36"/>
      <c r="K143" s="11" t="s">
        <v>224</v>
      </c>
      <c r="L143" s="29" t="n">
        <f aca="false">($E143*$G143+$I143)*(1+IF($K143="N",0,INPUTS!$C$23))</f>
        <v>0</v>
      </c>
      <c r="M143" s="39" t="n">
        <f aca="false">$E143*$H143+$J143</f>
        <v>0</v>
      </c>
      <c r="N143" s="29" t="n">
        <f aca="false">$M143*IF(OR($B143="V",$B143="AC"),'LABOUR RATES'!$E$26,'LABOUR RATES'!$E$11)</f>
        <v>0</v>
      </c>
      <c r="O143" s="29" t="n">
        <f aca="false">$M143*IF(OR($B143="V",$B143="AC"),'LABOUR RATES'!$C$27,'LABOUR RATES'!$C$12)</f>
        <v>0</v>
      </c>
      <c r="P143" s="40" t="n">
        <f aca="false">$L143+$N143+$O143</f>
        <v>0</v>
      </c>
      <c r="Q143" s="41" t="str">
        <f aca="false">IF($A143="","",IFERROR(SUMIFS('CRM ACTUALS'!$H$7:$H$2006,'CRM ACTUALS'!$D$7:$D$2006,$A143)/SUMIFS('CRM ACTUALS'!$F$7:$F$2006,'CRM ACTUALS'!$D$7:$D$2006,$A143),""))</f>
        <v/>
      </c>
      <c r="R143" s="28" t="str">
        <f aca="false">IF($A143="","",IFERROR(SUMIFS('CRM ACTUALS'!$J$7:$J$2006,'CRM ACTUALS'!$D$7:$D$2006,$A143)/SUMIFS('CRM ACTUALS'!$F$7:$F$2006,'CRM ACTUALS'!$D$7:$D$2006,$A143),""))</f>
        <v/>
      </c>
      <c r="S143" s="21" t="str">
        <f aca="false">IF(OR($Q143="",N($H143)=0),"",$H143/$Q143-1)</f>
        <v/>
      </c>
    </row>
    <row r="144" customFormat="false" ht="15" hidden="false" customHeight="false" outlineLevel="0" collapsed="false">
      <c r="A144" s="11"/>
      <c r="B144" s="11"/>
      <c r="C144" s="11"/>
      <c r="D144" s="11"/>
      <c r="E144" s="36"/>
      <c r="F144" s="11"/>
      <c r="G144" s="37"/>
      <c r="H144" s="38"/>
      <c r="I144" s="37"/>
      <c r="J144" s="36"/>
      <c r="K144" s="11" t="s">
        <v>224</v>
      </c>
      <c r="L144" s="29" t="n">
        <f aca="false">($E144*$G144+$I144)*(1+IF($K144="N",0,INPUTS!$C$23))</f>
        <v>0</v>
      </c>
      <c r="M144" s="39" t="n">
        <f aca="false">$E144*$H144+$J144</f>
        <v>0</v>
      </c>
      <c r="N144" s="29" t="n">
        <f aca="false">$M144*IF(OR($B144="V",$B144="AC"),'LABOUR RATES'!$E$26,'LABOUR RATES'!$E$11)</f>
        <v>0</v>
      </c>
      <c r="O144" s="29" t="n">
        <f aca="false">$M144*IF(OR($B144="V",$B144="AC"),'LABOUR RATES'!$C$27,'LABOUR RATES'!$C$12)</f>
        <v>0</v>
      </c>
      <c r="P144" s="40" t="n">
        <f aca="false">$L144+$N144+$O144</f>
        <v>0</v>
      </c>
      <c r="Q144" s="41" t="str">
        <f aca="false">IF($A144="","",IFERROR(SUMIFS('CRM ACTUALS'!$H$7:$H$2006,'CRM ACTUALS'!$D$7:$D$2006,$A144)/SUMIFS('CRM ACTUALS'!$F$7:$F$2006,'CRM ACTUALS'!$D$7:$D$2006,$A144),""))</f>
        <v/>
      </c>
      <c r="R144" s="28" t="str">
        <f aca="false">IF($A144="","",IFERROR(SUMIFS('CRM ACTUALS'!$J$7:$J$2006,'CRM ACTUALS'!$D$7:$D$2006,$A144)/SUMIFS('CRM ACTUALS'!$F$7:$F$2006,'CRM ACTUALS'!$D$7:$D$2006,$A144),""))</f>
        <v/>
      </c>
      <c r="S144" s="21" t="str">
        <f aca="false">IF(OR($Q144="",N($H144)=0),"",$H144/$Q144-1)</f>
        <v/>
      </c>
    </row>
    <row r="145" customFormat="false" ht="15" hidden="false" customHeight="false" outlineLevel="0" collapsed="false">
      <c r="A145" s="11"/>
      <c r="B145" s="11"/>
      <c r="C145" s="11"/>
      <c r="D145" s="11"/>
      <c r="E145" s="36"/>
      <c r="F145" s="11"/>
      <c r="G145" s="37"/>
      <c r="H145" s="38"/>
      <c r="I145" s="37"/>
      <c r="J145" s="36"/>
      <c r="K145" s="11" t="s">
        <v>224</v>
      </c>
      <c r="L145" s="29" t="n">
        <f aca="false">($E145*$G145+$I145)*(1+IF($K145="N",0,INPUTS!$C$23))</f>
        <v>0</v>
      </c>
      <c r="M145" s="39" t="n">
        <f aca="false">$E145*$H145+$J145</f>
        <v>0</v>
      </c>
      <c r="N145" s="29" t="n">
        <f aca="false">$M145*IF(OR($B145="V",$B145="AC"),'LABOUR RATES'!$E$26,'LABOUR RATES'!$E$11)</f>
        <v>0</v>
      </c>
      <c r="O145" s="29" t="n">
        <f aca="false">$M145*IF(OR($B145="V",$B145="AC"),'LABOUR RATES'!$C$27,'LABOUR RATES'!$C$12)</f>
        <v>0</v>
      </c>
      <c r="P145" s="40" t="n">
        <f aca="false">$L145+$N145+$O145</f>
        <v>0</v>
      </c>
      <c r="Q145" s="41" t="str">
        <f aca="false">IF($A145="","",IFERROR(SUMIFS('CRM ACTUALS'!$H$7:$H$2006,'CRM ACTUALS'!$D$7:$D$2006,$A145)/SUMIFS('CRM ACTUALS'!$F$7:$F$2006,'CRM ACTUALS'!$D$7:$D$2006,$A145),""))</f>
        <v/>
      </c>
      <c r="R145" s="28" t="str">
        <f aca="false">IF($A145="","",IFERROR(SUMIFS('CRM ACTUALS'!$J$7:$J$2006,'CRM ACTUALS'!$D$7:$D$2006,$A145)/SUMIFS('CRM ACTUALS'!$F$7:$F$2006,'CRM ACTUALS'!$D$7:$D$2006,$A145),""))</f>
        <v/>
      </c>
      <c r="S145" s="21" t="str">
        <f aca="false">IF(OR($Q145="",N($H145)=0),"",$H145/$Q145-1)</f>
        <v/>
      </c>
    </row>
    <row r="146" customFormat="false" ht="15" hidden="false" customHeight="false" outlineLevel="0" collapsed="false">
      <c r="A146" s="11"/>
      <c r="B146" s="11"/>
      <c r="C146" s="11"/>
      <c r="D146" s="11"/>
      <c r="E146" s="36"/>
      <c r="F146" s="11"/>
      <c r="G146" s="37"/>
      <c r="H146" s="38"/>
      <c r="I146" s="37"/>
      <c r="J146" s="36"/>
      <c r="K146" s="11" t="s">
        <v>224</v>
      </c>
      <c r="L146" s="29" t="n">
        <f aca="false">($E146*$G146+$I146)*(1+IF($K146="N",0,INPUTS!$C$23))</f>
        <v>0</v>
      </c>
      <c r="M146" s="39" t="n">
        <f aca="false">$E146*$H146+$J146</f>
        <v>0</v>
      </c>
      <c r="N146" s="29" t="n">
        <f aca="false">$M146*IF(OR($B146="V",$B146="AC"),'LABOUR RATES'!$E$26,'LABOUR RATES'!$E$11)</f>
        <v>0</v>
      </c>
      <c r="O146" s="29" t="n">
        <f aca="false">$M146*IF(OR($B146="V",$B146="AC"),'LABOUR RATES'!$C$27,'LABOUR RATES'!$C$12)</f>
        <v>0</v>
      </c>
      <c r="P146" s="40" t="n">
        <f aca="false">$L146+$N146+$O146</f>
        <v>0</v>
      </c>
      <c r="Q146" s="41" t="str">
        <f aca="false">IF($A146="","",IFERROR(SUMIFS('CRM ACTUALS'!$H$7:$H$2006,'CRM ACTUALS'!$D$7:$D$2006,$A146)/SUMIFS('CRM ACTUALS'!$F$7:$F$2006,'CRM ACTUALS'!$D$7:$D$2006,$A146),""))</f>
        <v/>
      </c>
      <c r="R146" s="28" t="str">
        <f aca="false">IF($A146="","",IFERROR(SUMIFS('CRM ACTUALS'!$J$7:$J$2006,'CRM ACTUALS'!$D$7:$D$2006,$A146)/SUMIFS('CRM ACTUALS'!$F$7:$F$2006,'CRM ACTUALS'!$D$7:$D$2006,$A146),""))</f>
        <v/>
      </c>
      <c r="S146" s="21" t="str">
        <f aca="false">IF(OR($Q146="",N($H146)=0),"",$H146/$Q146-1)</f>
        <v/>
      </c>
    </row>
    <row r="147" customFormat="false" ht="15" hidden="false" customHeight="false" outlineLevel="0" collapsed="false">
      <c r="A147" s="11"/>
      <c r="B147" s="11"/>
      <c r="C147" s="11"/>
      <c r="D147" s="11"/>
      <c r="E147" s="36"/>
      <c r="F147" s="11"/>
      <c r="G147" s="37"/>
      <c r="H147" s="38"/>
      <c r="I147" s="37"/>
      <c r="J147" s="36"/>
      <c r="K147" s="11" t="s">
        <v>224</v>
      </c>
      <c r="L147" s="29" t="n">
        <f aca="false">($E147*$G147+$I147)*(1+IF($K147="N",0,INPUTS!$C$23))</f>
        <v>0</v>
      </c>
      <c r="M147" s="39" t="n">
        <f aca="false">$E147*$H147+$J147</f>
        <v>0</v>
      </c>
      <c r="N147" s="29" t="n">
        <f aca="false">$M147*IF(OR($B147="V",$B147="AC"),'LABOUR RATES'!$E$26,'LABOUR RATES'!$E$11)</f>
        <v>0</v>
      </c>
      <c r="O147" s="29" t="n">
        <f aca="false">$M147*IF(OR($B147="V",$B147="AC"),'LABOUR RATES'!$C$27,'LABOUR RATES'!$C$12)</f>
        <v>0</v>
      </c>
      <c r="P147" s="40" t="n">
        <f aca="false">$L147+$N147+$O147</f>
        <v>0</v>
      </c>
      <c r="Q147" s="41" t="str">
        <f aca="false">IF($A147="","",IFERROR(SUMIFS('CRM ACTUALS'!$H$7:$H$2006,'CRM ACTUALS'!$D$7:$D$2006,$A147)/SUMIFS('CRM ACTUALS'!$F$7:$F$2006,'CRM ACTUALS'!$D$7:$D$2006,$A147),""))</f>
        <v/>
      </c>
      <c r="R147" s="28" t="str">
        <f aca="false">IF($A147="","",IFERROR(SUMIFS('CRM ACTUALS'!$J$7:$J$2006,'CRM ACTUALS'!$D$7:$D$2006,$A147)/SUMIFS('CRM ACTUALS'!$F$7:$F$2006,'CRM ACTUALS'!$D$7:$D$2006,$A147),""))</f>
        <v/>
      </c>
      <c r="S147" s="21" t="str">
        <f aca="false">IF(OR($Q147="",N($H147)=0),"",$H147/$Q147-1)</f>
        <v/>
      </c>
    </row>
    <row r="148" customFormat="false" ht="15" hidden="false" customHeight="false" outlineLevel="0" collapsed="false">
      <c r="A148" s="11"/>
      <c r="B148" s="11"/>
      <c r="C148" s="11"/>
      <c r="D148" s="11"/>
      <c r="E148" s="36"/>
      <c r="F148" s="11"/>
      <c r="G148" s="37"/>
      <c r="H148" s="38"/>
      <c r="I148" s="37"/>
      <c r="J148" s="36"/>
      <c r="K148" s="11" t="s">
        <v>224</v>
      </c>
      <c r="L148" s="29" t="n">
        <f aca="false">($E148*$G148+$I148)*(1+IF($K148="N",0,INPUTS!$C$23))</f>
        <v>0</v>
      </c>
      <c r="M148" s="39" t="n">
        <f aca="false">$E148*$H148+$J148</f>
        <v>0</v>
      </c>
      <c r="N148" s="29" t="n">
        <f aca="false">$M148*IF(OR($B148="V",$B148="AC"),'LABOUR RATES'!$E$26,'LABOUR RATES'!$E$11)</f>
        <v>0</v>
      </c>
      <c r="O148" s="29" t="n">
        <f aca="false">$M148*IF(OR($B148="V",$B148="AC"),'LABOUR RATES'!$C$27,'LABOUR RATES'!$C$12)</f>
        <v>0</v>
      </c>
      <c r="P148" s="40" t="n">
        <f aca="false">$L148+$N148+$O148</f>
        <v>0</v>
      </c>
      <c r="Q148" s="41" t="str">
        <f aca="false">IF($A148="","",IFERROR(SUMIFS('CRM ACTUALS'!$H$7:$H$2006,'CRM ACTUALS'!$D$7:$D$2006,$A148)/SUMIFS('CRM ACTUALS'!$F$7:$F$2006,'CRM ACTUALS'!$D$7:$D$2006,$A148),""))</f>
        <v/>
      </c>
      <c r="R148" s="28" t="str">
        <f aca="false">IF($A148="","",IFERROR(SUMIFS('CRM ACTUALS'!$J$7:$J$2006,'CRM ACTUALS'!$D$7:$D$2006,$A148)/SUMIFS('CRM ACTUALS'!$F$7:$F$2006,'CRM ACTUALS'!$D$7:$D$2006,$A148),""))</f>
        <v/>
      </c>
      <c r="S148" s="21" t="str">
        <f aca="false">IF(OR($Q148="",N($H148)=0),"",$H148/$Q148-1)</f>
        <v/>
      </c>
    </row>
    <row r="149" customFormat="false" ht="15" hidden="false" customHeight="false" outlineLevel="0" collapsed="false">
      <c r="A149" s="11"/>
      <c r="B149" s="11"/>
      <c r="C149" s="11"/>
      <c r="D149" s="11"/>
      <c r="E149" s="36"/>
      <c r="F149" s="11"/>
      <c r="G149" s="37"/>
      <c r="H149" s="38"/>
      <c r="I149" s="37"/>
      <c r="J149" s="36"/>
      <c r="K149" s="11" t="s">
        <v>224</v>
      </c>
      <c r="L149" s="29" t="n">
        <f aca="false">($E149*$G149+$I149)*(1+IF($K149="N",0,INPUTS!$C$23))</f>
        <v>0</v>
      </c>
      <c r="M149" s="39" t="n">
        <f aca="false">$E149*$H149+$J149</f>
        <v>0</v>
      </c>
      <c r="N149" s="29" t="n">
        <f aca="false">$M149*IF(OR($B149="V",$B149="AC"),'LABOUR RATES'!$E$26,'LABOUR RATES'!$E$11)</f>
        <v>0</v>
      </c>
      <c r="O149" s="29" t="n">
        <f aca="false">$M149*IF(OR($B149="V",$B149="AC"),'LABOUR RATES'!$C$27,'LABOUR RATES'!$C$12)</f>
        <v>0</v>
      </c>
      <c r="P149" s="40" t="n">
        <f aca="false">$L149+$N149+$O149</f>
        <v>0</v>
      </c>
      <c r="Q149" s="41" t="str">
        <f aca="false">IF($A149="","",IFERROR(SUMIFS('CRM ACTUALS'!$H$7:$H$2006,'CRM ACTUALS'!$D$7:$D$2006,$A149)/SUMIFS('CRM ACTUALS'!$F$7:$F$2006,'CRM ACTUALS'!$D$7:$D$2006,$A149),""))</f>
        <v/>
      </c>
      <c r="R149" s="28" t="str">
        <f aca="false">IF($A149="","",IFERROR(SUMIFS('CRM ACTUALS'!$J$7:$J$2006,'CRM ACTUALS'!$D$7:$D$2006,$A149)/SUMIFS('CRM ACTUALS'!$F$7:$F$2006,'CRM ACTUALS'!$D$7:$D$2006,$A149),""))</f>
        <v/>
      </c>
      <c r="S149" s="21" t="str">
        <f aca="false">IF(OR($Q149="",N($H149)=0),"",$H149/$Q149-1)</f>
        <v/>
      </c>
    </row>
    <row r="150" customFormat="false" ht="15" hidden="false" customHeight="false" outlineLevel="0" collapsed="false">
      <c r="A150" s="11"/>
      <c r="B150" s="11"/>
      <c r="C150" s="11"/>
      <c r="D150" s="11"/>
      <c r="E150" s="36"/>
      <c r="F150" s="11"/>
      <c r="G150" s="37"/>
      <c r="H150" s="38"/>
      <c r="I150" s="37"/>
      <c r="J150" s="36"/>
      <c r="K150" s="11" t="s">
        <v>224</v>
      </c>
      <c r="L150" s="29" t="n">
        <f aca="false">($E150*$G150+$I150)*(1+IF($K150="N",0,INPUTS!$C$23))</f>
        <v>0</v>
      </c>
      <c r="M150" s="39" t="n">
        <f aca="false">$E150*$H150+$J150</f>
        <v>0</v>
      </c>
      <c r="N150" s="29" t="n">
        <f aca="false">$M150*IF(OR($B150="V",$B150="AC"),'LABOUR RATES'!$E$26,'LABOUR RATES'!$E$11)</f>
        <v>0</v>
      </c>
      <c r="O150" s="29" t="n">
        <f aca="false">$M150*IF(OR($B150="V",$B150="AC"),'LABOUR RATES'!$C$27,'LABOUR RATES'!$C$12)</f>
        <v>0</v>
      </c>
      <c r="P150" s="40" t="n">
        <f aca="false">$L150+$N150+$O150</f>
        <v>0</v>
      </c>
      <c r="Q150" s="41" t="str">
        <f aca="false">IF($A150="","",IFERROR(SUMIFS('CRM ACTUALS'!$H$7:$H$2006,'CRM ACTUALS'!$D$7:$D$2006,$A150)/SUMIFS('CRM ACTUALS'!$F$7:$F$2006,'CRM ACTUALS'!$D$7:$D$2006,$A150),""))</f>
        <v/>
      </c>
      <c r="R150" s="28" t="str">
        <f aca="false">IF($A150="","",IFERROR(SUMIFS('CRM ACTUALS'!$J$7:$J$2006,'CRM ACTUALS'!$D$7:$D$2006,$A150)/SUMIFS('CRM ACTUALS'!$F$7:$F$2006,'CRM ACTUALS'!$D$7:$D$2006,$A150),""))</f>
        <v/>
      </c>
      <c r="S150" s="21" t="str">
        <f aca="false">IF(OR($Q150="",N($H150)=0),"",$H150/$Q150-1)</f>
        <v/>
      </c>
    </row>
    <row r="151" customFormat="false" ht="15" hidden="false" customHeight="false" outlineLevel="0" collapsed="false">
      <c r="A151" s="11"/>
      <c r="B151" s="11"/>
      <c r="C151" s="11"/>
      <c r="D151" s="11"/>
      <c r="E151" s="36"/>
      <c r="F151" s="11"/>
      <c r="G151" s="37"/>
      <c r="H151" s="38"/>
      <c r="I151" s="37"/>
      <c r="J151" s="36"/>
      <c r="K151" s="11" t="s">
        <v>224</v>
      </c>
      <c r="L151" s="29" t="n">
        <f aca="false">($E151*$G151+$I151)*(1+IF($K151="N",0,INPUTS!$C$23))</f>
        <v>0</v>
      </c>
      <c r="M151" s="39" t="n">
        <f aca="false">$E151*$H151+$J151</f>
        <v>0</v>
      </c>
      <c r="N151" s="29" t="n">
        <f aca="false">$M151*IF(OR($B151="V",$B151="AC"),'LABOUR RATES'!$E$26,'LABOUR RATES'!$E$11)</f>
        <v>0</v>
      </c>
      <c r="O151" s="29" t="n">
        <f aca="false">$M151*IF(OR($B151="V",$B151="AC"),'LABOUR RATES'!$C$27,'LABOUR RATES'!$C$12)</f>
        <v>0</v>
      </c>
      <c r="P151" s="40" t="n">
        <f aca="false">$L151+$N151+$O151</f>
        <v>0</v>
      </c>
      <c r="Q151" s="41" t="str">
        <f aca="false">IF($A151="","",IFERROR(SUMIFS('CRM ACTUALS'!$H$7:$H$2006,'CRM ACTUALS'!$D$7:$D$2006,$A151)/SUMIFS('CRM ACTUALS'!$F$7:$F$2006,'CRM ACTUALS'!$D$7:$D$2006,$A151),""))</f>
        <v/>
      </c>
      <c r="R151" s="28" t="str">
        <f aca="false">IF($A151="","",IFERROR(SUMIFS('CRM ACTUALS'!$J$7:$J$2006,'CRM ACTUALS'!$D$7:$D$2006,$A151)/SUMIFS('CRM ACTUALS'!$F$7:$F$2006,'CRM ACTUALS'!$D$7:$D$2006,$A151),""))</f>
        <v/>
      </c>
      <c r="S151" s="21" t="str">
        <f aca="false">IF(OR($Q151="",N($H151)=0),"",$H151/$Q151-1)</f>
        <v/>
      </c>
    </row>
    <row r="152" customFormat="false" ht="15" hidden="false" customHeight="false" outlineLevel="0" collapsed="false">
      <c r="A152" s="11"/>
      <c r="B152" s="11"/>
      <c r="C152" s="11"/>
      <c r="D152" s="11"/>
      <c r="E152" s="36"/>
      <c r="F152" s="11"/>
      <c r="G152" s="37"/>
      <c r="H152" s="38"/>
      <c r="I152" s="37"/>
      <c r="J152" s="36"/>
      <c r="K152" s="11" t="s">
        <v>224</v>
      </c>
      <c r="L152" s="29" t="n">
        <f aca="false">($E152*$G152+$I152)*(1+IF($K152="N",0,INPUTS!$C$23))</f>
        <v>0</v>
      </c>
      <c r="M152" s="39" t="n">
        <f aca="false">$E152*$H152+$J152</f>
        <v>0</v>
      </c>
      <c r="N152" s="29" t="n">
        <f aca="false">$M152*IF(OR($B152="V",$B152="AC"),'LABOUR RATES'!$E$26,'LABOUR RATES'!$E$11)</f>
        <v>0</v>
      </c>
      <c r="O152" s="29" t="n">
        <f aca="false">$M152*IF(OR($B152="V",$B152="AC"),'LABOUR RATES'!$C$27,'LABOUR RATES'!$C$12)</f>
        <v>0</v>
      </c>
      <c r="P152" s="40" t="n">
        <f aca="false">$L152+$N152+$O152</f>
        <v>0</v>
      </c>
      <c r="Q152" s="41" t="str">
        <f aca="false">IF($A152="","",IFERROR(SUMIFS('CRM ACTUALS'!$H$7:$H$2006,'CRM ACTUALS'!$D$7:$D$2006,$A152)/SUMIFS('CRM ACTUALS'!$F$7:$F$2006,'CRM ACTUALS'!$D$7:$D$2006,$A152),""))</f>
        <v/>
      </c>
      <c r="R152" s="28" t="str">
        <f aca="false">IF($A152="","",IFERROR(SUMIFS('CRM ACTUALS'!$J$7:$J$2006,'CRM ACTUALS'!$D$7:$D$2006,$A152)/SUMIFS('CRM ACTUALS'!$F$7:$F$2006,'CRM ACTUALS'!$D$7:$D$2006,$A152),""))</f>
        <v/>
      </c>
      <c r="S152" s="21" t="str">
        <f aca="false">IF(OR($Q152="",N($H152)=0),"",$H152/$Q152-1)</f>
        <v/>
      </c>
    </row>
    <row r="153" customFormat="false" ht="15" hidden="false" customHeight="false" outlineLevel="0" collapsed="false">
      <c r="A153" s="11"/>
      <c r="B153" s="11"/>
      <c r="C153" s="11"/>
      <c r="D153" s="11"/>
      <c r="E153" s="36"/>
      <c r="F153" s="11"/>
      <c r="G153" s="37"/>
      <c r="H153" s="38"/>
      <c r="I153" s="37"/>
      <c r="J153" s="36"/>
      <c r="K153" s="11" t="s">
        <v>224</v>
      </c>
      <c r="L153" s="29" t="n">
        <f aca="false">($E153*$G153+$I153)*(1+IF($K153="N",0,INPUTS!$C$23))</f>
        <v>0</v>
      </c>
      <c r="M153" s="39" t="n">
        <f aca="false">$E153*$H153+$J153</f>
        <v>0</v>
      </c>
      <c r="N153" s="29" t="n">
        <f aca="false">$M153*IF(OR($B153="V",$B153="AC"),'LABOUR RATES'!$E$26,'LABOUR RATES'!$E$11)</f>
        <v>0</v>
      </c>
      <c r="O153" s="29" t="n">
        <f aca="false">$M153*IF(OR($B153="V",$B153="AC"),'LABOUR RATES'!$C$27,'LABOUR RATES'!$C$12)</f>
        <v>0</v>
      </c>
      <c r="P153" s="40" t="n">
        <f aca="false">$L153+$N153+$O153</f>
        <v>0</v>
      </c>
      <c r="Q153" s="41" t="str">
        <f aca="false">IF($A153="","",IFERROR(SUMIFS('CRM ACTUALS'!$H$7:$H$2006,'CRM ACTUALS'!$D$7:$D$2006,$A153)/SUMIFS('CRM ACTUALS'!$F$7:$F$2006,'CRM ACTUALS'!$D$7:$D$2006,$A153),""))</f>
        <v/>
      </c>
      <c r="R153" s="28" t="str">
        <f aca="false">IF($A153="","",IFERROR(SUMIFS('CRM ACTUALS'!$J$7:$J$2006,'CRM ACTUALS'!$D$7:$D$2006,$A153)/SUMIFS('CRM ACTUALS'!$F$7:$F$2006,'CRM ACTUALS'!$D$7:$D$2006,$A153),""))</f>
        <v/>
      </c>
      <c r="S153" s="21" t="str">
        <f aca="false">IF(OR($Q153="",N($H153)=0),"",$H153/$Q153-1)</f>
        <v/>
      </c>
    </row>
    <row r="154" customFormat="false" ht="15" hidden="false" customHeight="false" outlineLevel="0" collapsed="false">
      <c r="A154" s="11"/>
      <c r="B154" s="11"/>
      <c r="C154" s="11"/>
      <c r="D154" s="11"/>
      <c r="E154" s="36"/>
      <c r="F154" s="11"/>
      <c r="G154" s="37"/>
      <c r="H154" s="38"/>
      <c r="I154" s="37"/>
      <c r="J154" s="36"/>
      <c r="K154" s="11" t="s">
        <v>224</v>
      </c>
      <c r="L154" s="29" t="n">
        <f aca="false">($E154*$G154+$I154)*(1+IF($K154="N",0,INPUTS!$C$23))</f>
        <v>0</v>
      </c>
      <c r="M154" s="39" t="n">
        <f aca="false">$E154*$H154+$J154</f>
        <v>0</v>
      </c>
      <c r="N154" s="29" t="n">
        <f aca="false">$M154*IF(OR($B154="V",$B154="AC"),'LABOUR RATES'!$E$26,'LABOUR RATES'!$E$11)</f>
        <v>0</v>
      </c>
      <c r="O154" s="29" t="n">
        <f aca="false">$M154*IF(OR($B154="V",$B154="AC"),'LABOUR RATES'!$C$27,'LABOUR RATES'!$C$12)</f>
        <v>0</v>
      </c>
      <c r="P154" s="40" t="n">
        <f aca="false">$L154+$N154+$O154</f>
        <v>0</v>
      </c>
      <c r="Q154" s="41" t="str">
        <f aca="false">IF($A154="","",IFERROR(SUMIFS('CRM ACTUALS'!$H$7:$H$2006,'CRM ACTUALS'!$D$7:$D$2006,$A154)/SUMIFS('CRM ACTUALS'!$F$7:$F$2006,'CRM ACTUALS'!$D$7:$D$2006,$A154),""))</f>
        <v/>
      </c>
      <c r="R154" s="28" t="str">
        <f aca="false">IF($A154="","",IFERROR(SUMIFS('CRM ACTUALS'!$J$7:$J$2006,'CRM ACTUALS'!$D$7:$D$2006,$A154)/SUMIFS('CRM ACTUALS'!$F$7:$F$2006,'CRM ACTUALS'!$D$7:$D$2006,$A154),""))</f>
        <v/>
      </c>
      <c r="S154" s="21" t="str">
        <f aca="false">IF(OR($Q154="",N($H154)=0),"",$H154/$Q154-1)</f>
        <v/>
      </c>
    </row>
    <row r="155" customFormat="false" ht="15" hidden="false" customHeight="false" outlineLevel="0" collapsed="false">
      <c r="A155" s="11"/>
      <c r="B155" s="11"/>
      <c r="C155" s="11"/>
      <c r="D155" s="11"/>
      <c r="E155" s="36"/>
      <c r="F155" s="11"/>
      <c r="G155" s="37"/>
      <c r="H155" s="38"/>
      <c r="I155" s="37"/>
      <c r="J155" s="36"/>
      <c r="K155" s="11" t="s">
        <v>224</v>
      </c>
      <c r="L155" s="29" t="n">
        <f aca="false">($E155*$G155+$I155)*(1+IF($K155="N",0,INPUTS!$C$23))</f>
        <v>0</v>
      </c>
      <c r="M155" s="39" t="n">
        <f aca="false">$E155*$H155+$J155</f>
        <v>0</v>
      </c>
      <c r="N155" s="29" t="n">
        <f aca="false">$M155*IF(OR($B155="V",$B155="AC"),'LABOUR RATES'!$E$26,'LABOUR RATES'!$E$11)</f>
        <v>0</v>
      </c>
      <c r="O155" s="29" t="n">
        <f aca="false">$M155*IF(OR($B155="V",$B155="AC"),'LABOUR RATES'!$C$27,'LABOUR RATES'!$C$12)</f>
        <v>0</v>
      </c>
      <c r="P155" s="40" t="n">
        <f aca="false">$L155+$N155+$O155</f>
        <v>0</v>
      </c>
      <c r="Q155" s="41" t="str">
        <f aca="false">IF($A155="","",IFERROR(SUMIFS('CRM ACTUALS'!$H$7:$H$2006,'CRM ACTUALS'!$D$7:$D$2006,$A155)/SUMIFS('CRM ACTUALS'!$F$7:$F$2006,'CRM ACTUALS'!$D$7:$D$2006,$A155),""))</f>
        <v/>
      </c>
      <c r="R155" s="28" t="str">
        <f aca="false">IF($A155="","",IFERROR(SUMIFS('CRM ACTUALS'!$J$7:$J$2006,'CRM ACTUALS'!$D$7:$D$2006,$A155)/SUMIFS('CRM ACTUALS'!$F$7:$F$2006,'CRM ACTUALS'!$D$7:$D$2006,$A155),""))</f>
        <v/>
      </c>
      <c r="S155" s="21" t="str">
        <f aca="false">IF(OR($Q155="",N($H155)=0),"",$H155/$Q155-1)</f>
        <v/>
      </c>
    </row>
    <row r="156" customFormat="false" ht="15" hidden="false" customHeight="false" outlineLevel="0" collapsed="false">
      <c r="A156" s="11"/>
      <c r="B156" s="11"/>
      <c r="C156" s="11"/>
      <c r="D156" s="11"/>
      <c r="E156" s="36"/>
      <c r="F156" s="11"/>
      <c r="G156" s="37"/>
      <c r="H156" s="38"/>
      <c r="I156" s="37"/>
      <c r="J156" s="36"/>
      <c r="K156" s="11" t="s">
        <v>224</v>
      </c>
      <c r="L156" s="29" t="n">
        <f aca="false">($E156*$G156+$I156)*(1+IF($K156="N",0,INPUTS!$C$23))</f>
        <v>0</v>
      </c>
      <c r="M156" s="39" t="n">
        <f aca="false">$E156*$H156+$J156</f>
        <v>0</v>
      </c>
      <c r="N156" s="29" t="n">
        <f aca="false">$M156*IF(OR($B156="V",$B156="AC"),'LABOUR RATES'!$E$26,'LABOUR RATES'!$E$11)</f>
        <v>0</v>
      </c>
      <c r="O156" s="29" t="n">
        <f aca="false">$M156*IF(OR($B156="V",$B156="AC"),'LABOUR RATES'!$C$27,'LABOUR RATES'!$C$12)</f>
        <v>0</v>
      </c>
      <c r="P156" s="40" t="n">
        <f aca="false">$L156+$N156+$O156</f>
        <v>0</v>
      </c>
      <c r="Q156" s="41" t="str">
        <f aca="false">IF($A156="","",IFERROR(SUMIFS('CRM ACTUALS'!$H$7:$H$2006,'CRM ACTUALS'!$D$7:$D$2006,$A156)/SUMIFS('CRM ACTUALS'!$F$7:$F$2006,'CRM ACTUALS'!$D$7:$D$2006,$A156),""))</f>
        <v/>
      </c>
      <c r="R156" s="28" t="str">
        <f aca="false">IF($A156="","",IFERROR(SUMIFS('CRM ACTUALS'!$J$7:$J$2006,'CRM ACTUALS'!$D$7:$D$2006,$A156)/SUMIFS('CRM ACTUALS'!$F$7:$F$2006,'CRM ACTUALS'!$D$7:$D$2006,$A156),""))</f>
        <v/>
      </c>
      <c r="S156" s="21" t="str">
        <f aca="false">IF(OR($Q156="",N($H156)=0),"",$H156/$Q156-1)</f>
        <v/>
      </c>
    </row>
  </sheetData>
  <autoFilter ref="A6:S156"/>
  <conditionalFormatting sqref="S7:S156">
    <cfRule type="expression" priority="2" aboveAverage="0" equalAverage="0" bottom="0" percent="0" rank="0" text="" dxfId="9">
      <formula>AND(ISNUMBER(S7),ABS(S7)&gt;0.15)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INPUTS!$B$58:$B$65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Q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2" min="9" style="0" width="8"/>
    <col collapsed="false" customWidth="true" hidden="false" outlineLevel="0" max="16" min="13" style="0" width="13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1" t="s">
        <v>351</v>
      </c>
    </row>
    <row r="2" customFormat="false" ht="15" hidden="false" customHeight="false" outlineLevel="0" collapsed="false">
      <c r="A2" s="2" t="s">
        <v>352</v>
      </c>
    </row>
    <row r="3" customFormat="false" ht="15" hidden="false" customHeight="false" outlineLevel="0" collapsed="false">
      <c r="H3" s="44" t="s">
        <v>353</v>
      </c>
      <c r="I3" s="45" t="n">
        <f aca="false">SUMIFS('PLUMBING EST'!$P$7:$P$156,'PLUMBING EST'!$B$7:$B$156,"P")+SUMIFS('HVAC EST'!$P$7:$P$156,'HVAC EST'!$B$7:$B$156,"P")</f>
        <v>233323.62</v>
      </c>
      <c r="J3" s="45" t="n">
        <f aca="false">SUMIFS('PLUMBING EST'!$P$7:$P$156,'PLUMBING EST'!$B$7:$B$156,"H")+SUMIFS('HVAC EST'!$P$7:$P$156,'HVAC EST'!$B$7:$B$156,"H")</f>
        <v>0</v>
      </c>
      <c r="K3" s="45" t="n">
        <f aca="false">SUMIFS('PLUMBING EST'!$P$7:$P$156,'PLUMBING EST'!$B$7:$B$156,"V")+SUMIFS('HVAC EST'!$P$7:$P$156,'HVAC EST'!$B$7:$B$156,"V")</f>
        <v>0</v>
      </c>
      <c r="L3" s="45" t="n">
        <f aca="false">SUMIFS('PLUMBING EST'!$P$7:$P$156,'PLUMBING EST'!$B$7:$B$156,"AC")+SUMIFS('HVAC EST'!$P$7:$P$156,'HVAC EST'!$B$7:$B$156,"AC")</f>
        <v>0</v>
      </c>
    </row>
    <row r="4" customFormat="false" ht="15" hidden="false" customHeight="false" outlineLevel="0" collapsed="false">
      <c r="H4" s="44" t="s">
        <v>354</v>
      </c>
      <c r="I4" s="46" t="n">
        <f aca="false">IFERROR(I3/SUM($I$3:$L$3),0)</f>
        <v>1</v>
      </c>
      <c r="J4" s="46" t="n">
        <f aca="false">IFERROR(J3/SUM($I$3:$L$3),0)</f>
        <v>0</v>
      </c>
      <c r="K4" s="46" t="n">
        <f aca="false">IFERROR(K3/SUM($I$3:$L$3),0)</f>
        <v>0</v>
      </c>
      <c r="L4" s="46" t="n">
        <f aca="false">IFERROR(L3/SUM($I$3:$L$3),0)</f>
        <v>0</v>
      </c>
    </row>
    <row r="5" customFormat="false" ht="15" hidden="false" customHeight="false" outlineLevel="0" collapsed="false">
      <c r="A5" s="3" t="s">
        <v>355</v>
      </c>
    </row>
    <row r="6" customFormat="false" ht="30" hidden="false" customHeight="true" outlineLevel="0" collapsed="false">
      <c r="A6" s="18" t="s">
        <v>356</v>
      </c>
      <c r="B6" s="18" t="s">
        <v>357</v>
      </c>
      <c r="C6" s="18" t="s">
        <v>358</v>
      </c>
      <c r="D6" s="18" t="s">
        <v>205</v>
      </c>
      <c r="E6" s="18" t="s">
        <v>207</v>
      </c>
      <c r="F6" s="18" t="s">
        <v>208</v>
      </c>
      <c r="G6" s="18" t="s">
        <v>359</v>
      </c>
      <c r="H6" s="18" t="s">
        <v>360</v>
      </c>
      <c r="I6" s="18" t="s">
        <v>361</v>
      </c>
      <c r="J6" s="18" t="s">
        <v>362</v>
      </c>
      <c r="K6" s="18" t="s">
        <v>363</v>
      </c>
      <c r="L6" s="18" t="s">
        <v>364</v>
      </c>
      <c r="M6" s="18" t="s">
        <v>365</v>
      </c>
      <c r="N6" s="18" t="s">
        <v>366</v>
      </c>
      <c r="O6" s="18" t="s">
        <v>367</v>
      </c>
      <c r="P6" s="18" t="s">
        <v>368</v>
      </c>
      <c r="Q6" s="18" t="s">
        <v>369</v>
      </c>
    </row>
    <row r="7" customFormat="false" ht="15" hidden="false" customHeight="false" outlineLevel="0" collapsed="false">
      <c r="A7" s="20" t="n">
        <v>1</v>
      </c>
      <c r="B7" s="11" t="s">
        <v>370</v>
      </c>
      <c r="C7" s="11" t="s">
        <v>371</v>
      </c>
      <c r="D7" s="11" t="s">
        <v>145</v>
      </c>
      <c r="E7" s="36" t="n">
        <v>1</v>
      </c>
      <c r="F7" s="11" t="s">
        <v>263</v>
      </c>
      <c r="G7" s="47"/>
      <c r="H7" s="29" t="n">
        <f aca="false">E7*G7</f>
        <v>0</v>
      </c>
      <c r="I7" s="48" t="n">
        <v>1</v>
      </c>
      <c r="J7" s="48"/>
      <c r="K7" s="48"/>
      <c r="L7" s="48"/>
      <c r="M7" s="29" t="n">
        <f aca="false">$H7*IF(SUM($I7:$L7)=0,I$4,I7)</f>
        <v>0</v>
      </c>
      <c r="N7" s="29" t="n">
        <f aca="false">$H7*IF(SUM($I7:$L7)=0,J$4,J7)</f>
        <v>0</v>
      </c>
      <c r="O7" s="29" t="n">
        <f aca="false">$H7*IF(SUM($I7:$L7)=0,K$4,K7)</f>
        <v>0</v>
      </c>
      <c r="P7" s="29" t="n">
        <f aca="false">$H7*IF(SUM($I7:$L7)=0,L$4,L7)</f>
        <v>0</v>
      </c>
      <c r="Q7" s="49" t="str">
        <f aca="false">IF($H7=0,"",IF(ABS(SUM(M7:P7)-$H7)&lt;0.01,"OK","CHECK"))</f>
        <v/>
      </c>
    </row>
    <row r="8" customFormat="false" ht="15" hidden="false" customHeight="false" outlineLevel="0" collapsed="false">
      <c r="A8" s="20" t="n">
        <v>2</v>
      </c>
      <c r="B8" s="11" t="s">
        <v>372</v>
      </c>
      <c r="C8" s="11"/>
      <c r="D8" s="11" t="s">
        <v>145</v>
      </c>
      <c r="E8" s="36" t="n">
        <v>1</v>
      </c>
      <c r="F8" s="11" t="s">
        <v>263</v>
      </c>
      <c r="G8" s="47"/>
      <c r="H8" s="29" t="n">
        <f aca="false">E8*G8</f>
        <v>0</v>
      </c>
      <c r="I8" s="48"/>
      <c r="J8" s="48"/>
      <c r="K8" s="48" t="n">
        <v>0.5</v>
      </c>
      <c r="L8" s="48" t="n">
        <v>0.5</v>
      </c>
      <c r="M8" s="29" t="n">
        <f aca="false">$H8*IF(SUM($I8:$L8)=0,I$4,I8)</f>
        <v>0</v>
      </c>
      <c r="N8" s="29" t="n">
        <f aca="false">$H8*IF(SUM($I8:$L8)=0,J$4,J8)</f>
        <v>0</v>
      </c>
      <c r="O8" s="29" t="n">
        <f aca="false">$H8*IF(SUM($I8:$L8)=0,K$4,K8)</f>
        <v>0</v>
      </c>
      <c r="P8" s="29" t="n">
        <f aca="false">$H8*IF(SUM($I8:$L8)=0,L$4,L8)</f>
        <v>0</v>
      </c>
      <c r="Q8" s="49" t="str">
        <f aca="false">IF($H8=0,"",IF(ABS(SUM(M8:P8)-$H8)&lt;0.01,"OK","CHECK"))</f>
        <v/>
      </c>
    </row>
    <row r="9" customFormat="false" ht="15" hidden="false" customHeight="false" outlineLevel="0" collapsed="false">
      <c r="A9" s="20" t="n">
        <v>3</v>
      </c>
      <c r="B9" s="11" t="s">
        <v>373</v>
      </c>
      <c r="C9" s="11"/>
      <c r="D9" s="11" t="s">
        <v>147</v>
      </c>
      <c r="E9" s="36" t="n">
        <v>1</v>
      </c>
      <c r="F9" s="11" t="s">
        <v>263</v>
      </c>
      <c r="G9" s="47"/>
      <c r="H9" s="29" t="n">
        <f aca="false">E9*G9</f>
        <v>0</v>
      </c>
      <c r="I9" s="48" t="n">
        <v>0.5</v>
      </c>
      <c r="J9" s="48" t="n">
        <v>0.5</v>
      </c>
      <c r="K9" s="48"/>
      <c r="L9" s="48"/>
      <c r="M9" s="29" t="n">
        <f aca="false">$H9*IF(SUM($I9:$L9)=0,I$4,I9)</f>
        <v>0</v>
      </c>
      <c r="N9" s="29" t="n">
        <f aca="false">$H9*IF(SUM($I9:$L9)=0,J$4,J9)</f>
        <v>0</v>
      </c>
      <c r="O9" s="29" t="n">
        <f aca="false">$H9*IF(SUM($I9:$L9)=0,K$4,K9)</f>
        <v>0</v>
      </c>
      <c r="P9" s="29" t="n">
        <f aca="false">$H9*IF(SUM($I9:$L9)=0,L$4,L9)</f>
        <v>0</v>
      </c>
      <c r="Q9" s="49" t="str">
        <f aca="false">IF($H9=0,"",IF(ABS(SUM(M9:P9)-$H9)&lt;0.01,"OK","CHECK"))</f>
        <v/>
      </c>
    </row>
    <row r="10" customFormat="false" ht="15" hidden="false" customHeight="false" outlineLevel="0" collapsed="false">
      <c r="A10" s="20" t="n">
        <v>4</v>
      </c>
      <c r="B10" s="11" t="s">
        <v>374</v>
      </c>
      <c r="C10" s="11" t="s">
        <v>375</v>
      </c>
      <c r="D10" s="11" t="s">
        <v>147</v>
      </c>
      <c r="E10" s="36" t="n">
        <v>1</v>
      </c>
      <c r="F10" s="11" t="s">
        <v>263</v>
      </c>
      <c r="G10" s="47"/>
      <c r="H10" s="29" t="n">
        <f aca="false">E10*G10</f>
        <v>0</v>
      </c>
      <c r="I10" s="48"/>
      <c r="J10" s="48"/>
      <c r="K10" s="48" t="n">
        <v>0.5</v>
      </c>
      <c r="L10" s="48" t="n">
        <v>0.5</v>
      </c>
      <c r="M10" s="29" t="n">
        <f aca="false">$H10*IF(SUM($I10:$L10)=0,I$4,I10)</f>
        <v>0</v>
      </c>
      <c r="N10" s="29" t="n">
        <f aca="false">$H10*IF(SUM($I10:$L10)=0,J$4,J10)</f>
        <v>0</v>
      </c>
      <c r="O10" s="29" t="n">
        <f aca="false">$H10*IF(SUM($I10:$L10)=0,K$4,K10)</f>
        <v>0</v>
      </c>
      <c r="P10" s="29" t="n">
        <f aca="false">$H10*IF(SUM($I10:$L10)=0,L$4,L10)</f>
        <v>0</v>
      </c>
      <c r="Q10" s="49" t="str">
        <f aca="false">IF($H10=0,"",IF(ABS(SUM(M10:P10)-$H10)&lt;0.01,"OK","CHECK"))</f>
        <v/>
      </c>
    </row>
    <row r="11" customFormat="false" ht="15" hidden="false" customHeight="false" outlineLevel="0" collapsed="false">
      <c r="A11" s="20" t="n">
        <v>5</v>
      </c>
      <c r="B11" s="11" t="s">
        <v>376</v>
      </c>
      <c r="C11" s="11" t="s">
        <v>377</v>
      </c>
      <c r="D11" s="11" t="s">
        <v>148</v>
      </c>
      <c r="E11" s="36" t="n">
        <v>1</v>
      </c>
      <c r="F11" s="11" t="s">
        <v>263</v>
      </c>
      <c r="G11" s="47"/>
      <c r="H11" s="29" t="n">
        <f aca="false">E11*G11</f>
        <v>0</v>
      </c>
      <c r="I11" s="48"/>
      <c r="J11" s="48"/>
      <c r="K11" s="48" t="n">
        <v>1</v>
      </c>
      <c r="L11" s="48"/>
      <c r="M11" s="29" t="n">
        <f aca="false">$H11*IF(SUM($I11:$L11)=0,I$4,I11)</f>
        <v>0</v>
      </c>
      <c r="N11" s="29" t="n">
        <f aca="false">$H11*IF(SUM($I11:$L11)=0,J$4,J11)</f>
        <v>0</v>
      </c>
      <c r="O11" s="29" t="n">
        <f aca="false">$H11*IF(SUM($I11:$L11)=0,K$4,K11)</f>
        <v>0</v>
      </c>
      <c r="P11" s="29" t="n">
        <f aca="false">$H11*IF(SUM($I11:$L11)=0,L$4,L11)</f>
        <v>0</v>
      </c>
      <c r="Q11" s="49" t="str">
        <f aca="false">IF($H11=0,"",IF(ABS(SUM(M11:P11)-$H11)&lt;0.01,"OK","CHECK"))</f>
        <v/>
      </c>
    </row>
    <row r="12" customFormat="false" ht="15" hidden="false" customHeight="false" outlineLevel="0" collapsed="false">
      <c r="A12" s="20" t="n">
        <v>6</v>
      </c>
      <c r="B12" s="11" t="s">
        <v>378</v>
      </c>
      <c r="C12" s="11"/>
      <c r="D12" s="11" t="s">
        <v>148</v>
      </c>
      <c r="E12" s="36" t="n">
        <v>1</v>
      </c>
      <c r="F12" s="11" t="s">
        <v>263</v>
      </c>
      <c r="G12" s="47"/>
      <c r="H12" s="29" t="n">
        <f aca="false">E12*G12</f>
        <v>0</v>
      </c>
      <c r="I12" s="48"/>
      <c r="J12" s="48"/>
      <c r="K12" s="48"/>
      <c r="L12" s="48" t="n">
        <v>1</v>
      </c>
      <c r="M12" s="29" t="n">
        <f aca="false">$H12*IF(SUM($I12:$L12)=0,I$4,I12)</f>
        <v>0</v>
      </c>
      <c r="N12" s="29" t="n">
        <f aca="false">$H12*IF(SUM($I12:$L12)=0,J$4,J12)</f>
        <v>0</v>
      </c>
      <c r="O12" s="29" t="n">
        <f aca="false">$H12*IF(SUM($I12:$L12)=0,K$4,K12)</f>
        <v>0</v>
      </c>
      <c r="P12" s="29" t="n">
        <f aca="false">$H12*IF(SUM($I12:$L12)=0,L$4,L12)</f>
        <v>0</v>
      </c>
      <c r="Q12" s="49" t="str">
        <f aca="false">IF($H12=0,"",IF(ABS(SUM(M12:P12)-$H12)&lt;0.01,"OK","CHECK"))</f>
        <v/>
      </c>
    </row>
    <row r="13" customFormat="false" ht="15" hidden="false" customHeight="false" outlineLevel="0" collapsed="false">
      <c r="A13" s="20" t="n">
        <v>7</v>
      </c>
      <c r="B13" s="11" t="s">
        <v>379</v>
      </c>
      <c r="C13" s="11" t="s">
        <v>380</v>
      </c>
      <c r="D13" s="11" t="s">
        <v>142</v>
      </c>
      <c r="E13" s="36" t="n">
        <v>1</v>
      </c>
      <c r="F13" s="11" t="s">
        <v>263</v>
      </c>
      <c r="G13" s="47"/>
      <c r="H13" s="29" t="n">
        <f aca="false">E13*G13</f>
        <v>0</v>
      </c>
      <c r="I13" s="48" t="n">
        <v>1</v>
      </c>
      <c r="J13" s="48"/>
      <c r="K13" s="48"/>
      <c r="L13" s="48"/>
      <c r="M13" s="29" t="n">
        <f aca="false">$H13*IF(SUM($I13:$L13)=0,I$4,I13)</f>
        <v>0</v>
      </c>
      <c r="N13" s="29" t="n">
        <f aca="false">$H13*IF(SUM($I13:$L13)=0,J$4,J13)</f>
        <v>0</v>
      </c>
      <c r="O13" s="29" t="n">
        <f aca="false">$H13*IF(SUM($I13:$L13)=0,K$4,K13)</f>
        <v>0</v>
      </c>
      <c r="P13" s="29" t="n">
        <f aca="false">$H13*IF(SUM($I13:$L13)=0,L$4,L13)</f>
        <v>0</v>
      </c>
      <c r="Q13" s="49" t="str">
        <f aca="false">IF($H13=0,"",IF(ABS(SUM(M13:P13)-$H13)&lt;0.01,"OK","CHECK"))</f>
        <v/>
      </c>
    </row>
    <row r="14" customFormat="false" ht="15" hidden="false" customHeight="false" outlineLevel="0" collapsed="false">
      <c r="A14" s="20" t="n">
        <v>8</v>
      </c>
      <c r="B14" s="11" t="s">
        <v>381</v>
      </c>
      <c r="C14" s="11"/>
      <c r="D14" s="11" t="s">
        <v>145</v>
      </c>
      <c r="E14" s="36" t="n">
        <v>1</v>
      </c>
      <c r="F14" s="11" t="s">
        <v>263</v>
      </c>
      <c r="G14" s="47"/>
      <c r="H14" s="29" t="n">
        <f aca="false">E14*G14</f>
        <v>0</v>
      </c>
      <c r="I14" s="48"/>
      <c r="J14" s="48"/>
      <c r="K14" s="48"/>
      <c r="L14" s="48"/>
      <c r="M14" s="29" t="n">
        <f aca="false">$H14*IF(SUM($I14:$L14)=0,I$4,I14)</f>
        <v>0</v>
      </c>
      <c r="N14" s="29" t="n">
        <f aca="false">$H14*IF(SUM($I14:$L14)=0,J$4,J14)</f>
        <v>0</v>
      </c>
      <c r="O14" s="29" t="n">
        <f aca="false">$H14*IF(SUM($I14:$L14)=0,K$4,K14)</f>
        <v>0</v>
      </c>
      <c r="P14" s="29" t="n">
        <f aca="false">$H14*IF(SUM($I14:$L14)=0,L$4,L14)</f>
        <v>0</v>
      </c>
      <c r="Q14" s="49" t="str">
        <f aca="false">IF($H14=0,"",IF(ABS(SUM(M14:P14)-$H14)&lt;0.01,"OK","CHECK"))</f>
        <v/>
      </c>
    </row>
    <row r="15" customFormat="false" ht="15" hidden="false" customHeight="false" outlineLevel="0" collapsed="false">
      <c r="A15" s="20" t="n">
        <v>9</v>
      </c>
      <c r="B15" s="11" t="s">
        <v>382</v>
      </c>
      <c r="C15" s="11" t="s">
        <v>380</v>
      </c>
      <c r="D15" s="11" t="s">
        <v>146</v>
      </c>
      <c r="E15" s="36" t="n">
        <v>1</v>
      </c>
      <c r="F15" s="11" t="s">
        <v>263</v>
      </c>
      <c r="G15" s="47"/>
      <c r="H15" s="29" t="n">
        <f aca="false">E15*G15</f>
        <v>0</v>
      </c>
      <c r="I15" s="48" t="n">
        <v>1</v>
      </c>
      <c r="J15" s="48"/>
      <c r="K15" s="48"/>
      <c r="L15" s="48"/>
      <c r="M15" s="29" t="n">
        <f aca="false">$H15*IF(SUM($I15:$L15)=0,I$4,I15)</f>
        <v>0</v>
      </c>
      <c r="N15" s="29" t="n">
        <f aca="false">$H15*IF(SUM($I15:$L15)=0,J$4,J15)</f>
        <v>0</v>
      </c>
      <c r="O15" s="29" t="n">
        <f aca="false">$H15*IF(SUM($I15:$L15)=0,K$4,K15)</f>
        <v>0</v>
      </c>
      <c r="P15" s="29" t="n">
        <f aca="false">$H15*IF(SUM($I15:$L15)=0,L$4,L15)</f>
        <v>0</v>
      </c>
      <c r="Q15" s="49" t="str">
        <f aca="false">IF($H15=0,"",IF(ABS(SUM(M15:P15)-$H15)&lt;0.01,"OK","CHECK"))</f>
        <v/>
      </c>
    </row>
    <row r="16" customFormat="false" ht="15" hidden="false" customHeight="false" outlineLevel="0" collapsed="false">
      <c r="A16" s="20" t="n">
        <v>10</v>
      </c>
      <c r="B16" s="11" t="s">
        <v>383</v>
      </c>
      <c r="C16" s="11" t="s">
        <v>377</v>
      </c>
      <c r="D16" s="11" t="s">
        <v>148</v>
      </c>
      <c r="E16" s="36" t="n">
        <v>1</v>
      </c>
      <c r="F16" s="11" t="s">
        <v>263</v>
      </c>
      <c r="G16" s="47"/>
      <c r="H16" s="29" t="n">
        <f aca="false">E16*G16</f>
        <v>0</v>
      </c>
      <c r="I16" s="48" t="n">
        <v>1</v>
      </c>
      <c r="J16" s="48"/>
      <c r="K16" s="48"/>
      <c r="L16" s="48"/>
      <c r="M16" s="29" t="n">
        <f aca="false">$H16*IF(SUM($I16:$L16)=0,I$4,I16)</f>
        <v>0</v>
      </c>
      <c r="N16" s="29" t="n">
        <f aca="false">$H16*IF(SUM($I16:$L16)=0,J$4,J16)</f>
        <v>0</v>
      </c>
      <c r="O16" s="29" t="n">
        <f aca="false">$H16*IF(SUM($I16:$L16)=0,K$4,K16)</f>
        <v>0</v>
      </c>
      <c r="P16" s="29" t="n">
        <f aca="false">$H16*IF(SUM($I16:$L16)=0,L$4,L16)</f>
        <v>0</v>
      </c>
      <c r="Q16" s="49" t="str">
        <f aca="false">IF($H16=0,"",IF(ABS(SUM(M16:P16)-$H16)&lt;0.01,"OK","CHECK"))</f>
        <v/>
      </c>
    </row>
    <row r="17" customFormat="false" ht="15" hidden="false" customHeight="false" outlineLevel="0" collapsed="false">
      <c r="A17" s="20" t="n">
        <v>11</v>
      </c>
      <c r="B17" s="11" t="s">
        <v>384</v>
      </c>
      <c r="C17" s="11"/>
      <c r="D17" s="11" t="s">
        <v>147</v>
      </c>
      <c r="E17" s="36" t="n">
        <v>1</v>
      </c>
      <c r="F17" s="11" t="s">
        <v>263</v>
      </c>
      <c r="G17" s="47"/>
      <c r="H17" s="29" t="n">
        <f aca="false">E17*G17</f>
        <v>0</v>
      </c>
      <c r="I17" s="48" t="n">
        <v>1</v>
      </c>
      <c r="J17" s="48"/>
      <c r="K17" s="48"/>
      <c r="L17" s="48"/>
      <c r="M17" s="29" t="n">
        <f aca="false">$H17*IF(SUM($I17:$L17)=0,I$4,I17)</f>
        <v>0</v>
      </c>
      <c r="N17" s="29" t="n">
        <f aca="false">$H17*IF(SUM($I17:$L17)=0,J$4,J17)</f>
        <v>0</v>
      </c>
      <c r="O17" s="29" t="n">
        <f aca="false">$H17*IF(SUM($I17:$L17)=0,K$4,K17)</f>
        <v>0</v>
      </c>
      <c r="P17" s="29" t="n">
        <f aca="false">$H17*IF(SUM($I17:$L17)=0,L$4,L17)</f>
        <v>0</v>
      </c>
      <c r="Q17" s="49" t="str">
        <f aca="false">IF($H17=0,"",IF(ABS(SUM(M17:P17)-$H17)&lt;0.01,"OK","CHECK"))</f>
        <v/>
      </c>
    </row>
    <row r="18" customFormat="false" ht="15" hidden="false" customHeight="false" outlineLevel="0" collapsed="false">
      <c r="A18" s="20" t="n">
        <v>12</v>
      </c>
      <c r="B18" s="11" t="s">
        <v>385</v>
      </c>
      <c r="C18" s="11"/>
      <c r="D18" s="11" t="s">
        <v>148</v>
      </c>
      <c r="E18" s="36" t="n">
        <v>1</v>
      </c>
      <c r="F18" s="11" t="s">
        <v>263</v>
      </c>
      <c r="G18" s="47"/>
      <c r="H18" s="29" t="n">
        <f aca="false">E18*G18</f>
        <v>0</v>
      </c>
      <c r="I18" s="48"/>
      <c r="J18" s="48" t="n">
        <v>1</v>
      </c>
      <c r="K18" s="48"/>
      <c r="L18" s="48"/>
      <c r="M18" s="29" t="n">
        <f aca="false">$H18*IF(SUM($I18:$L18)=0,I$4,I18)</f>
        <v>0</v>
      </c>
      <c r="N18" s="29" t="n">
        <f aca="false">$H18*IF(SUM($I18:$L18)=0,J$4,J18)</f>
        <v>0</v>
      </c>
      <c r="O18" s="29" t="n">
        <f aca="false">$H18*IF(SUM($I18:$L18)=0,K$4,K18)</f>
        <v>0</v>
      </c>
      <c r="P18" s="29" t="n">
        <f aca="false">$H18*IF(SUM($I18:$L18)=0,L$4,L18)</f>
        <v>0</v>
      </c>
      <c r="Q18" s="49" t="str">
        <f aca="false">IF($H18=0,"",IF(ABS(SUM(M18:P18)-$H18)&lt;0.01,"OK","CHECK"))</f>
        <v/>
      </c>
    </row>
    <row r="19" customFormat="false" ht="15" hidden="false" customHeight="false" outlineLevel="0" collapsed="false">
      <c r="A19" s="20" t="n">
        <v>13</v>
      </c>
      <c r="B19" s="11" t="s">
        <v>386</v>
      </c>
      <c r="C19" s="11"/>
      <c r="D19" s="11" t="s">
        <v>145</v>
      </c>
      <c r="E19" s="36" t="n">
        <v>1</v>
      </c>
      <c r="F19" s="11" t="s">
        <v>263</v>
      </c>
      <c r="G19" s="47"/>
      <c r="H19" s="29" t="n">
        <f aca="false">E19*G19</f>
        <v>0</v>
      </c>
      <c r="I19" s="48" t="n">
        <v>0.5</v>
      </c>
      <c r="J19" s="48" t="n">
        <v>0.5</v>
      </c>
      <c r="K19" s="48"/>
      <c r="L19" s="48"/>
      <c r="M19" s="29" t="n">
        <f aca="false">$H19*IF(SUM($I19:$L19)=0,I$4,I19)</f>
        <v>0</v>
      </c>
      <c r="N19" s="29" t="n">
        <f aca="false">$H19*IF(SUM($I19:$L19)=0,J$4,J19)</f>
        <v>0</v>
      </c>
      <c r="O19" s="29" t="n">
        <f aca="false">$H19*IF(SUM($I19:$L19)=0,K$4,K19)</f>
        <v>0</v>
      </c>
      <c r="P19" s="29" t="n">
        <f aca="false">$H19*IF(SUM($I19:$L19)=0,L$4,L19)</f>
        <v>0</v>
      </c>
      <c r="Q19" s="49" t="str">
        <f aca="false">IF($H19=0,"",IF(ABS(SUM(M19:P19)-$H19)&lt;0.01,"OK","CHECK"))</f>
        <v/>
      </c>
    </row>
    <row r="20" customFormat="false" ht="15" hidden="false" customHeight="false" outlineLevel="0" collapsed="false">
      <c r="A20" s="20" t="n">
        <v>14</v>
      </c>
      <c r="B20" s="11" t="s">
        <v>387</v>
      </c>
      <c r="C20" s="11"/>
      <c r="D20" s="11" t="s">
        <v>145</v>
      </c>
      <c r="E20" s="36" t="n">
        <v>1</v>
      </c>
      <c r="F20" s="11" t="s">
        <v>263</v>
      </c>
      <c r="G20" s="47"/>
      <c r="H20" s="29" t="n">
        <f aca="false">E20*G20</f>
        <v>0</v>
      </c>
      <c r="I20" s="48"/>
      <c r="J20" s="48"/>
      <c r="K20" s="48" t="n">
        <v>0.5</v>
      </c>
      <c r="L20" s="48" t="n">
        <v>0.5</v>
      </c>
      <c r="M20" s="29" t="n">
        <f aca="false">$H20*IF(SUM($I20:$L20)=0,I$4,I20)</f>
        <v>0</v>
      </c>
      <c r="N20" s="29" t="n">
        <f aca="false">$H20*IF(SUM($I20:$L20)=0,J$4,J20)</f>
        <v>0</v>
      </c>
      <c r="O20" s="29" t="n">
        <f aca="false">$H20*IF(SUM($I20:$L20)=0,K$4,K20)</f>
        <v>0</v>
      </c>
      <c r="P20" s="29" t="n">
        <f aca="false">$H20*IF(SUM($I20:$L20)=0,L$4,L20)</f>
        <v>0</v>
      </c>
      <c r="Q20" s="49" t="str">
        <f aca="false">IF($H20=0,"",IF(ABS(SUM(M20:P20)-$H20)&lt;0.01,"OK","CHECK"))</f>
        <v/>
      </c>
    </row>
    <row r="21" customFormat="false" ht="15" hidden="false" customHeight="false" outlineLevel="0" collapsed="false">
      <c r="A21" s="20" t="n">
        <v>15</v>
      </c>
      <c r="B21" s="11" t="s">
        <v>388</v>
      </c>
      <c r="C21" s="11" t="s">
        <v>380</v>
      </c>
      <c r="D21" s="11" t="s">
        <v>149</v>
      </c>
      <c r="E21" s="36" t="n">
        <v>1</v>
      </c>
      <c r="F21" s="11" t="s">
        <v>263</v>
      </c>
      <c r="G21" s="47"/>
      <c r="H21" s="29" t="n">
        <f aca="false">E21*G21</f>
        <v>0</v>
      </c>
      <c r="I21" s="48"/>
      <c r="J21" s="48"/>
      <c r="K21" s="48"/>
      <c r="L21" s="48"/>
      <c r="M21" s="29" t="n">
        <f aca="false">$H21*IF(SUM($I21:$L21)=0,I$4,I21)</f>
        <v>0</v>
      </c>
      <c r="N21" s="29" t="n">
        <f aca="false">$H21*IF(SUM($I21:$L21)=0,J$4,J21)</f>
        <v>0</v>
      </c>
      <c r="O21" s="29" t="n">
        <f aca="false">$H21*IF(SUM($I21:$L21)=0,K$4,K21)</f>
        <v>0</v>
      </c>
      <c r="P21" s="29" t="n">
        <f aca="false">$H21*IF(SUM($I21:$L21)=0,L$4,L21)</f>
        <v>0</v>
      </c>
      <c r="Q21" s="49" t="str">
        <f aca="false">IF($H21=0,"",IF(ABS(SUM(M21:P21)-$H21)&lt;0.01,"OK","CHECK"))</f>
        <v/>
      </c>
    </row>
    <row r="22" customFormat="false" ht="15" hidden="false" customHeight="false" outlineLevel="0" collapsed="false">
      <c r="A22" s="20" t="n">
        <v>16</v>
      </c>
      <c r="B22" s="11" t="s">
        <v>389</v>
      </c>
      <c r="C22" s="11" t="s">
        <v>380</v>
      </c>
      <c r="D22" s="11" t="s">
        <v>149</v>
      </c>
      <c r="E22" s="36" t="n">
        <v>1</v>
      </c>
      <c r="F22" s="11" t="s">
        <v>263</v>
      </c>
      <c r="G22" s="47"/>
      <c r="H22" s="29" t="n">
        <f aca="false">E22*G22</f>
        <v>0</v>
      </c>
      <c r="I22" s="48"/>
      <c r="J22" s="48"/>
      <c r="K22" s="48"/>
      <c r="L22" s="48"/>
      <c r="M22" s="29" t="n">
        <f aca="false">$H22*IF(SUM($I22:$L22)=0,I$4,I22)</f>
        <v>0</v>
      </c>
      <c r="N22" s="29" t="n">
        <f aca="false">$H22*IF(SUM($I22:$L22)=0,J$4,J22)</f>
        <v>0</v>
      </c>
      <c r="O22" s="29" t="n">
        <f aca="false">$H22*IF(SUM($I22:$L22)=0,K$4,K22)</f>
        <v>0</v>
      </c>
      <c r="P22" s="29" t="n">
        <f aca="false">$H22*IF(SUM($I22:$L22)=0,L$4,L22)</f>
        <v>0</v>
      </c>
      <c r="Q22" s="49" t="str">
        <f aca="false">IF($H22=0,"",IF(ABS(SUM(M22:P22)-$H22)&lt;0.01,"OK","CHECK"))</f>
        <v/>
      </c>
    </row>
    <row r="23" customFormat="false" ht="15" hidden="false" customHeight="false" outlineLevel="0" collapsed="false">
      <c r="A23" s="20" t="n">
        <v>17</v>
      </c>
      <c r="B23" s="11" t="s">
        <v>390</v>
      </c>
      <c r="C23" s="11"/>
      <c r="D23" s="11" t="s">
        <v>142</v>
      </c>
      <c r="E23" s="36" t="n">
        <v>1</v>
      </c>
      <c r="F23" s="11" t="s">
        <v>263</v>
      </c>
      <c r="G23" s="47"/>
      <c r="H23" s="29" t="n">
        <f aca="false">E23*G23</f>
        <v>0</v>
      </c>
      <c r="I23" s="48" t="n">
        <v>1</v>
      </c>
      <c r="J23" s="48"/>
      <c r="K23" s="48"/>
      <c r="L23" s="48"/>
      <c r="M23" s="29" t="n">
        <f aca="false">$H23*IF(SUM($I23:$L23)=0,I$4,I23)</f>
        <v>0</v>
      </c>
      <c r="N23" s="29" t="n">
        <f aca="false">$H23*IF(SUM($I23:$L23)=0,J$4,J23)</f>
        <v>0</v>
      </c>
      <c r="O23" s="29" t="n">
        <f aca="false">$H23*IF(SUM($I23:$L23)=0,K$4,K23)</f>
        <v>0</v>
      </c>
      <c r="P23" s="29" t="n">
        <f aca="false">$H23*IF(SUM($I23:$L23)=0,L$4,L23)</f>
        <v>0</v>
      </c>
      <c r="Q23" s="49" t="str">
        <f aca="false">IF($H23=0,"",IF(ABS(SUM(M23:P23)-$H23)&lt;0.01,"OK","CHECK"))</f>
        <v/>
      </c>
    </row>
    <row r="24" customFormat="false" ht="15" hidden="false" customHeight="false" outlineLevel="0" collapsed="false">
      <c r="A24" s="20" t="n">
        <v>18</v>
      </c>
      <c r="B24" s="11" t="s">
        <v>391</v>
      </c>
      <c r="C24" s="11"/>
      <c r="D24" s="11" t="s">
        <v>142</v>
      </c>
      <c r="E24" s="36" t="n">
        <v>1</v>
      </c>
      <c r="F24" s="11" t="s">
        <v>263</v>
      </c>
      <c r="G24" s="47"/>
      <c r="H24" s="29" t="n">
        <f aca="false">E24*G24</f>
        <v>0</v>
      </c>
      <c r="I24" s="48"/>
      <c r="J24" s="48"/>
      <c r="K24" s="48" t="n">
        <v>0.5</v>
      </c>
      <c r="L24" s="48" t="n">
        <v>0.5</v>
      </c>
      <c r="M24" s="29" t="n">
        <f aca="false">$H24*IF(SUM($I24:$L24)=0,I$4,I24)</f>
        <v>0</v>
      </c>
      <c r="N24" s="29" t="n">
        <f aca="false">$H24*IF(SUM($I24:$L24)=0,J$4,J24)</f>
        <v>0</v>
      </c>
      <c r="O24" s="29" t="n">
        <f aca="false">$H24*IF(SUM($I24:$L24)=0,K$4,K24)</f>
        <v>0</v>
      </c>
      <c r="P24" s="29" t="n">
        <f aca="false">$H24*IF(SUM($I24:$L24)=0,L$4,L24)</f>
        <v>0</v>
      </c>
      <c r="Q24" s="49" t="str">
        <f aca="false">IF($H24=0,"",IF(ABS(SUM(M24:P24)-$H24)&lt;0.01,"OK","CHECK"))</f>
        <v/>
      </c>
    </row>
    <row r="25" customFormat="false" ht="15" hidden="false" customHeight="false" outlineLevel="0" collapsed="false">
      <c r="A25" s="20" t="n">
        <v>19</v>
      </c>
      <c r="B25" s="11" t="s">
        <v>392</v>
      </c>
      <c r="C25" s="11"/>
      <c r="D25" s="11" t="s">
        <v>145</v>
      </c>
      <c r="E25" s="36" t="n">
        <v>1</v>
      </c>
      <c r="F25" s="11" t="s">
        <v>263</v>
      </c>
      <c r="G25" s="47"/>
      <c r="H25" s="29" t="n">
        <f aca="false">E25*G25</f>
        <v>0</v>
      </c>
      <c r="I25" s="48"/>
      <c r="J25" s="48"/>
      <c r="K25" s="48" t="n">
        <v>1</v>
      </c>
      <c r="L25" s="48"/>
      <c r="M25" s="29" t="n">
        <f aca="false">$H25*IF(SUM($I25:$L25)=0,I$4,I25)</f>
        <v>0</v>
      </c>
      <c r="N25" s="29" t="n">
        <f aca="false">$H25*IF(SUM($I25:$L25)=0,J$4,J25)</f>
        <v>0</v>
      </c>
      <c r="O25" s="29" t="n">
        <f aca="false">$H25*IF(SUM($I25:$L25)=0,K$4,K25)</f>
        <v>0</v>
      </c>
      <c r="P25" s="29" t="n">
        <f aca="false">$H25*IF(SUM($I25:$L25)=0,L$4,L25)</f>
        <v>0</v>
      </c>
      <c r="Q25" s="49" t="str">
        <f aca="false">IF($H25=0,"",IF(ABS(SUM(M25:P25)-$H25)&lt;0.01,"OK","CHECK"))</f>
        <v/>
      </c>
    </row>
    <row r="26" customFormat="false" ht="15" hidden="false" customHeight="false" outlineLevel="0" collapsed="false">
      <c r="A26" s="20" t="n">
        <v>20</v>
      </c>
      <c r="B26" s="11" t="s">
        <v>393</v>
      </c>
      <c r="C26" s="11"/>
      <c r="D26" s="11" t="s">
        <v>145</v>
      </c>
      <c r="E26" s="36" t="n">
        <v>1</v>
      </c>
      <c r="F26" s="11" t="s">
        <v>263</v>
      </c>
      <c r="G26" s="47"/>
      <c r="H26" s="29" t="n">
        <f aca="false">E26*G26</f>
        <v>0</v>
      </c>
      <c r="I26" s="48"/>
      <c r="J26" s="48"/>
      <c r="K26" s="48"/>
      <c r="L26" s="48"/>
      <c r="M26" s="29" t="n">
        <f aca="false">$H26*IF(SUM($I26:$L26)=0,I$4,I26)</f>
        <v>0</v>
      </c>
      <c r="N26" s="29" t="n">
        <f aca="false">$H26*IF(SUM($I26:$L26)=0,J$4,J26)</f>
        <v>0</v>
      </c>
      <c r="O26" s="29" t="n">
        <f aca="false">$H26*IF(SUM($I26:$L26)=0,K$4,K26)</f>
        <v>0</v>
      </c>
      <c r="P26" s="29" t="n">
        <f aca="false">$H26*IF(SUM($I26:$L26)=0,L$4,L26)</f>
        <v>0</v>
      </c>
      <c r="Q26" s="49" t="str">
        <f aca="false">IF($H26=0,"",IF(ABS(SUM(M26:P26)-$H26)&lt;0.01,"OK","CHECK"))</f>
        <v/>
      </c>
    </row>
    <row r="27" customFormat="false" ht="15" hidden="false" customHeight="false" outlineLevel="0" collapsed="false">
      <c r="A27" s="20" t="n">
        <v>21</v>
      </c>
      <c r="B27" s="11"/>
      <c r="C27" s="11"/>
      <c r="D27" s="11"/>
      <c r="E27" s="36" t="n">
        <v>1</v>
      </c>
      <c r="F27" s="11" t="s">
        <v>263</v>
      </c>
      <c r="G27" s="47"/>
      <c r="H27" s="29" t="n">
        <f aca="false">E27*G27</f>
        <v>0</v>
      </c>
      <c r="I27" s="48"/>
      <c r="J27" s="48"/>
      <c r="K27" s="48"/>
      <c r="L27" s="48"/>
      <c r="M27" s="29" t="n">
        <f aca="false">$H27*IF(SUM($I27:$L27)=0,I$4,I27)</f>
        <v>0</v>
      </c>
      <c r="N27" s="29" t="n">
        <f aca="false">$H27*IF(SUM($I27:$L27)=0,J$4,J27)</f>
        <v>0</v>
      </c>
      <c r="O27" s="29" t="n">
        <f aca="false">$H27*IF(SUM($I27:$L27)=0,K$4,K27)</f>
        <v>0</v>
      </c>
      <c r="P27" s="29" t="n">
        <f aca="false">$H27*IF(SUM($I27:$L27)=0,L$4,L27)</f>
        <v>0</v>
      </c>
      <c r="Q27" s="49" t="str">
        <f aca="false">IF($H27=0,"",IF(ABS(SUM(M27:P27)-$H27)&lt;0.01,"OK","CHECK"))</f>
        <v/>
      </c>
    </row>
    <row r="28" customFormat="false" ht="15" hidden="false" customHeight="false" outlineLevel="0" collapsed="false">
      <c r="A28" s="20" t="n">
        <v>22</v>
      </c>
      <c r="B28" s="11"/>
      <c r="C28" s="11"/>
      <c r="D28" s="11"/>
      <c r="E28" s="36" t="n">
        <v>1</v>
      </c>
      <c r="F28" s="11" t="s">
        <v>263</v>
      </c>
      <c r="G28" s="47"/>
      <c r="H28" s="29" t="n">
        <f aca="false">E28*G28</f>
        <v>0</v>
      </c>
      <c r="I28" s="48"/>
      <c r="J28" s="48"/>
      <c r="K28" s="48"/>
      <c r="L28" s="48"/>
      <c r="M28" s="29" t="n">
        <f aca="false">$H28*IF(SUM($I28:$L28)=0,I$4,I28)</f>
        <v>0</v>
      </c>
      <c r="N28" s="29" t="n">
        <f aca="false">$H28*IF(SUM($I28:$L28)=0,J$4,J28)</f>
        <v>0</v>
      </c>
      <c r="O28" s="29" t="n">
        <f aca="false">$H28*IF(SUM($I28:$L28)=0,K$4,K28)</f>
        <v>0</v>
      </c>
      <c r="P28" s="29" t="n">
        <f aca="false">$H28*IF(SUM($I28:$L28)=0,L$4,L28)</f>
        <v>0</v>
      </c>
      <c r="Q28" s="49" t="str">
        <f aca="false">IF($H28=0,"",IF(ABS(SUM(M28:P28)-$H28)&lt;0.01,"OK","CHECK"))</f>
        <v/>
      </c>
    </row>
    <row r="29" customFormat="false" ht="15" hidden="false" customHeight="false" outlineLevel="0" collapsed="false">
      <c r="A29" s="20" t="n">
        <v>23</v>
      </c>
      <c r="B29" s="11"/>
      <c r="C29" s="11"/>
      <c r="D29" s="11"/>
      <c r="E29" s="36" t="n">
        <v>1</v>
      </c>
      <c r="F29" s="11" t="s">
        <v>263</v>
      </c>
      <c r="G29" s="47"/>
      <c r="H29" s="29" t="n">
        <f aca="false">E29*G29</f>
        <v>0</v>
      </c>
      <c r="I29" s="48"/>
      <c r="J29" s="48"/>
      <c r="K29" s="48"/>
      <c r="L29" s="48"/>
      <c r="M29" s="29" t="n">
        <f aca="false">$H29*IF(SUM($I29:$L29)=0,I$4,I29)</f>
        <v>0</v>
      </c>
      <c r="N29" s="29" t="n">
        <f aca="false">$H29*IF(SUM($I29:$L29)=0,J$4,J29)</f>
        <v>0</v>
      </c>
      <c r="O29" s="29" t="n">
        <f aca="false">$H29*IF(SUM($I29:$L29)=0,K$4,K29)</f>
        <v>0</v>
      </c>
      <c r="P29" s="29" t="n">
        <f aca="false">$H29*IF(SUM($I29:$L29)=0,L$4,L29)</f>
        <v>0</v>
      </c>
      <c r="Q29" s="49" t="str">
        <f aca="false">IF($H29=0,"",IF(ABS(SUM(M29:P29)-$H29)&lt;0.01,"OK","CHECK"))</f>
        <v/>
      </c>
    </row>
    <row r="30" customFormat="false" ht="15" hidden="false" customHeight="false" outlineLevel="0" collapsed="false">
      <c r="A30" s="20" t="n">
        <v>24</v>
      </c>
      <c r="B30" s="11"/>
      <c r="C30" s="11"/>
      <c r="D30" s="11"/>
      <c r="E30" s="36" t="n">
        <v>1</v>
      </c>
      <c r="F30" s="11" t="s">
        <v>263</v>
      </c>
      <c r="G30" s="47"/>
      <c r="H30" s="29" t="n">
        <f aca="false">E30*G30</f>
        <v>0</v>
      </c>
      <c r="I30" s="48"/>
      <c r="J30" s="48"/>
      <c r="K30" s="48"/>
      <c r="L30" s="48"/>
      <c r="M30" s="29" t="n">
        <f aca="false">$H30*IF(SUM($I30:$L30)=0,I$4,I30)</f>
        <v>0</v>
      </c>
      <c r="N30" s="29" t="n">
        <f aca="false">$H30*IF(SUM($I30:$L30)=0,J$4,J30)</f>
        <v>0</v>
      </c>
      <c r="O30" s="29" t="n">
        <f aca="false">$H30*IF(SUM($I30:$L30)=0,K$4,K30)</f>
        <v>0</v>
      </c>
      <c r="P30" s="29" t="n">
        <f aca="false">$H30*IF(SUM($I30:$L30)=0,L$4,L30)</f>
        <v>0</v>
      </c>
      <c r="Q30" s="49" t="str">
        <f aca="false">IF($H30=0,"",IF(ABS(SUM(M30:P30)-$H30)&lt;0.01,"OK","CHECK"))</f>
        <v/>
      </c>
    </row>
    <row r="31" customFormat="false" ht="15" hidden="false" customHeight="false" outlineLevel="0" collapsed="false">
      <c r="A31" s="20" t="n">
        <v>25</v>
      </c>
      <c r="B31" s="11"/>
      <c r="C31" s="11"/>
      <c r="D31" s="11"/>
      <c r="E31" s="36" t="n">
        <v>1</v>
      </c>
      <c r="F31" s="11" t="s">
        <v>263</v>
      </c>
      <c r="G31" s="47"/>
      <c r="H31" s="29" t="n">
        <f aca="false">E31*G31</f>
        <v>0</v>
      </c>
      <c r="I31" s="48"/>
      <c r="J31" s="48"/>
      <c r="K31" s="48"/>
      <c r="L31" s="48"/>
      <c r="M31" s="29" t="n">
        <f aca="false">$H31*IF(SUM($I31:$L31)=0,I$4,I31)</f>
        <v>0</v>
      </c>
      <c r="N31" s="29" t="n">
        <f aca="false">$H31*IF(SUM($I31:$L31)=0,J$4,J31)</f>
        <v>0</v>
      </c>
      <c r="O31" s="29" t="n">
        <f aca="false">$H31*IF(SUM($I31:$L31)=0,K$4,K31)</f>
        <v>0</v>
      </c>
      <c r="P31" s="29" t="n">
        <f aca="false">$H31*IF(SUM($I31:$L31)=0,L$4,L31)</f>
        <v>0</v>
      </c>
      <c r="Q31" s="49" t="str">
        <f aca="false">IF($H31=0,"",IF(ABS(SUM(M31:P31)-$H31)&lt;0.01,"OK","CHECK"))</f>
        <v/>
      </c>
    </row>
    <row r="32" customFormat="false" ht="15" hidden="false" customHeight="false" outlineLevel="0" collapsed="false">
      <c r="B32" s="4" t="s">
        <v>394</v>
      </c>
      <c r="H32" s="50" t="n">
        <f aca="false">SUM(H7:H31)</f>
        <v>0</v>
      </c>
      <c r="M32" s="50" t="n">
        <f aca="false">SUM(M7:M31)</f>
        <v>0</v>
      </c>
      <c r="N32" s="50" t="n">
        <f aca="false">SUM(N7:N31)</f>
        <v>0</v>
      </c>
      <c r="O32" s="50" t="n">
        <f aca="false">SUM(O7:O31)</f>
        <v>0</v>
      </c>
      <c r="P32" s="50" t="n">
        <f aca="false">SUM(P7:P31)</f>
        <v>0</v>
      </c>
    </row>
    <row r="34" customFormat="false" ht="15" hidden="false" customHeight="false" outlineLevel="0" collapsed="false">
      <c r="A34" s="3" t="s">
        <v>395</v>
      </c>
    </row>
    <row r="35" customFormat="false" ht="30" hidden="false" customHeight="true" outlineLevel="0" collapsed="false">
      <c r="A35" s="18" t="s">
        <v>356</v>
      </c>
      <c r="B35" s="18" t="s">
        <v>357</v>
      </c>
      <c r="C35" s="18" t="s">
        <v>358</v>
      </c>
      <c r="D35" s="18" t="s">
        <v>205</v>
      </c>
      <c r="E35" s="18" t="s">
        <v>207</v>
      </c>
      <c r="F35" s="18" t="s">
        <v>208</v>
      </c>
      <c r="G35" s="18" t="s">
        <v>359</v>
      </c>
      <c r="H35" s="18" t="s">
        <v>360</v>
      </c>
      <c r="I35" s="18" t="s">
        <v>361</v>
      </c>
      <c r="J35" s="18" t="s">
        <v>362</v>
      </c>
      <c r="K35" s="18" t="s">
        <v>363</v>
      </c>
      <c r="L35" s="18" t="s">
        <v>364</v>
      </c>
      <c r="M35" s="18" t="s">
        <v>365</v>
      </c>
      <c r="N35" s="18" t="s">
        <v>366</v>
      </c>
      <c r="O35" s="18" t="s">
        <v>367</v>
      </c>
      <c r="P35" s="18" t="s">
        <v>368</v>
      </c>
      <c r="Q35" s="18" t="s">
        <v>369</v>
      </c>
    </row>
    <row r="36" customFormat="false" ht="15" hidden="false" customHeight="false" outlineLevel="0" collapsed="false">
      <c r="A36" s="20" t="n">
        <v>1</v>
      </c>
      <c r="B36" s="11" t="s">
        <v>396</v>
      </c>
      <c r="C36" s="11"/>
      <c r="D36" s="11" t="s">
        <v>150</v>
      </c>
      <c r="E36" s="51" t="n">
        <f aca="false">INPUTS!$C$21</f>
        <v>24</v>
      </c>
      <c r="F36" s="11" t="s">
        <v>397</v>
      </c>
      <c r="G36" s="47"/>
      <c r="H36" s="29" t="n">
        <f aca="false">E36*G36</f>
        <v>0</v>
      </c>
      <c r="I36" s="48" t="n">
        <v>1</v>
      </c>
      <c r="J36" s="48"/>
      <c r="K36" s="48"/>
      <c r="L36" s="48"/>
      <c r="M36" s="29" t="n">
        <f aca="false">$H36*IF(SUM($I36:$L36)=0,I$4,I36)</f>
        <v>0</v>
      </c>
      <c r="N36" s="29" t="n">
        <f aca="false">$H36*IF(SUM($I36:$L36)=0,J$4,J36)</f>
        <v>0</v>
      </c>
      <c r="O36" s="29" t="n">
        <f aca="false">$H36*IF(SUM($I36:$L36)=0,K$4,K36)</f>
        <v>0</v>
      </c>
      <c r="P36" s="29" t="n">
        <f aca="false">$H36*IF(SUM($I36:$L36)=0,L$4,L36)</f>
        <v>0</v>
      </c>
      <c r="Q36" s="49" t="str">
        <f aca="false">IF($H36=0,"",IF(ABS(SUM(M36:P36)-$H36)&lt;0.01,"OK","CHECK"))</f>
        <v/>
      </c>
    </row>
    <row r="37" customFormat="false" ht="15" hidden="false" customHeight="false" outlineLevel="0" collapsed="false">
      <c r="A37" s="20" t="n">
        <v>2</v>
      </c>
      <c r="B37" s="11" t="s">
        <v>398</v>
      </c>
      <c r="C37" s="11"/>
      <c r="D37" s="11" t="s">
        <v>150</v>
      </c>
      <c r="E37" s="51" t="n">
        <f aca="false">INPUTS!$C$21</f>
        <v>24</v>
      </c>
      <c r="F37" s="11" t="s">
        <v>397</v>
      </c>
      <c r="G37" s="47"/>
      <c r="H37" s="29" t="n">
        <f aca="false">E37*G37</f>
        <v>0</v>
      </c>
      <c r="I37" s="48"/>
      <c r="J37" s="48" t="n">
        <v>1</v>
      </c>
      <c r="K37" s="48"/>
      <c r="L37" s="48"/>
      <c r="M37" s="29" t="n">
        <f aca="false">$H37*IF(SUM($I37:$L37)=0,I$4,I37)</f>
        <v>0</v>
      </c>
      <c r="N37" s="29" t="n">
        <f aca="false">$H37*IF(SUM($I37:$L37)=0,J$4,J37)</f>
        <v>0</v>
      </c>
      <c r="O37" s="29" t="n">
        <f aca="false">$H37*IF(SUM($I37:$L37)=0,K$4,K37)</f>
        <v>0</v>
      </c>
      <c r="P37" s="29" t="n">
        <f aca="false">$H37*IF(SUM($I37:$L37)=0,L$4,L37)</f>
        <v>0</v>
      </c>
      <c r="Q37" s="49" t="str">
        <f aca="false">IF($H37=0,"",IF(ABS(SUM(M37:P37)-$H37)&lt;0.01,"OK","CHECK"))</f>
        <v/>
      </c>
    </row>
    <row r="38" customFormat="false" ht="15" hidden="false" customHeight="false" outlineLevel="0" collapsed="false">
      <c r="A38" s="20" t="n">
        <v>3</v>
      </c>
      <c r="B38" s="11" t="s">
        <v>399</v>
      </c>
      <c r="C38" s="11"/>
      <c r="D38" s="11" t="s">
        <v>150</v>
      </c>
      <c r="E38" s="51" t="n">
        <f aca="false">INPUTS!$C$22</f>
        <v>24</v>
      </c>
      <c r="F38" s="11" t="s">
        <v>397</v>
      </c>
      <c r="G38" s="47"/>
      <c r="H38" s="29" t="n">
        <f aca="false">E38*G38</f>
        <v>0</v>
      </c>
      <c r="I38" s="48"/>
      <c r="J38" s="48"/>
      <c r="K38" s="48" t="n">
        <v>1</v>
      </c>
      <c r="L38" s="48"/>
      <c r="M38" s="29" t="n">
        <f aca="false">$H38*IF(SUM($I38:$L38)=0,I$4,I38)</f>
        <v>0</v>
      </c>
      <c r="N38" s="29" t="n">
        <f aca="false">$H38*IF(SUM($I38:$L38)=0,J$4,J38)</f>
        <v>0</v>
      </c>
      <c r="O38" s="29" t="n">
        <f aca="false">$H38*IF(SUM($I38:$L38)=0,K$4,K38)</f>
        <v>0</v>
      </c>
      <c r="P38" s="29" t="n">
        <f aca="false">$H38*IF(SUM($I38:$L38)=0,L$4,L38)</f>
        <v>0</v>
      </c>
      <c r="Q38" s="49" t="str">
        <f aca="false">IF($H38=0,"",IF(ABS(SUM(M38:P38)-$H38)&lt;0.01,"OK","CHECK"))</f>
        <v/>
      </c>
    </row>
    <row r="39" customFormat="false" ht="15" hidden="false" customHeight="false" outlineLevel="0" collapsed="false">
      <c r="A39" s="20" t="n">
        <v>4</v>
      </c>
      <c r="B39" s="11" t="s">
        <v>400</v>
      </c>
      <c r="C39" s="11"/>
      <c r="D39" s="11" t="s">
        <v>150</v>
      </c>
      <c r="E39" s="51" t="n">
        <f aca="false">INPUTS!$C$22</f>
        <v>24</v>
      </c>
      <c r="F39" s="11" t="s">
        <v>397</v>
      </c>
      <c r="G39" s="47"/>
      <c r="H39" s="29" t="n">
        <f aca="false">E39*G39</f>
        <v>0</v>
      </c>
      <c r="I39" s="48"/>
      <c r="J39" s="48"/>
      <c r="K39" s="48"/>
      <c r="L39" s="48" t="n">
        <v>1</v>
      </c>
      <c r="M39" s="29" t="n">
        <f aca="false">$H39*IF(SUM($I39:$L39)=0,I$4,I39)</f>
        <v>0</v>
      </c>
      <c r="N39" s="29" t="n">
        <f aca="false">$H39*IF(SUM($I39:$L39)=0,J$4,J39)</f>
        <v>0</v>
      </c>
      <c r="O39" s="29" t="n">
        <f aca="false">$H39*IF(SUM($I39:$L39)=0,K$4,K39)</f>
        <v>0</v>
      </c>
      <c r="P39" s="29" t="n">
        <f aca="false">$H39*IF(SUM($I39:$L39)=0,L$4,L39)</f>
        <v>0</v>
      </c>
      <c r="Q39" s="49" t="str">
        <f aca="false">IF($H39=0,"",IF(ABS(SUM(M39:P39)-$H39)&lt;0.01,"OK","CHECK"))</f>
        <v/>
      </c>
    </row>
    <row r="40" customFormat="false" ht="15" hidden="false" customHeight="false" outlineLevel="0" collapsed="false">
      <c r="A40" s="20" t="n">
        <v>5</v>
      </c>
      <c r="B40" s="11" t="s">
        <v>401</v>
      </c>
      <c r="C40" s="52" t="s">
        <v>402</v>
      </c>
      <c r="D40" s="11" t="s">
        <v>150</v>
      </c>
      <c r="E40" s="51" t="n">
        <f aca="false">MAX(INPUTS!$C$21,INPUTS!$C$22)</f>
        <v>24</v>
      </c>
      <c r="F40" s="11" t="s">
        <v>397</v>
      </c>
      <c r="G40" s="47" t="n">
        <v>7500</v>
      </c>
      <c r="H40" s="29" t="n">
        <f aca="false">E40*G40</f>
        <v>180000</v>
      </c>
      <c r="I40" s="48"/>
      <c r="J40" s="48"/>
      <c r="K40" s="48"/>
      <c r="L40" s="48"/>
      <c r="M40" s="29" t="n">
        <f aca="false">$H40*IF(SUM($I40:$L40)=0,I$4,I40)</f>
        <v>180000</v>
      </c>
      <c r="N40" s="29" t="n">
        <f aca="false">$H40*IF(SUM($I40:$L40)=0,J$4,J40)</f>
        <v>0</v>
      </c>
      <c r="O40" s="29" t="n">
        <f aca="false">$H40*IF(SUM($I40:$L40)=0,K$4,K40)</f>
        <v>0</v>
      </c>
      <c r="P40" s="29" t="n">
        <f aca="false">$H40*IF(SUM($I40:$L40)=0,L$4,L40)</f>
        <v>0</v>
      </c>
      <c r="Q40" s="49" t="str">
        <f aca="false">IF($H40=0,"",IF(ABS(SUM(M40:P40)-$H40)&lt;0.01,"OK","CHECK"))</f>
        <v>OK</v>
      </c>
    </row>
    <row r="41" customFormat="false" ht="15" hidden="false" customHeight="false" outlineLevel="0" collapsed="false">
      <c r="A41" s="20" t="n">
        <v>6</v>
      </c>
      <c r="B41" s="11" t="s">
        <v>403</v>
      </c>
      <c r="C41" s="11"/>
      <c r="D41" s="11" t="s">
        <v>150</v>
      </c>
      <c r="E41" s="36" t="n">
        <v>1</v>
      </c>
      <c r="F41" s="11" t="s">
        <v>263</v>
      </c>
      <c r="G41" s="47"/>
      <c r="H41" s="29" t="n">
        <f aca="false">E41*G41</f>
        <v>0</v>
      </c>
      <c r="I41" s="48" t="n">
        <v>1</v>
      </c>
      <c r="J41" s="48"/>
      <c r="K41" s="48"/>
      <c r="L41" s="48"/>
      <c r="M41" s="29" t="n">
        <f aca="false">$H41*IF(SUM($I41:$L41)=0,I$4,I41)</f>
        <v>0</v>
      </c>
      <c r="N41" s="29" t="n">
        <f aca="false">$H41*IF(SUM($I41:$L41)=0,J$4,J41)</f>
        <v>0</v>
      </c>
      <c r="O41" s="29" t="n">
        <f aca="false">$H41*IF(SUM($I41:$L41)=0,K$4,K41)</f>
        <v>0</v>
      </c>
      <c r="P41" s="29" t="n">
        <f aca="false">$H41*IF(SUM($I41:$L41)=0,L$4,L41)</f>
        <v>0</v>
      </c>
      <c r="Q41" s="49" t="str">
        <f aca="false">IF($H41=0,"",IF(ABS(SUM(M41:P41)-$H41)&lt;0.01,"OK","CHECK"))</f>
        <v/>
      </c>
    </row>
    <row r="42" customFormat="false" ht="15" hidden="false" customHeight="false" outlineLevel="0" collapsed="false">
      <c r="A42" s="20" t="n">
        <v>7</v>
      </c>
      <c r="B42" s="11" t="s">
        <v>404</v>
      </c>
      <c r="C42" s="11"/>
      <c r="D42" s="11" t="s">
        <v>150</v>
      </c>
      <c r="E42" s="36" t="n">
        <v>1</v>
      </c>
      <c r="F42" s="11" t="s">
        <v>263</v>
      </c>
      <c r="G42" s="47"/>
      <c r="H42" s="29" t="n">
        <f aca="false">E42*G42</f>
        <v>0</v>
      </c>
      <c r="I42" s="48"/>
      <c r="J42" s="48" t="n">
        <v>1</v>
      </c>
      <c r="K42" s="48"/>
      <c r="L42" s="48"/>
      <c r="M42" s="29" t="n">
        <f aca="false">$H42*IF(SUM($I42:$L42)=0,I$4,I42)</f>
        <v>0</v>
      </c>
      <c r="N42" s="29" t="n">
        <f aca="false">$H42*IF(SUM($I42:$L42)=0,J$4,J42)</f>
        <v>0</v>
      </c>
      <c r="O42" s="29" t="n">
        <f aca="false">$H42*IF(SUM($I42:$L42)=0,K$4,K42)</f>
        <v>0</v>
      </c>
      <c r="P42" s="29" t="n">
        <f aca="false">$H42*IF(SUM($I42:$L42)=0,L$4,L42)</f>
        <v>0</v>
      </c>
      <c r="Q42" s="49" t="str">
        <f aca="false">IF($H42=0,"",IF(ABS(SUM(M42:P42)-$H42)&lt;0.01,"OK","CHECK"))</f>
        <v/>
      </c>
    </row>
    <row r="43" customFormat="false" ht="15" hidden="false" customHeight="false" outlineLevel="0" collapsed="false">
      <c r="A43" s="20" t="n">
        <v>8</v>
      </c>
      <c r="B43" s="11" t="s">
        <v>405</v>
      </c>
      <c r="C43" s="11"/>
      <c r="D43" s="11" t="s">
        <v>150</v>
      </c>
      <c r="E43" s="36" t="n">
        <v>1</v>
      </c>
      <c r="F43" s="11" t="s">
        <v>263</v>
      </c>
      <c r="G43" s="47"/>
      <c r="H43" s="29" t="n">
        <f aca="false">E43*G43</f>
        <v>0</v>
      </c>
      <c r="I43" s="48"/>
      <c r="J43" s="48"/>
      <c r="K43" s="48" t="n">
        <v>1</v>
      </c>
      <c r="L43" s="48"/>
      <c r="M43" s="29" t="n">
        <f aca="false">$H43*IF(SUM($I43:$L43)=0,I$4,I43)</f>
        <v>0</v>
      </c>
      <c r="N43" s="29" t="n">
        <f aca="false">$H43*IF(SUM($I43:$L43)=0,J$4,J43)</f>
        <v>0</v>
      </c>
      <c r="O43" s="29" t="n">
        <f aca="false">$H43*IF(SUM($I43:$L43)=0,K$4,K43)</f>
        <v>0</v>
      </c>
      <c r="P43" s="29" t="n">
        <f aca="false">$H43*IF(SUM($I43:$L43)=0,L$4,L43)</f>
        <v>0</v>
      </c>
      <c r="Q43" s="49" t="str">
        <f aca="false">IF($H43=0,"",IF(ABS(SUM(M43:P43)-$H43)&lt;0.01,"OK","CHECK"))</f>
        <v/>
      </c>
    </row>
    <row r="44" customFormat="false" ht="15" hidden="false" customHeight="false" outlineLevel="0" collapsed="false">
      <c r="A44" s="20" t="n">
        <v>9</v>
      </c>
      <c r="B44" s="11" t="s">
        <v>406</v>
      </c>
      <c r="C44" s="11"/>
      <c r="D44" s="11" t="s">
        <v>150</v>
      </c>
      <c r="E44" s="36" t="n">
        <v>1</v>
      </c>
      <c r="F44" s="11" t="s">
        <v>263</v>
      </c>
      <c r="G44" s="47"/>
      <c r="H44" s="29" t="n">
        <f aca="false">E44*G44</f>
        <v>0</v>
      </c>
      <c r="I44" s="48"/>
      <c r="J44" s="48"/>
      <c r="K44" s="48"/>
      <c r="L44" s="48" t="n">
        <v>1</v>
      </c>
      <c r="M44" s="29" t="n">
        <f aca="false">$H44*IF(SUM($I44:$L44)=0,I$4,I44)</f>
        <v>0</v>
      </c>
      <c r="N44" s="29" t="n">
        <f aca="false">$H44*IF(SUM($I44:$L44)=0,J$4,J44)</f>
        <v>0</v>
      </c>
      <c r="O44" s="29" t="n">
        <f aca="false">$H44*IF(SUM($I44:$L44)=0,K$4,K44)</f>
        <v>0</v>
      </c>
      <c r="P44" s="29" t="n">
        <f aca="false">$H44*IF(SUM($I44:$L44)=0,L$4,L44)</f>
        <v>0</v>
      </c>
      <c r="Q44" s="49" t="str">
        <f aca="false">IF($H44=0,"",IF(ABS(SUM(M44:P44)-$H44)&lt;0.01,"OK","CHECK"))</f>
        <v/>
      </c>
    </row>
    <row r="45" customFormat="false" ht="15" hidden="false" customHeight="false" outlineLevel="0" collapsed="false">
      <c r="A45" s="20" t="n">
        <v>10</v>
      </c>
      <c r="B45" s="11" t="s">
        <v>407</v>
      </c>
      <c r="C45" s="11"/>
      <c r="D45" s="11" t="s">
        <v>150</v>
      </c>
      <c r="E45" s="36" t="n">
        <v>1</v>
      </c>
      <c r="F45" s="11" t="s">
        <v>263</v>
      </c>
      <c r="G45" s="47"/>
      <c r="H45" s="29" t="n">
        <f aca="false">E45*G45</f>
        <v>0</v>
      </c>
      <c r="I45" s="48"/>
      <c r="J45" s="48"/>
      <c r="K45" s="48"/>
      <c r="L45" s="48"/>
      <c r="M45" s="29" t="n">
        <f aca="false">$H45*IF(SUM($I45:$L45)=0,I$4,I45)</f>
        <v>0</v>
      </c>
      <c r="N45" s="29" t="n">
        <f aca="false">$H45*IF(SUM($I45:$L45)=0,J$4,J45)</f>
        <v>0</v>
      </c>
      <c r="O45" s="29" t="n">
        <f aca="false">$H45*IF(SUM($I45:$L45)=0,K$4,K45)</f>
        <v>0</v>
      </c>
      <c r="P45" s="29" t="n">
        <f aca="false">$H45*IF(SUM($I45:$L45)=0,L$4,L45)</f>
        <v>0</v>
      </c>
      <c r="Q45" s="49" t="str">
        <f aca="false">IF($H45=0,"",IF(ABS(SUM(M45:P45)-$H45)&lt;0.01,"OK","CHECK"))</f>
        <v/>
      </c>
    </row>
    <row r="46" customFormat="false" ht="15" hidden="false" customHeight="false" outlineLevel="0" collapsed="false">
      <c r="A46" s="20" t="n">
        <v>11</v>
      </c>
      <c r="B46" s="11" t="s">
        <v>408</v>
      </c>
      <c r="C46" s="11"/>
      <c r="D46" s="11" t="s">
        <v>142</v>
      </c>
      <c r="E46" s="36" t="n">
        <v>1</v>
      </c>
      <c r="F46" s="11" t="s">
        <v>263</v>
      </c>
      <c r="G46" s="47"/>
      <c r="H46" s="29" t="n">
        <f aca="false">E46*G46</f>
        <v>0</v>
      </c>
      <c r="I46" s="48"/>
      <c r="J46" s="48"/>
      <c r="K46" s="48"/>
      <c r="L46" s="48"/>
      <c r="M46" s="29" t="n">
        <f aca="false">$H46*IF(SUM($I46:$L46)=0,I$4,I46)</f>
        <v>0</v>
      </c>
      <c r="N46" s="29" t="n">
        <f aca="false">$H46*IF(SUM($I46:$L46)=0,J$4,J46)</f>
        <v>0</v>
      </c>
      <c r="O46" s="29" t="n">
        <f aca="false">$H46*IF(SUM($I46:$L46)=0,K$4,K46)</f>
        <v>0</v>
      </c>
      <c r="P46" s="29" t="n">
        <f aca="false">$H46*IF(SUM($I46:$L46)=0,L$4,L46)</f>
        <v>0</v>
      </c>
      <c r="Q46" s="49" t="str">
        <f aca="false">IF($H46=0,"",IF(ABS(SUM(M46:P46)-$H46)&lt;0.01,"OK","CHECK"))</f>
        <v/>
      </c>
    </row>
    <row r="47" customFormat="false" ht="15" hidden="false" customHeight="false" outlineLevel="0" collapsed="false">
      <c r="A47" s="20" t="n">
        <v>12</v>
      </c>
      <c r="B47" s="11" t="s">
        <v>409</v>
      </c>
      <c r="C47" s="11"/>
      <c r="D47" s="11" t="s">
        <v>142</v>
      </c>
      <c r="E47" s="36" t="n">
        <v>1</v>
      </c>
      <c r="F47" s="11" t="s">
        <v>263</v>
      </c>
      <c r="G47" s="47"/>
      <c r="H47" s="29" t="n">
        <f aca="false">E47*G47</f>
        <v>0</v>
      </c>
      <c r="I47" s="48" t="n">
        <v>1</v>
      </c>
      <c r="J47" s="48"/>
      <c r="K47" s="48"/>
      <c r="L47" s="48"/>
      <c r="M47" s="29" t="n">
        <f aca="false">$H47*IF(SUM($I47:$L47)=0,I$4,I47)</f>
        <v>0</v>
      </c>
      <c r="N47" s="29" t="n">
        <f aca="false">$H47*IF(SUM($I47:$L47)=0,J$4,J47)</f>
        <v>0</v>
      </c>
      <c r="O47" s="29" t="n">
        <f aca="false">$H47*IF(SUM($I47:$L47)=0,K$4,K47)</f>
        <v>0</v>
      </c>
      <c r="P47" s="29" t="n">
        <f aca="false">$H47*IF(SUM($I47:$L47)=0,L$4,L47)</f>
        <v>0</v>
      </c>
      <c r="Q47" s="49" t="str">
        <f aca="false">IF($H47=0,"",IF(ABS(SUM(M47:P47)-$H47)&lt;0.01,"OK","CHECK"))</f>
        <v/>
      </c>
    </row>
    <row r="48" customFormat="false" ht="15" hidden="false" customHeight="false" outlineLevel="0" collapsed="false">
      <c r="A48" s="20" t="n">
        <v>13</v>
      </c>
      <c r="B48" s="11" t="s">
        <v>410</v>
      </c>
      <c r="C48" s="11"/>
      <c r="D48" s="11" t="s">
        <v>142</v>
      </c>
      <c r="E48" s="36" t="n">
        <v>1</v>
      </c>
      <c r="F48" s="11" t="s">
        <v>263</v>
      </c>
      <c r="G48" s="47"/>
      <c r="H48" s="29" t="n">
        <f aca="false">E48*G48</f>
        <v>0</v>
      </c>
      <c r="I48" s="48"/>
      <c r="J48" s="48"/>
      <c r="K48" s="48"/>
      <c r="L48" s="48"/>
      <c r="M48" s="29" t="n">
        <f aca="false">$H48*IF(SUM($I48:$L48)=0,I$4,I48)</f>
        <v>0</v>
      </c>
      <c r="N48" s="29" t="n">
        <f aca="false">$H48*IF(SUM($I48:$L48)=0,J$4,J48)</f>
        <v>0</v>
      </c>
      <c r="O48" s="29" t="n">
        <f aca="false">$H48*IF(SUM($I48:$L48)=0,K$4,K48)</f>
        <v>0</v>
      </c>
      <c r="P48" s="29" t="n">
        <f aca="false">$H48*IF(SUM($I48:$L48)=0,L$4,L48)</f>
        <v>0</v>
      </c>
      <c r="Q48" s="49" t="str">
        <f aca="false">IF($H48=0,"",IF(ABS(SUM(M48:P48)-$H48)&lt;0.01,"OK","CHECK"))</f>
        <v/>
      </c>
    </row>
    <row r="49" customFormat="false" ht="15" hidden="false" customHeight="false" outlineLevel="0" collapsed="false">
      <c r="A49" s="20" t="n">
        <v>14</v>
      </c>
      <c r="B49" s="11" t="s">
        <v>411</v>
      </c>
      <c r="C49" s="11"/>
      <c r="D49" s="11" t="s">
        <v>150</v>
      </c>
      <c r="E49" s="36" t="n">
        <v>4</v>
      </c>
      <c r="F49" s="11" t="s">
        <v>397</v>
      </c>
      <c r="G49" s="47"/>
      <c r="H49" s="29" t="n">
        <f aca="false">E49*G49</f>
        <v>0</v>
      </c>
      <c r="I49" s="48"/>
      <c r="J49" s="48"/>
      <c r="K49" s="48"/>
      <c r="L49" s="48"/>
      <c r="M49" s="29" t="n">
        <f aca="false">$H49*IF(SUM($I49:$L49)=0,I$4,I49)</f>
        <v>0</v>
      </c>
      <c r="N49" s="29" t="n">
        <f aca="false">$H49*IF(SUM($I49:$L49)=0,J$4,J49)</f>
        <v>0</v>
      </c>
      <c r="O49" s="29" t="n">
        <f aca="false">$H49*IF(SUM($I49:$L49)=0,K$4,K49)</f>
        <v>0</v>
      </c>
      <c r="P49" s="29" t="n">
        <f aca="false">$H49*IF(SUM($I49:$L49)=0,L$4,L49)</f>
        <v>0</v>
      </c>
      <c r="Q49" s="49" t="str">
        <f aca="false">IF($H49=0,"",IF(ABS(SUM(M49:P49)-$H49)&lt;0.01,"OK","CHECK"))</f>
        <v/>
      </c>
    </row>
    <row r="50" customFormat="false" ht="15" hidden="false" customHeight="false" outlineLevel="0" collapsed="false">
      <c r="A50" s="20" t="n">
        <v>15</v>
      </c>
      <c r="B50" s="11" t="s">
        <v>412</v>
      </c>
      <c r="C50" s="11"/>
      <c r="D50" s="11" t="s">
        <v>150</v>
      </c>
      <c r="E50" s="36" t="n">
        <v>12</v>
      </c>
      <c r="F50" s="11" t="s">
        <v>397</v>
      </c>
      <c r="G50" s="47"/>
      <c r="H50" s="29" t="n">
        <f aca="false">E50*G50</f>
        <v>0</v>
      </c>
      <c r="I50" s="48"/>
      <c r="J50" s="48"/>
      <c r="K50" s="48"/>
      <c r="L50" s="48"/>
      <c r="M50" s="29" t="n">
        <f aca="false">$H50*IF(SUM($I50:$L50)=0,I$4,I50)</f>
        <v>0</v>
      </c>
      <c r="N50" s="29" t="n">
        <f aca="false">$H50*IF(SUM($I50:$L50)=0,J$4,J50)</f>
        <v>0</v>
      </c>
      <c r="O50" s="29" t="n">
        <f aca="false">$H50*IF(SUM($I50:$L50)=0,K$4,K50)</f>
        <v>0</v>
      </c>
      <c r="P50" s="29" t="n">
        <f aca="false">$H50*IF(SUM($I50:$L50)=0,L$4,L50)</f>
        <v>0</v>
      </c>
      <c r="Q50" s="49" t="str">
        <f aca="false">IF($H50=0,"",IF(ABS(SUM(M50:P50)-$H50)&lt;0.01,"OK","CHECK"))</f>
        <v/>
      </c>
    </row>
    <row r="51" customFormat="false" ht="15" hidden="false" customHeight="false" outlineLevel="0" collapsed="false">
      <c r="A51" s="20" t="n">
        <v>16</v>
      </c>
      <c r="B51" s="11" t="s">
        <v>413</v>
      </c>
      <c r="C51" s="11"/>
      <c r="D51" s="11" t="s">
        <v>150</v>
      </c>
      <c r="E51" s="51" t="n">
        <f aca="false">MAX(INPUTS!$C$21,INPUTS!$C$22)</f>
        <v>24</v>
      </c>
      <c r="F51" s="11" t="s">
        <v>397</v>
      </c>
      <c r="G51" s="47"/>
      <c r="H51" s="29" t="n">
        <f aca="false">E51*G51</f>
        <v>0</v>
      </c>
      <c r="I51" s="48"/>
      <c r="J51" s="48"/>
      <c r="K51" s="48"/>
      <c r="L51" s="48"/>
      <c r="M51" s="29" t="n">
        <f aca="false">$H51*IF(SUM($I51:$L51)=0,I$4,I51)</f>
        <v>0</v>
      </c>
      <c r="N51" s="29" t="n">
        <f aca="false">$H51*IF(SUM($I51:$L51)=0,J$4,J51)</f>
        <v>0</v>
      </c>
      <c r="O51" s="29" t="n">
        <f aca="false">$H51*IF(SUM($I51:$L51)=0,K$4,K51)</f>
        <v>0</v>
      </c>
      <c r="P51" s="29" t="n">
        <f aca="false">$H51*IF(SUM($I51:$L51)=0,L$4,L51)</f>
        <v>0</v>
      </c>
      <c r="Q51" s="49" t="str">
        <f aca="false">IF($H51=0,"",IF(ABS(SUM(M51:P51)-$H51)&lt;0.01,"OK","CHECK"))</f>
        <v/>
      </c>
    </row>
    <row r="52" customFormat="false" ht="15" hidden="false" customHeight="false" outlineLevel="0" collapsed="false">
      <c r="A52" s="20" t="n">
        <v>17</v>
      </c>
      <c r="B52" s="11" t="s">
        <v>414</v>
      </c>
      <c r="C52" s="11"/>
      <c r="D52" s="11" t="s">
        <v>150</v>
      </c>
      <c r="E52" s="51" t="n">
        <f aca="false">MAX(INPUTS!$C$21,INPUTS!$C$22)</f>
        <v>24</v>
      </c>
      <c r="F52" s="11" t="s">
        <v>397</v>
      </c>
      <c r="G52" s="47"/>
      <c r="H52" s="29" t="n">
        <f aca="false">E52*G52</f>
        <v>0</v>
      </c>
      <c r="I52" s="48"/>
      <c r="J52" s="48"/>
      <c r="K52" s="48"/>
      <c r="L52" s="48"/>
      <c r="M52" s="29" t="n">
        <f aca="false">$H52*IF(SUM($I52:$L52)=0,I$4,I52)</f>
        <v>0</v>
      </c>
      <c r="N52" s="29" t="n">
        <f aca="false">$H52*IF(SUM($I52:$L52)=0,J$4,J52)</f>
        <v>0</v>
      </c>
      <c r="O52" s="29" t="n">
        <f aca="false">$H52*IF(SUM($I52:$L52)=0,K$4,K52)</f>
        <v>0</v>
      </c>
      <c r="P52" s="29" t="n">
        <f aca="false">$H52*IF(SUM($I52:$L52)=0,L$4,L52)</f>
        <v>0</v>
      </c>
      <c r="Q52" s="49" t="str">
        <f aca="false">IF($H52=0,"",IF(ABS(SUM(M52:P52)-$H52)&lt;0.01,"OK","CHECK"))</f>
        <v/>
      </c>
    </row>
    <row r="53" customFormat="false" ht="15" hidden="false" customHeight="false" outlineLevel="0" collapsed="false">
      <c r="A53" s="20" t="n">
        <v>18</v>
      </c>
      <c r="B53" s="11" t="s">
        <v>415</v>
      </c>
      <c r="C53" s="11"/>
      <c r="D53" s="11" t="s">
        <v>150</v>
      </c>
      <c r="E53" s="51" t="n">
        <f aca="false">MAX(INPUTS!$C$21,INPUTS!$C$22)</f>
        <v>24</v>
      </c>
      <c r="F53" s="11" t="s">
        <v>397</v>
      </c>
      <c r="G53" s="47"/>
      <c r="H53" s="29" t="n">
        <f aca="false">E53*G53</f>
        <v>0</v>
      </c>
      <c r="I53" s="48"/>
      <c r="J53" s="48"/>
      <c r="K53" s="48"/>
      <c r="L53" s="48"/>
      <c r="M53" s="29" t="n">
        <f aca="false">$H53*IF(SUM($I53:$L53)=0,I$4,I53)</f>
        <v>0</v>
      </c>
      <c r="N53" s="29" t="n">
        <f aca="false">$H53*IF(SUM($I53:$L53)=0,J$4,J53)</f>
        <v>0</v>
      </c>
      <c r="O53" s="29" t="n">
        <f aca="false">$H53*IF(SUM($I53:$L53)=0,K$4,K53)</f>
        <v>0</v>
      </c>
      <c r="P53" s="29" t="n">
        <f aca="false">$H53*IF(SUM($I53:$L53)=0,L$4,L53)</f>
        <v>0</v>
      </c>
      <c r="Q53" s="49" t="str">
        <f aca="false">IF($H53=0,"",IF(ABS(SUM(M53:P53)-$H53)&lt;0.01,"OK","CHECK"))</f>
        <v/>
      </c>
    </row>
    <row r="54" customFormat="false" ht="15" hidden="false" customHeight="false" outlineLevel="0" collapsed="false">
      <c r="A54" s="20" t="n">
        <v>19</v>
      </c>
      <c r="B54" s="11" t="s">
        <v>416</v>
      </c>
      <c r="C54" s="11"/>
      <c r="D54" s="11" t="s">
        <v>149</v>
      </c>
      <c r="E54" s="36" t="n">
        <v>1</v>
      </c>
      <c r="F54" s="11" t="s">
        <v>263</v>
      </c>
      <c r="G54" s="53" t="n">
        <f aca="false">ROUNDUP(INPUTS!$C$27*(SUMIFS('PLUMBING EST'!$L$7:$L$156,'PLUMBING EST'!$B$7:$B$156,"P",'PLUMBING EST'!$C$7:$C$156,INPUTS!$B$62)+SUMIFS('HVAC EST'!$L$7:$L$156,'HVAC EST'!$B$7:$B$156,"P",'HVAC EST'!$C$7:$C$156,INPUTS!$B$62)),-2)</f>
        <v>0</v>
      </c>
      <c r="H54" s="29" t="n">
        <f aca="false">E54*G54</f>
        <v>0</v>
      </c>
      <c r="I54" s="48" t="n">
        <v>1</v>
      </c>
      <c r="J54" s="48"/>
      <c r="K54" s="48"/>
      <c r="L54" s="48"/>
      <c r="M54" s="29" t="n">
        <f aca="false">$H54*IF(SUM($I54:$L54)=0,I$4,I54)</f>
        <v>0</v>
      </c>
      <c r="N54" s="29" t="n">
        <f aca="false">$H54*IF(SUM($I54:$L54)=0,J$4,J54)</f>
        <v>0</v>
      </c>
      <c r="O54" s="29" t="n">
        <f aca="false">$H54*IF(SUM($I54:$L54)=0,K$4,K54)</f>
        <v>0</v>
      </c>
      <c r="P54" s="29" t="n">
        <f aca="false">$H54*IF(SUM($I54:$L54)=0,L$4,L54)</f>
        <v>0</v>
      </c>
      <c r="Q54" s="49" t="str">
        <f aca="false">IF($H54=0,"",IF(ABS(SUM(M54:P54)-$H54)&lt;0.01,"OK","CHECK"))</f>
        <v/>
      </c>
    </row>
    <row r="55" customFormat="false" ht="15" hidden="false" customHeight="false" outlineLevel="0" collapsed="false">
      <c r="A55" s="20" t="n">
        <v>20</v>
      </c>
      <c r="B55" s="11" t="s">
        <v>417</v>
      </c>
      <c r="C55" s="11"/>
      <c r="D55" s="11" t="s">
        <v>149</v>
      </c>
      <c r="E55" s="36" t="n">
        <v>1</v>
      </c>
      <c r="F55" s="11" t="s">
        <v>263</v>
      </c>
      <c r="G55" s="53" t="n">
        <f aca="false">ROUNDUP(INPUTS!$C$27*(SUMIFS('PLUMBING EST'!$L$7:$L$156,'PLUMBING EST'!$B$7:$B$156,"H",'PLUMBING EST'!$C$7:$C$156,INPUTS!$B$62)+SUMIFS('HVAC EST'!$L$7:$L$156,'HVAC EST'!$B$7:$B$156,"H",'HVAC EST'!$C$7:$C$156,INPUTS!$B$62)),-2)</f>
        <v>0</v>
      </c>
      <c r="H55" s="29" t="n">
        <f aca="false">E55*G55</f>
        <v>0</v>
      </c>
      <c r="I55" s="48"/>
      <c r="J55" s="48" t="n">
        <v>1</v>
      </c>
      <c r="K55" s="48"/>
      <c r="L55" s="48"/>
      <c r="M55" s="29" t="n">
        <f aca="false">$H55*IF(SUM($I55:$L55)=0,I$4,I55)</f>
        <v>0</v>
      </c>
      <c r="N55" s="29" t="n">
        <f aca="false">$H55*IF(SUM($I55:$L55)=0,J$4,J55)</f>
        <v>0</v>
      </c>
      <c r="O55" s="29" t="n">
        <f aca="false">$H55*IF(SUM($I55:$L55)=0,K$4,K55)</f>
        <v>0</v>
      </c>
      <c r="P55" s="29" t="n">
        <f aca="false">$H55*IF(SUM($I55:$L55)=0,L$4,L55)</f>
        <v>0</v>
      </c>
      <c r="Q55" s="49" t="str">
        <f aca="false">IF($H55=0,"",IF(ABS(SUM(M55:P55)-$H55)&lt;0.01,"OK","CHECK"))</f>
        <v/>
      </c>
    </row>
    <row r="56" customFormat="false" ht="15" hidden="false" customHeight="false" outlineLevel="0" collapsed="false">
      <c r="A56" s="20" t="n">
        <v>21</v>
      </c>
      <c r="B56" s="11" t="s">
        <v>418</v>
      </c>
      <c r="C56" s="11"/>
      <c r="D56" s="11" t="s">
        <v>149</v>
      </c>
      <c r="E56" s="36" t="n">
        <v>1</v>
      </c>
      <c r="F56" s="11" t="s">
        <v>263</v>
      </c>
      <c r="G56" s="53" t="n">
        <f aca="false">ROUNDUP(INPUTS!$C$27*(SUMIFS('PLUMBING EST'!$L$7:$L$156,'PLUMBING EST'!$B$7:$B$156,"V",'PLUMBING EST'!$C$7:$C$156,INPUTS!$B$62)+SUMIFS('HVAC EST'!$L$7:$L$156,'HVAC EST'!$B$7:$B$156,"V",'HVAC EST'!$C$7:$C$156,INPUTS!$B$62)),-2)</f>
        <v>0</v>
      </c>
      <c r="H56" s="29" t="n">
        <f aca="false">E56*G56</f>
        <v>0</v>
      </c>
      <c r="I56" s="48"/>
      <c r="J56" s="48"/>
      <c r="K56" s="48" t="n">
        <v>1</v>
      </c>
      <c r="L56" s="48"/>
      <c r="M56" s="29" t="n">
        <f aca="false">$H56*IF(SUM($I56:$L56)=0,I$4,I56)</f>
        <v>0</v>
      </c>
      <c r="N56" s="29" t="n">
        <f aca="false">$H56*IF(SUM($I56:$L56)=0,J$4,J56)</f>
        <v>0</v>
      </c>
      <c r="O56" s="29" t="n">
        <f aca="false">$H56*IF(SUM($I56:$L56)=0,K$4,K56)</f>
        <v>0</v>
      </c>
      <c r="P56" s="29" t="n">
        <f aca="false">$H56*IF(SUM($I56:$L56)=0,L$4,L56)</f>
        <v>0</v>
      </c>
      <c r="Q56" s="49" t="str">
        <f aca="false">IF($H56=0,"",IF(ABS(SUM(M56:P56)-$H56)&lt;0.01,"OK","CHECK"))</f>
        <v/>
      </c>
    </row>
    <row r="57" customFormat="false" ht="15" hidden="false" customHeight="false" outlineLevel="0" collapsed="false">
      <c r="A57" s="20" t="n">
        <v>22</v>
      </c>
      <c r="B57" s="11" t="s">
        <v>419</v>
      </c>
      <c r="C57" s="11"/>
      <c r="D57" s="11" t="s">
        <v>149</v>
      </c>
      <c r="E57" s="36" t="n">
        <v>1</v>
      </c>
      <c r="F57" s="11" t="s">
        <v>263</v>
      </c>
      <c r="G57" s="53" t="n">
        <f aca="false">ROUNDUP(INPUTS!$C$27*(SUMIFS('PLUMBING EST'!$L$7:$L$156,'PLUMBING EST'!$B$7:$B$156,"AC",'PLUMBING EST'!$C$7:$C$156,INPUTS!$B$62)+SUMIFS('HVAC EST'!$L$7:$L$156,'HVAC EST'!$B$7:$B$156,"AC",'HVAC EST'!$C$7:$C$156,INPUTS!$B$62)),-2)</f>
        <v>0</v>
      </c>
      <c r="H57" s="29" t="n">
        <f aca="false">E57*G57</f>
        <v>0</v>
      </c>
      <c r="I57" s="48"/>
      <c r="J57" s="48"/>
      <c r="K57" s="48"/>
      <c r="L57" s="48" t="n">
        <v>1</v>
      </c>
      <c r="M57" s="29" t="n">
        <f aca="false">$H57*IF(SUM($I57:$L57)=0,I$4,I57)</f>
        <v>0</v>
      </c>
      <c r="N57" s="29" t="n">
        <f aca="false">$H57*IF(SUM($I57:$L57)=0,J$4,J57)</f>
        <v>0</v>
      </c>
      <c r="O57" s="29" t="n">
        <f aca="false">$H57*IF(SUM($I57:$L57)=0,K$4,K57)</f>
        <v>0</v>
      </c>
      <c r="P57" s="29" t="n">
        <f aca="false">$H57*IF(SUM($I57:$L57)=0,L$4,L57)</f>
        <v>0</v>
      </c>
      <c r="Q57" s="49" t="str">
        <f aca="false">IF($H57=0,"",IF(ABS(SUM(M57:P57)-$H57)&lt;0.01,"OK","CHECK"))</f>
        <v/>
      </c>
    </row>
    <row r="58" customFormat="false" ht="15" hidden="false" customHeight="false" outlineLevel="0" collapsed="false">
      <c r="A58" s="20" t="n">
        <v>23</v>
      </c>
      <c r="B58" s="11"/>
      <c r="C58" s="11"/>
      <c r="D58" s="11"/>
      <c r="E58" s="36"/>
      <c r="F58" s="11"/>
      <c r="G58" s="47"/>
      <c r="H58" s="29" t="n">
        <f aca="false">E58*G58</f>
        <v>0</v>
      </c>
      <c r="I58" s="48"/>
      <c r="J58" s="48"/>
      <c r="K58" s="48"/>
      <c r="L58" s="48"/>
      <c r="M58" s="29" t="n">
        <f aca="false">$H58*IF(SUM($I58:$L58)=0,I$4,I58)</f>
        <v>0</v>
      </c>
      <c r="N58" s="29" t="n">
        <f aca="false">$H58*IF(SUM($I58:$L58)=0,J$4,J58)</f>
        <v>0</v>
      </c>
      <c r="O58" s="29" t="n">
        <f aca="false">$H58*IF(SUM($I58:$L58)=0,K$4,K58)</f>
        <v>0</v>
      </c>
      <c r="P58" s="29" t="n">
        <f aca="false">$H58*IF(SUM($I58:$L58)=0,L$4,L58)</f>
        <v>0</v>
      </c>
      <c r="Q58" s="49" t="str">
        <f aca="false">IF($H58=0,"",IF(ABS(SUM(M58:P58)-$H58)&lt;0.01,"OK","CHECK"))</f>
        <v/>
      </c>
    </row>
    <row r="59" customFormat="false" ht="15" hidden="false" customHeight="false" outlineLevel="0" collapsed="false">
      <c r="A59" s="20" t="n">
        <v>24</v>
      </c>
      <c r="B59" s="11"/>
      <c r="C59" s="11"/>
      <c r="D59" s="11"/>
      <c r="E59" s="36"/>
      <c r="F59" s="11"/>
      <c r="G59" s="47"/>
      <c r="H59" s="29" t="n">
        <f aca="false">E59*G59</f>
        <v>0</v>
      </c>
      <c r="I59" s="48"/>
      <c r="J59" s="48"/>
      <c r="K59" s="48"/>
      <c r="L59" s="48"/>
      <c r="M59" s="29" t="n">
        <f aca="false">$H59*IF(SUM($I59:$L59)=0,I$4,I59)</f>
        <v>0</v>
      </c>
      <c r="N59" s="29" t="n">
        <f aca="false">$H59*IF(SUM($I59:$L59)=0,J$4,J59)</f>
        <v>0</v>
      </c>
      <c r="O59" s="29" t="n">
        <f aca="false">$H59*IF(SUM($I59:$L59)=0,K$4,K59)</f>
        <v>0</v>
      </c>
      <c r="P59" s="29" t="n">
        <f aca="false">$H59*IF(SUM($I59:$L59)=0,L$4,L59)</f>
        <v>0</v>
      </c>
      <c r="Q59" s="49" t="str">
        <f aca="false">IF($H59=0,"",IF(ABS(SUM(M59:P59)-$H59)&lt;0.01,"OK","CHECK"))</f>
        <v/>
      </c>
    </row>
    <row r="60" customFormat="false" ht="15" hidden="false" customHeight="false" outlineLevel="0" collapsed="false">
      <c r="A60" s="20" t="n">
        <v>25</v>
      </c>
      <c r="B60" s="11"/>
      <c r="C60" s="11"/>
      <c r="D60" s="11"/>
      <c r="E60" s="36"/>
      <c r="F60" s="11"/>
      <c r="G60" s="47"/>
      <c r="H60" s="29" t="n">
        <f aca="false">E60*G60</f>
        <v>0</v>
      </c>
      <c r="I60" s="48"/>
      <c r="J60" s="48"/>
      <c r="K60" s="48"/>
      <c r="L60" s="48"/>
      <c r="M60" s="29" t="n">
        <f aca="false">$H60*IF(SUM($I60:$L60)=0,I$4,I60)</f>
        <v>0</v>
      </c>
      <c r="N60" s="29" t="n">
        <f aca="false">$H60*IF(SUM($I60:$L60)=0,J$4,J60)</f>
        <v>0</v>
      </c>
      <c r="O60" s="29" t="n">
        <f aca="false">$H60*IF(SUM($I60:$L60)=0,K$4,K60)</f>
        <v>0</v>
      </c>
      <c r="P60" s="29" t="n">
        <f aca="false">$H60*IF(SUM($I60:$L60)=0,L$4,L60)</f>
        <v>0</v>
      </c>
      <c r="Q60" s="49" t="str">
        <f aca="false">IF($H60=0,"",IF(ABS(SUM(M60:P60)-$H60)&lt;0.01,"OK","CHECK"))</f>
        <v/>
      </c>
    </row>
    <row r="61" customFormat="false" ht="15" hidden="false" customHeight="false" outlineLevel="0" collapsed="false">
      <c r="A61" s="20" t="n">
        <v>26</v>
      </c>
      <c r="B61" s="11"/>
      <c r="C61" s="11"/>
      <c r="D61" s="11"/>
      <c r="E61" s="36"/>
      <c r="F61" s="11"/>
      <c r="G61" s="47"/>
      <c r="H61" s="29" t="n">
        <f aca="false">E61*G61</f>
        <v>0</v>
      </c>
      <c r="I61" s="48"/>
      <c r="J61" s="48"/>
      <c r="K61" s="48"/>
      <c r="L61" s="48"/>
      <c r="M61" s="29" t="n">
        <f aca="false">$H61*IF(SUM($I61:$L61)=0,I$4,I61)</f>
        <v>0</v>
      </c>
      <c r="N61" s="29" t="n">
        <f aca="false">$H61*IF(SUM($I61:$L61)=0,J$4,J61)</f>
        <v>0</v>
      </c>
      <c r="O61" s="29" t="n">
        <f aca="false">$H61*IF(SUM($I61:$L61)=0,K$4,K61)</f>
        <v>0</v>
      </c>
      <c r="P61" s="29" t="n">
        <f aca="false">$H61*IF(SUM($I61:$L61)=0,L$4,L61)</f>
        <v>0</v>
      </c>
      <c r="Q61" s="49" t="str">
        <f aca="false">IF($H61=0,"",IF(ABS(SUM(M61:P61)-$H61)&lt;0.01,"OK","CHECK"))</f>
        <v/>
      </c>
    </row>
    <row r="62" customFormat="false" ht="15" hidden="false" customHeight="false" outlineLevel="0" collapsed="false">
      <c r="A62" s="20" t="n">
        <v>27</v>
      </c>
      <c r="B62" s="11"/>
      <c r="C62" s="11"/>
      <c r="D62" s="11"/>
      <c r="E62" s="36"/>
      <c r="F62" s="11"/>
      <c r="G62" s="47"/>
      <c r="H62" s="29" t="n">
        <f aca="false">E62*G62</f>
        <v>0</v>
      </c>
      <c r="I62" s="48"/>
      <c r="J62" s="48"/>
      <c r="K62" s="48"/>
      <c r="L62" s="48"/>
      <c r="M62" s="29" t="n">
        <f aca="false">$H62*IF(SUM($I62:$L62)=0,I$4,I62)</f>
        <v>0</v>
      </c>
      <c r="N62" s="29" t="n">
        <f aca="false">$H62*IF(SUM($I62:$L62)=0,J$4,J62)</f>
        <v>0</v>
      </c>
      <c r="O62" s="29" t="n">
        <f aca="false">$H62*IF(SUM($I62:$L62)=0,K$4,K62)</f>
        <v>0</v>
      </c>
      <c r="P62" s="29" t="n">
        <f aca="false">$H62*IF(SUM($I62:$L62)=0,L$4,L62)</f>
        <v>0</v>
      </c>
      <c r="Q62" s="49" t="str">
        <f aca="false">IF($H62=0,"",IF(ABS(SUM(M62:P62)-$H62)&lt;0.01,"OK","CHECK"))</f>
        <v/>
      </c>
    </row>
    <row r="63" customFormat="false" ht="15" hidden="false" customHeight="false" outlineLevel="0" collapsed="false">
      <c r="A63" s="20" t="n">
        <v>28</v>
      </c>
      <c r="B63" s="11"/>
      <c r="C63" s="11"/>
      <c r="D63" s="11"/>
      <c r="E63" s="36"/>
      <c r="F63" s="11"/>
      <c r="G63" s="47"/>
      <c r="H63" s="29" t="n">
        <f aca="false">E63*G63</f>
        <v>0</v>
      </c>
      <c r="I63" s="48"/>
      <c r="J63" s="48"/>
      <c r="K63" s="48"/>
      <c r="L63" s="48"/>
      <c r="M63" s="29" t="n">
        <f aca="false">$H63*IF(SUM($I63:$L63)=0,I$4,I63)</f>
        <v>0</v>
      </c>
      <c r="N63" s="29" t="n">
        <f aca="false">$H63*IF(SUM($I63:$L63)=0,J$4,J63)</f>
        <v>0</v>
      </c>
      <c r="O63" s="29" t="n">
        <f aca="false">$H63*IF(SUM($I63:$L63)=0,K$4,K63)</f>
        <v>0</v>
      </c>
      <c r="P63" s="29" t="n">
        <f aca="false">$H63*IF(SUM($I63:$L63)=0,L$4,L63)</f>
        <v>0</v>
      </c>
      <c r="Q63" s="49" t="str">
        <f aca="false">IF($H63=0,"",IF(ABS(SUM(M63:P63)-$H63)&lt;0.01,"OK","CHECK"))</f>
        <v/>
      </c>
    </row>
    <row r="64" customFormat="false" ht="15" hidden="false" customHeight="false" outlineLevel="0" collapsed="false">
      <c r="A64" s="20" t="n">
        <v>29</v>
      </c>
      <c r="B64" s="11"/>
      <c r="C64" s="11"/>
      <c r="D64" s="11"/>
      <c r="E64" s="36"/>
      <c r="F64" s="11"/>
      <c r="G64" s="47"/>
      <c r="H64" s="29" t="n">
        <f aca="false">E64*G64</f>
        <v>0</v>
      </c>
      <c r="I64" s="48"/>
      <c r="J64" s="48"/>
      <c r="K64" s="48"/>
      <c r="L64" s="48"/>
      <c r="M64" s="29" t="n">
        <f aca="false">$H64*IF(SUM($I64:$L64)=0,I$4,I64)</f>
        <v>0</v>
      </c>
      <c r="N64" s="29" t="n">
        <f aca="false">$H64*IF(SUM($I64:$L64)=0,J$4,J64)</f>
        <v>0</v>
      </c>
      <c r="O64" s="29" t="n">
        <f aca="false">$H64*IF(SUM($I64:$L64)=0,K$4,K64)</f>
        <v>0</v>
      </c>
      <c r="P64" s="29" t="n">
        <f aca="false">$H64*IF(SUM($I64:$L64)=0,L$4,L64)</f>
        <v>0</v>
      </c>
      <c r="Q64" s="49" t="str">
        <f aca="false">IF($H64=0,"",IF(ABS(SUM(M64:P64)-$H64)&lt;0.01,"OK","CHECK"))</f>
        <v/>
      </c>
    </row>
    <row r="65" customFormat="false" ht="15" hidden="false" customHeight="false" outlineLevel="0" collapsed="false">
      <c r="A65" s="20" t="n">
        <v>30</v>
      </c>
      <c r="B65" s="11"/>
      <c r="C65" s="11"/>
      <c r="D65" s="11"/>
      <c r="E65" s="36"/>
      <c r="F65" s="11"/>
      <c r="G65" s="47"/>
      <c r="H65" s="29" t="n">
        <f aca="false">E65*G65</f>
        <v>0</v>
      </c>
      <c r="I65" s="48"/>
      <c r="J65" s="48"/>
      <c r="K65" s="48"/>
      <c r="L65" s="48"/>
      <c r="M65" s="29" t="n">
        <f aca="false">$H65*IF(SUM($I65:$L65)=0,I$4,I65)</f>
        <v>0</v>
      </c>
      <c r="N65" s="29" t="n">
        <f aca="false">$H65*IF(SUM($I65:$L65)=0,J$4,J65)</f>
        <v>0</v>
      </c>
      <c r="O65" s="29" t="n">
        <f aca="false">$H65*IF(SUM($I65:$L65)=0,K$4,K65)</f>
        <v>0</v>
      </c>
      <c r="P65" s="29" t="n">
        <f aca="false">$H65*IF(SUM($I65:$L65)=0,L$4,L65)</f>
        <v>0</v>
      </c>
      <c r="Q65" s="49" t="str">
        <f aca="false">IF($H65=0,"",IF(ABS(SUM(M65:P65)-$H65)&lt;0.01,"OK","CHECK"))</f>
        <v/>
      </c>
    </row>
    <row r="66" customFormat="false" ht="15" hidden="false" customHeight="false" outlineLevel="0" collapsed="false">
      <c r="B66" s="4" t="s">
        <v>420</v>
      </c>
      <c r="H66" s="50" t="n">
        <f aca="false">SUM(H36:H65)</f>
        <v>180000</v>
      </c>
      <c r="M66" s="50" t="n">
        <f aca="false">SUM(M36:M65)</f>
        <v>180000</v>
      </c>
      <c r="N66" s="50" t="n">
        <f aca="false">SUM(N36:N65)</f>
        <v>0</v>
      </c>
      <c r="O66" s="50" t="n">
        <f aca="false">SUM(O36:O65)</f>
        <v>0</v>
      </c>
      <c r="P66" s="50" t="n">
        <f aca="false">SUM(P36:P65)</f>
        <v>0</v>
      </c>
    </row>
  </sheetData>
  <conditionalFormatting sqref="Q7:Q6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1">
    <dataValidation allowBlank="true" errorStyle="stop" operator="between" showDropDown="false" showErrorMessage="false" showInputMessage="false" sqref="D7:D31 D36:D65" type="list">
      <formula1>INPUTS!$B$58:$B$65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W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3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7"/>
    <col collapsed="false" customWidth="true" hidden="false" outlineLevel="0" max="17" min="16" style="0" width="14"/>
    <col collapsed="false" customWidth="true" hidden="false" outlineLevel="0" max="18" min="18" style="0" width="13"/>
    <col collapsed="false" customWidth="true" hidden="false" outlineLevel="0" max="22" min="19" style="0" width="14"/>
    <col collapsed="false" customWidth="true" hidden="false" outlineLevel="0" max="23" min="23" style="0" width="1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15" hidden="false" customHeight="false" outlineLevel="0" collapsed="false">
      <c r="A3" s="3" t="s">
        <v>423</v>
      </c>
      <c r="M3" s="3" t="s">
        <v>424</v>
      </c>
    </row>
    <row r="5" customFormat="false" ht="15" hidden="false" customHeight="false" outlineLevel="0" collapsed="false">
      <c r="A5" s="54" t="s">
        <v>425</v>
      </c>
      <c r="B5" s="54" t="s">
        <v>426</v>
      </c>
      <c r="C5" s="54" t="n">
        <v>2025</v>
      </c>
      <c r="D5" s="54" t="s">
        <v>258</v>
      </c>
      <c r="E5" s="54" t="s">
        <v>94</v>
      </c>
      <c r="F5" s="54" t="n">
        <v>100</v>
      </c>
      <c r="G5" s="54" t="s">
        <v>260</v>
      </c>
      <c r="H5" s="54" t="n">
        <v>1150</v>
      </c>
      <c r="I5" s="54" t="n">
        <v>74000</v>
      </c>
      <c r="J5" s="54" t="n">
        <v>82000</v>
      </c>
      <c r="K5" s="54" t="s">
        <v>427</v>
      </c>
      <c r="M5" s="54" t="s">
        <v>425</v>
      </c>
      <c r="N5" s="54" t="s">
        <v>426</v>
      </c>
      <c r="O5" s="54" t="n">
        <v>2025</v>
      </c>
      <c r="P5" s="55" t="n">
        <v>1000000</v>
      </c>
      <c r="Q5" s="55" t="n">
        <v>300000</v>
      </c>
      <c r="R5" s="55" t="n">
        <v>90000</v>
      </c>
      <c r="S5" s="55" t="n">
        <v>330000</v>
      </c>
      <c r="T5" s="55" t="n">
        <v>80000</v>
      </c>
      <c r="U5" s="55" t="n">
        <v>60000</v>
      </c>
      <c r="V5" s="55" t="n">
        <f aca="false">SUM(Q5:U5)</f>
        <v>860000</v>
      </c>
      <c r="W5" s="56" t="n">
        <f aca="false">IFERROR(1-V5/P5,0)</f>
        <v>0.14</v>
      </c>
    </row>
    <row r="6" customFormat="false" ht="30" hidden="false" customHeight="true" outlineLevel="0" collapsed="false">
      <c r="A6" s="18" t="s">
        <v>428</v>
      </c>
      <c r="B6" s="18" t="s">
        <v>429</v>
      </c>
      <c r="C6" s="18" t="s">
        <v>430</v>
      </c>
      <c r="D6" s="18" t="s">
        <v>203</v>
      </c>
      <c r="E6" s="18" t="s">
        <v>204</v>
      </c>
      <c r="F6" s="18" t="s">
        <v>431</v>
      </c>
      <c r="G6" s="18" t="s">
        <v>208</v>
      </c>
      <c r="H6" s="18" t="s">
        <v>432</v>
      </c>
      <c r="I6" s="18" t="s">
        <v>433</v>
      </c>
      <c r="J6" s="18" t="s">
        <v>434</v>
      </c>
      <c r="K6" s="18" t="s">
        <v>435</v>
      </c>
      <c r="M6" s="18" t="s">
        <v>428</v>
      </c>
      <c r="N6" s="18" t="s">
        <v>429</v>
      </c>
      <c r="O6" s="18" t="s">
        <v>430</v>
      </c>
      <c r="P6" s="18" t="s">
        <v>436</v>
      </c>
      <c r="Q6" s="18" t="s">
        <v>437</v>
      </c>
      <c r="R6" s="18" t="s">
        <v>216</v>
      </c>
      <c r="S6" s="18" t="s">
        <v>438</v>
      </c>
      <c r="T6" s="18" t="s">
        <v>439</v>
      </c>
      <c r="U6" s="18" t="s">
        <v>440</v>
      </c>
      <c r="V6" s="18" t="s">
        <v>441</v>
      </c>
      <c r="W6" s="18" t="s">
        <v>442</v>
      </c>
    </row>
    <row r="7" customFormat="false" ht="15" hidden="false" customHeight="false" outlineLevel="0" collapsed="false">
      <c r="A7" s="57"/>
      <c r="B7" s="57"/>
      <c r="C7" s="57"/>
      <c r="D7" s="57"/>
      <c r="E7" s="57"/>
      <c r="F7" s="58"/>
      <c r="G7" s="57"/>
      <c r="H7" s="58"/>
      <c r="I7" s="59"/>
      <c r="J7" s="59"/>
      <c r="K7" s="57"/>
      <c r="M7" s="57"/>
      <c r="N7" s="57"/>
      <c r="O7" s="57"/>
      <c r="P7" s="59"/>
      <c r="Q7" s="59"/>
      <c r="R7" s="59"/>
      <c r="S7" s="59"/>
      <c r="T7" s="59"/>
      <c r="U7" s="59"/>
      <c r="V7" s="29" t="str">
        <f aca="false">IF(P7="","",SUM(Q7:U7))</f>
        <v/>
      </c>
      <c r="W7" s="21" t="str">
        <f aca="false">IF(N(P7)=0,"",1-V7/P7)</f>
        <v/>
      </c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57"/>
      <c r="H8" s="58"/>
      <c r="I8" s="59"/>
      <c r="J8" s="59"/>
      <c r="K8" s="57"/>
      <c r="M8" s="57"/>
      <c r="N8" s="57"/>
      <c r="O8" s="57"/>
      <c r="P8" s="59"/>
      <c r="Q8" s="59"/>
      <c r="R8" s="59"/>
      <c r="S8" s="59"/>
      <c r="T8" s="59"/>
      <c r="U8" s="59"/>
      <c r="V8" s="29" t="str">
        <f aca="false">IF(P8="","",SUM(Q8:U8))</f>
        <v/>
      </c>
      <c r="W8" s="21" t="str">
        <f aca="false">IF(N(P8)=0,"",1-V8/P8)</f>
        <v/>
      </c>
    </row>
    <row r="9" customFormat="false" ht="15" hidden="false" customHeight="false" outlineLevel="0" collapsed="false">
      <c r="A9" s="57"/>
      <c r="B9" s="57"/>
      <c r="C9" s="57"/>
      <c r="D9" s="57"/>
      <c r="E9" s="57"/>
      <c r="F9" s="58"/>
      <c r="G9" s="57"/>
      <c r="H9" s="58"/>
      <c r="I9" s="59"/>
      <c r="J9" s="59"/>
      <c r="K9" s="57"/>
      <c r="M9" s="57"/>
      <c r="N9" s="57"/>
      <c r="O9" s="57"/>
      <c r="P9" s="59"/>
      <c r="Q9" s="59"/>
      <c r="R9" s="59"/>
      <c r="S9" s="59"/>
      <c r="T9" s="59"/>
      <c r="U9" s="59"/>
      <c r="V9" s="29" t="str">
        <f aca="false">IF(P9="","",SUM(Q9:U9))</f>
        <v/>
      </c>
      <c r="W9" s="21" t="str">
        <f aca="false">IF(N(P9)=0,"",1-V9/P9)</f>
        <v/>
      </c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57"/>
      <c r="H10" s="58"/>
      <c r="I10" s="59"/>
      <c r="J10" s="59"/>
      <c r="K10" s="57"/>
      <c r="M10" s="57"/>
      <c r="N10" s="57"/>
      <c r="O10" s="57"/>
      <c r="P10" s="59"/>
      <c r="Q10" s="59"/>
      <c r="R10" s="59"/>
      <c r="S10" s="59"/>
      <c r="T10" s="59"/>
      <c r="U10" s="59"/>
      <c r="V10" s="29" t="str">
        <f aca="false">IF(P10="","",SUM(Q10:U10))</f>
        <v/>
      </c>
      <c r="W10" s="21" t="str">
        <f aca="false">IF(N(P10)=0,"",1-V10/P10)</f>
        <v/>
      </c>
    </row>
    <row r="11" customFormat="false" ht="15" hidden="false" customHeight="false" outlineLevel="0" collapsed="false">
      <c r="A11" s="57"/>
      <c r="B11" s="57"/>
      <c r="C11" s="57"/>
      <c r="D11" s="57"/>
      <c r="E11" s="57"/>
      <c r="F11" s="58"/>
      <c r="G11" s="57"/>
      <c r="H11" s="58"/>
      <c r="I11" s="59"/>
      <c r="J11" s="59"/>
      <c r="K11" s="57"/>
      <c r="M11" s="57"/>
      <c r="N11" s="57"/>
      <c r="O11" s="57"/>
      <c r="P11" s="59"/>
      <c r="Q11" s="59"/>
      <c r="R11" s="59"/>
      <c r="S11" s="59"/>
      <c r="T11" s="59"/>
      <c r="U11" s="59"/>
      <c r="V11" s="29" t="str">
        <f aca="false">IF(P11="","",SUM(Q11:U11))</f>
        <v/>
      </c>
      <c r="W11" s="21" t="str">
        <f aca="false">IF(N(P11)=0,"",1-V11/P11)</f>
        <v/>
      </c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57"/>
      <c r="H12" s="58"/>
      <c r="I12" s="59"/>
      <c r="J12" s="59"/>
      <c r="K12" s="57"/>
      <c r="M12" s="57"/>
      <c r="N12" s="57"/>
      <c r="O12" s="57"/>
      <c r="P12" s="59"/>
      <c r="Q12" s="59"/>
      <c r="R12" s="59"/>
      <c r="S12" s="59"/>
      <c r="T12" s="59"/>
      <c r="U12" s="59"/>
      <c r="V12" s="29" t="str">
        <f aca="false">IF(P12="","",SUM(Q12:U12))</f>
        <v/>
      </c>
      <c r="W12" s="21" t="str">
        <f aca="false">IF(N(P12)=0,"",1-V12/P12)</f>
        <v/>
      </c>
    </row>
    <row r="13" customFormat="false" ht="15" hidden="false" customHeight="false" outlineLevel="0" collapsed="false">
      <c r="A13" s="57"/>
      <c r="B13" s="57"/>
      <c r="C13" s="57"/>
      <c r="D13" s="57"/>
      <c r="E13" s="57"/>
      <c r="F13" s="58"/>
      <c r="G13" s="57"/>
      <c r="H13" s="58"/>
      <c r="I13" s="59"/>
      <c r="J13" s="59"/>
      <c r="K13" s="57"/>
      <c r="M13" s="57"/>
      <c r="N13" s="57"/>
      <c r="O13" s="57"/>
      <c r="P13" s="59"/>
      <c r="Q13" s="59"/>
      <c r="R13" s="59"/>
      <c r="S13" s="59"/>
      <c r="T13" s="59"/>
      <c r="U13" s="59"/>
      <c r="V13" s="29" t="str">
        <f aca="false">IF(P13="","",SUM(Q13:U13))</f>
        <v/>
      </c>
      <c r="W13" s="21" t="str">
        <f aca="false">IF(N(P13)=0,"",1-V13/P13)</f>
        <v/>
      </c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57"/>
      <c r="H14" s="58"/>
      <c r="I14" s="59"/>
      <c r="J14" s="59"/>
      <c r="K14" s="57"/>
      <c r="M14" s="57"/>
      <c r="N14" s="57"/>
      <c r="O14" s="57"/>
      <c r="P14" s="59"/>
      <c r="Q14" s="59"/>
      <c r="R14" s="59"/>
      <c r="S14" s="59"/>
      <c r="T14" s="59"/>
      <c r="U14" s="59"/>
      <c r="V14" s="29" t="str">
        <f aca="false">IF(P14="","",SUM(Q14:U14))</f>
        <v/>
      </c>
      <c r="W14" s="21" t="str">
        <f aca="false">IF(N(P14)=0,"",1-V14/P14)</f>
        <v/>
      </c>
    </row>
    <row r="15" customFormat="false" ht="15" hidden="false" customHeight="false" outlineLevel="0" collapsed="false">
      <c r="A15" s="57"/>
      <c r="B15" s="57"/>
      <c r="C15" s="57"/>
      <c r="D15" s="57"/>
      <c r="E15" s="57"/>
      <c r="F15" s="58"/>
      <c r="G15" s="57"/>
      <c r="H15" s="58"/>
      <c r="I15" s="59"/>
      <c r="J15" s="59"/>
      <c r="K15" s="57"/>
      <c r="M15" s="57"/>
      <c r="N15" s="57"/>
      <c r="O15" s="57"/>
      <c r="P15" s="59"/>
      <c r="Q15" s="59"/>
      <c r="R15" s="59"/>
      <c r="S15" s="59"/>
      <c r="T15" s="59"/>
      <c r="U15" s="59"/>
      <c r="V15" s="29" t="str">
        <f aca="false">IF(P15="","",SUM(Q15:U15))</f>
        <v/>
      </c>
      <c r="W15" s="21" t="str">
        <f aca="false">IF(N(P15)=0,"",1-V15/P15)</f>
        <v/>
      </c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57"/>
      <c r="H16" s="58"/>
      <c r="I16" s="59"/>
      <c r="J16" s="59"/>
      <c r="K16" s="57"/>
      <c r="M16" s="57"/>
      <c r="N16" s="57"/>
      <c r="O16" s="57"/>
      <c r="P16" s="59"/>
      <c r="Q16" s="59"/>
      <c r="R16" s="59"/>
      <c r="S16" s="59"/>
      <c r="T16" s="59"/>
      <c r="U16" s="59"/>
      <c r="V16" s="29" t="str">
        <f aca="false">IF(P16="","",SUM(Q16:U16))</f>
        <v/>
      </c>
      <c r="W16" s="21" t="str">
        <f aca="false">IF(N(P16)=0,"",1-V16/P16)</f>
        <v/>
      </c>
    </row>
    <row r="17" customFormat="false" ht="15" hidden="false" customHeight="false" outlineLevel="0" collapsed="false">
      <c r="A17" s="57"/>
      <c r="B17" s="57"/>
      <c r="C17" s="57"/>
      <c r="D17" s="57"/>
      <c r="E17" s="57"/>
      <c r="F17" s="58"/>
      <c r="G17" s="57"/>
      <c r="H17" s="58"/>
      <c r="I17" s="59"/>
      <c r="J17" s="59"/>
      <c r="K17" s="57"/>
      <c r="M17" s="57"/>
      <c r="N17" s="57"/>
      <c r="O17" s="57"/>
      <c r="P17" s="59"/>
      <c r="Q17" s="59"/>
      <c r="R17" s="59"/>
      <c r="S17" s="59"/>
      <c r="T17" s="59"/>
      <c r="U17" s="59"/>
      <c r="V17" s="29" t="str">
        <f aca="false">IF(P17="","",SUM(Q17:U17))</f>
        <v/>
      </c>
      <c r="W17" s="21" t="str">
        <f aca="false">IF(N(P17)=0,"",1-V17/P17)</f>
        <v/>
      </c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57"/>
      <c r="H18" s="58"/>
      <c r="I18" s="59"/>
      <c r="J18" s="59"/>
      <c r="K18" s="57"/>
      <c r="M18" s="57"/>
      <c r="N18" s="57"/>
      <c r="O18" s="57"/>
      <c r="P18" s="59"/>
      <c r="Q18" s="59"/>
      <c r="R18" s="59"/>
      <c r="S18" s="59"/>
      <c r="T18" s="59"/>
      <c r="U18" s="59"/>
      <c r="V18" s="29" t="str">
        <f aca="false">IF(P18="","",SUM(Q18:U18))</f>
        <v/>
      </c>
      <c r="W18" s="21" t="str">
        <f aca="false">IF(N(P18)=0,"",1-V18/P18)</f>
        <v/>
      </c>
    </row>
    <row r="19" customFormat="false" ht="15" hidden="false" customHeight="false" outlineLevel="0" collapsed="false">
      <c r="A19" s="57"/>
      <c r="B19" s="57"/>
      <c r="C19" s="57"/>
      <c r="D19" s="57"/>
      <c r="E19" s="57"/>
      <c r="F19" s="58"/>
      <c r="G19" s="57"/>
      <c r="H19" s="58"/>
      <c r="I19" s="59"/>
      <c r="J19" s="59"/>
      <c r="K19" s="57"/>
      <c r="M19" s="57"/>
      <c r="N19" s="57"/>
      <c r="O19" s="57"/>
      <c r="P19" s="59"/>
      <c r="Q19" s="59"/>
      <c r="R19" s="59"/>
      <c r="S19" s="59"/>
      <c r="T19" s="59"/>
      <c r="U19" s="59"/>
      <c r="V19" s="29" t="str">
        <f aca="false">IF(P19="","",SUM(Q19:U19))</f>
        <v/>
      </c>
      <c r="W19" s="21" t="str">
        <f aca="false">IF(N(P19)=0,"",1-V19/P19)</f>
        <v/>
      </c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57"/>
      <c r="H20" s="58"/>
      <c r="I20" s="59"/>
      <c r="J20" s="59"/>
      <c r="K20" s="57"/>
      <c r="M20" s="57"/>
      <c r="N20" s="57"/>
      <c r="O20" s="57"/>
      <c r="P20" s="59"/>
      <c r="Q20" s="59"/>
      <c r="R20" s="59"/>
      <c r="S20" s="59"/>
      <c r="T20" s="59"/>
      <c r="U20" s="59"/>
      <c r="V20" s="29" t="str">
        <f aca="false">IF(P20="","",SUM(Q20:U20))</f>
        <v/>
      </c>
      <c r="W20" s="21" t="str">
        <f aca="false">IF(N(P20)=0,"",1-V20/P20)</f>
        <v/>
      </c>
    </row>
    <row r="21" customFormat="false" ht="15" hidden="false" customHeight="false" outlineLevel="0" collapsed="false">
      <c r="A21" s="57"/>
      <c r="B21" s="57"/>
      <c r="C21" s="57"/>
      <c r="D21" s="57"/>
      <c r="E21" s="57"/>
      <c r="F21" s="58"/>
      <c r="G21" s="57"/>
      <c r="H21" s="58"/>
      <c r="I21" s="59"/>
      <c r="J21" s="59"/>
      <c r="K21" s="57"/>
      <c r="M21" s="57"/>
      <c r="N21" s="57"/>
      <c r="O21" s="57"/>
      <c r="P21" s="59"/>
      <c r="Q21" s="59"/>
      <c r="R21" s="59"/>
      <c r="S21" s="59"/>
      <c r="T21" s="59"/>
      <c r="U21" s="59"/>
      <c r="V21" s="29" t="str">
        <f aca="false">IF(P21="","",SUM(Q21:U21))</f>
        <v/>
      </c>
      <c r="W21" s="21" t="str">
        <f aca="false">IF(N(P21)=0,"",1-V21/P21)</f>
        <v/>
      </c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57"/>
      <c r="H22" s="58"/>
      <c r="I22" s="59"/>
      <c r="J22" s="59"/>
      <c r="K22" s="57"/>
      <c r="M22" s="57"/>
      <c r="N22" s="57"/>
      <c r="O22" s="57"/>
      <c r="P22" s="59"/>
      <c r="Q22" s="59"/>
      <c r="R22" s="59"/>
      <c r="S22" s="59"/>
      <c r="T22" s="59"/>
      <c r="U22" s="59"/>
      <c r="V22" s="29" t="str">
        <f aca="false">IF(P22="","",SUM(Q22:U22))</f>
        <v/>
      </c>
      <c r="W22" s="21" t="str">
        <f aca="false">IF(N(P22)=0,"",1-V22/P22)</f>
        <v/>
      </c>
    </row>
    <row r="23" customFormat="false" ht="15" hidden="false" customHeight="false" outlineLevel="0" collapsed="false">
      <c r="A23" s="57"/>
      <c r="B23" s="57"/>
      <c r="C23" s="57"/>
      <c r="D23" s="57"/>
      <c r="E23" s="57"/>
      <c r="F23" s="58"/>
      <c r="G23" s="57"/>
      <c r="H23" s="58"/>
      <c r="I23" s="59"/>
      <c r="J23" s="59"/>
      <c r="K23" s="57"/>
      <c r="M23" s="57"/>
      <c r="N23" s="57"/>
      <c r="O23" s="57"/>
      <c r="P23" s="59"/>
      <c r="Q23" s="59"/>
      <c r="R23" s="59"/>
      <c r="S23" s="59"/>
      <c r="T23" s="59"/>
      <c r="U23" s="59"/>
      <c r="V23" s="29" t="str">
        <f aca="false">IF(P23="","",SUM(Q23:U23))</f>
        <v/>
      </c>
      <c r="W23" s="21" t="str">
        <f aca="false">IF(N(P23)=0,"",1-V23/P23)</f>
        <v/>
      </c>
    </row>
    <row r="24" customFormat="false" ht="15" hidden="false" customHeight="false" outlineLevel="0" collapsed="false">
      <c r="A24" s="57"/>
      <c r="B24" s="57"/>
      <c r="C24" s="57"/>
      <c r="D24" s="57"/>
      <c r="E24" s="57"/>
      <c r="F24" s="58"/>
      <c r="G24" s="57"/>
      <c r="H24" s="58"/>
      <c r="I24" s="59"/>
      <c r="J24" s="59"/>
      <c r="K24" s="57"/>
      <c r="M24" s="57"/>
      <c r="N24" s="57"/>
      <c r="O24" s="57"/>
      <c r="P24" s="59"/>
      <c r="Q24" s="59"/>
      <c r="R24" s="59"/>
      <c r="S24" s="59"/>
      <c r="T24" s="59"/>
      <c r="U24" s="59"/>
      <c r="V24" s="29" t="str">
        <f aca="false">IF(P24="","",SUM(Q24:U24))</f>
        <v/>
      </c>
      <c r="W24" s="21" t="str">
        <f aca="false">IF(N(P24)=0,"",1-V24/P24)</f>
        <v/>
      </c>
    </row>
    <row r="25" customFormat="false" ht="15" hidden="false" customHeight="false" outlineLevel="0" collapsed="false">
      <c r="A25" s="57"/>
      <c r="B25" s="57"/>
      <c r="C25" s="57"/>
      <c r="D25" s="57"/>
      <c r="E25" s="57"/>
      <c r="F25" s="58"/>
      <c r="G25" s="57"/>
      <c r="H25" s="58"/>
      <c r="I25" s="59"/>
      <c r="J25" s="59"/>
      <c r="K25" s="57"/>
      <c r="M25" s="57"/>
      <c r="N25" s="57"/>
      <c r="O25" s="57"/>
      <c r="P25" s="59"/>
      <c r="Q25" s="59"/>
      <c r="R25" s="59"/>
      <c r="S25" s="59"/>
      <c r="T25" s="59"/>
      <c r="U25" s="59"/>
      <c r="V25" s="29" t="str">
        <f aca="false">IF(P25="","",SUM(Q25:U25))</f>
        <v/>
      </c>
      <c r="W25" s="21" t="str">
        <f aca="false">IF(N(P25)=0,"",1-V25/P25)</f>
        <v/>
      </c>
    </row>
    <row r="26" customFormat="false" ht="15" hidden="false" customHeight="false" outlineLevel="0" collapsed="false">
      <c r="A26" s="57"/>
      <c r="B26" s="57"/>
      <c r="C26" s="57"/>
      <c r="D26" s="57"/>
      <c r="E26" s="57"/>
      <c r="F26" s="58"/>
      <c r="G26" s="57"/>
      <c r="H26" s="58"/>
      <c r="I26" s="59"/>
      <c r="J26" s="59"/>
      <c r="K26" s="57"/>
      <c r="M26" s="57"/>
      <c r="N26" s="57"/>
      <c r="O26" s="57"/>
      <c r="P26" s="59"/>
      <c r="Q26" s="59"/>
      <c r="R26" s="59"/>
      <c r="S26" s="59"/>
      <c r="T26" s="59"/>
      <c r="U26" s="59"/>
      <c r="V26" s="29" t="str">
        <f aca="false">IF(P26="","",SUM(Q26:U26))</f>
        <v/>
      </c>
      <c r="W26" s="21" t="str">
        <f aca="false">IF(N(P26)=0,"",1-V26/P26)</f>
        <v/>
      </c>
    </row>
    <row r="27" customFormat="false" ht="15" hidden="false" customHeight="false" outlineLevel="0" collapsed="false">
      <c r="A27" s="57"/>
      <c r="B27" s="57"/>
      <c r="C27" s="57"/>
      <c r="D27" s="57"/>
      <c r="E27" s="57"/>
      <c r="F27" s="58"/>
      <c r="G27" s="57"/>
      <c r="H27" s="58"/>
      <c r="I27" s="59"/>
      <c r="J27" s="59"/>
      <c r="K27" s="57"/>
      <c r="M27" s="57"/>
      <c r="N27" s="57"/>
      <c r="O27" s="57"/>
      <c r="P27" s="59"/>
      <c r="Q27" s="59"/>
      <c r="R27" s="59"/>
      <c r="S27" s="59"/>
      <c r="T27" s="59"/>
      <c r="U27" s="59"/>
      <c r="V27" s="29" t="str">
        <f aca="false">IF(P27="","",SUM(Q27:U27))</f>
        <v/>
      </c>
      <c r="W27" s="21" t="str">
        <f aca="false">IF(N(P27)=0,"",1-V27/P27)</f>
        <v/>
      </c>
    </row>
    <row r="28" customFormat="false" ht="15" hidden="false" customHeight="false" outlineLevel="0" collapsed="false">
      <c r="A28" s="57"/>
      <c r="B28" s="57"/>
      <c r="C28" s="57"/>
      <c r="D28" s="57"/>
      <c r="E28" s="57"/>
      <c r="F28" s="58"/>
      <c r="G28" s="57"/>
      <c r="H28" s="58"/>
      <c r="I28" s="59"/>
      <c r="J28" s="59"/>
      <c r="K28" s="57"/>
      <c r="M28" s="57"/>
      <c r="N28" s="57"/>
      <c r="O28" s="57"/>
      <c r="P28" s="59"/>
      <c r="Q28" s="59"/>
      <c r="R28" s="59"/>
      <c r="S28" s="59"/>
      <c r="T28" s="59"/>
      <c r="U28" s="59"/>
      <c r="V28" s="29" t="str">
        <f aca="false">IF(P28="","",SUM(Q28:U28))</f>
        <v/>
      </c>
      <c r="W28" s="21" t="str">
        <f aca="false">IF(N(P28)=0,"",1-V28/P28)</f>
        <v/>
      </c>
    </row>
    <row r="29" customFormat="false" ht="15" hidden="false" customHeight="false" outlineLevel="0" collapsed="false">
      <c r="A29" s="57"/>
      <c r="B29" s="57"/>
      <c r="C29" s="57"/>
      <c r="D29" s="57"/>
      <c r="E29" s="57"/>
      <c r="F29" s="58"/>
      <c r="G29" s="57"/>
      <c r="H29" s="58"/>
      <c r="I29" s="59"/>
      <c r="J29" s="59"/>
      <c r="K29" s="57"/>
      <c r="M29" s="57"/>
      <c r="N29" s="57"/>
      <c r="O29" s="57"/>
      <c r="P29" s="59"/>
      <c r="Q29" s="59"/>
      <c r="R29" s="59"/>
      <c r="S29" s="59"/>
      <c r="T29" s="59"/>
      <c r="U29" s="59"/>
      <c r="V29" s="29" t="str">
        <f aca="false">IF(P29="","",SUM(Q29:U29))</f>
        <v/>
      </c>
      <c r="W29" s="21" t="str">
        <f aca="false">IF(N(P29)=0,"",1-V29/P29)</f>
        <v/>
      </c>
    </row>
    <row r="30" customFormat="false" ht="15" hidden="false" customHeight="false" outlineLevel="0" collapsed="false">
      <c r="A30" s="57"/>
      <c r="B30" s="57"/>
      <c r="C30" s="57"/>
      <c r="D30" s="57"/>
      <c r="E30" s="57"/>
      <c r="F30" s="58"/>
      <c r="G30" s="57"/>
      <c r="H30" s="58"/>
      <c r="I30" s="59"/>
      <c r="J30" s="59"/>
      <c r="K30" s="57"/>
      <c r="M30" s="57"/>
      <c r="N30" s="57"/>
      <c r="O30" s="57"/>
      <c r="P30" s="59"/>
      <c r="Q30" s="59"/>
      <c r="R30" s="59"/>
      <c r="S30" s="59"/>
      <c r="T30" s="59"/>
      <c r="U30" s="59"/>
      <c r="V30" s="29" t="str">
        <f aca="false">IF(P30="","",SUM(Q30:U30))</f>
        <v/>
      </c>
      <c r="W30" s="21" t="str">
        <f aca="false">IF(N(P30)=0,"",1-V30/P30)</f>
        <v/>
      </c>
    </row>
    <row r="31" customFormat="false" ht="15" hidden="false" customHeight="false" outlineLevel="0" collapsed="false">
      <c r="A31" s="57"/>
      <c r="B31" s="57"/>
      <c r="C31" s="57"/>
      <c r="D31" s="57"/>
      <c r="E31" s="57"/>
      <c r="F31" s="58"/>
      <c r="G31" s="57"/>
      <c r="H31" s="58"/>
      <c r="I31" s="59"/>
      <c r="J31" s="59"/>
      <c r="K31" s="57"/>
      <c r="M31" s="57"/>
      <c r="N31" s="57"/>
      <c r="O31" s="57"/>
      <c r="P31" s="59"/>
      <c r="Q31" s="59"/>
      <c r="R31" s="59"/>
      <c r="S31" s="59"/>
      <c r="T31" s="59"/>
      <c r="U31" s="59"/>
      <c r="V31" s="29" t="str">
        <f aca="false">IF(P31="","",SUM(Q31:U31))</f>
        <v/>
      </c>
      <c r="W31" s="21" t="str">
        <f aca="false">IF(N(P31)=0,"",1-V31/P31)</f>
        <v/>
      </c>
    </row>
    <row r="32" customFormat="false" ht="15" hidden="false" customHeight="false" outlineLevel="0" collapsed="false">
      <c r="A32" s="57"/>
      <c r="B32" s="57"/>
      <c r="C32" s="57"/>
      <c r="D32" s="57"/>
      <c r="E32" s="57"/>
      <c r="F32" s="58"/>
      <c r="G32" s="57"/>
      <c r="H32" s="58"/>
      <c r="I32" s="59"/>
      <c r="J32" s="59"/>
      <c r="K32" s="57"/>
      <c r="M32" s="57"/>
      <c r="N32" s="57"/>
      <c r="O32" s="57"/>
      <c r="P32" s="59"/>
      <c r="Q32" s="59"/>
      <c r="R32" s="59"/>
      <c r="S32" s="59"/>
      <c r="T32" s="59"/>
      <c r="U32" s="59"/>
      <c r="V32" s="29" t="str">
        <f aca="false">IF(P32="","",SUM(Q32:U32))</f>
        <v/>
      </c>
      <c r="W32" s="21" t="str">
        <f aca="false">IF(N(P32)=0,"",1-V32/P32)</f>
        <v/>
      </c>
    </row>
    <row r="33" customFormat="false" ht="15" hidden="false" customHeight="false" outlineLevel="0" collapsed="false">
      <c r="A33" s="57"/>
      <c r="B33" s="57"/>
      <c r="C33" s="57"/>
      <c r="D33" s="57"/>
      <c r="E33" s="57"/>
      <c r="F33" s="58"/>
      <c r="G33" s="57"/>
      <c r="H33" s="58"/>
      <c r="I33" s="59"/>
      <c r="J33" s="59"/>
      <c r="K33" s="57"/>
      <c r="M33" s="57"/>
      <c r="N33" s="57"/>
      <c r="O33" s="57"/>
      <c r="P33" s="59"/>
      <c r="Q33" s="59"/>
      <c r="R33" s="59"/>
      <c r="S33" s="59"/>
      <c r="T33" s="59"/>
      <c r="U33" s="59"/>
      <c r="V33" s="29" t="str">
        <f aca="false">IF(P33="","",SUM(Q33:U33))</f>
        <v/>
      </c>
      <c r="W33" s="21" t="str">
        <f aca="false">IF(N(P33)=0,"",1-V33/P33)</f>
        <v/>
      </c>
    </row>
    <row r="34" customFormat="false" ht="15" hidden="false" customHeight="false" outlineLevel="0" collapsed="false">
      <c r="A34" s="57"/>
      <c r="B34" s="57"/>
      <c r="C34" s="57"/>
      <c r="D34" s="57"/>
      <c r="E34" s="57"/>
      <c r="F34" s="58"/>
      <c r="G34" s="57"/>
      <c r="H34" s="58"/>
      <c r="I34" s="59"/>
      <c r="J34" s="59"/>
      <c r="K34" s="57"/>
      <c r="M34" s="57"/>
      <c r="N34" s="57"/>
      <c r="O34" s="57"/>
      <c r="P34" s="59"/>
      <c r="Q34" s="59"/>
      <c r="R34" s="59"/>
      <c r="S34" s="59"/>
      <c r="T34" s="59"/>
      <c r="U34" s="59"/>
      <c r="V34" s="29" t="str">
        <f aca="false">IF(P34="","",SUM(Q34:U34))</f>
        <v/>
      </c>
      <c r="W34" s="21" t="str">
        <f aca="false">IF(N(P34)=0,"",1-V34/P34)</f>
        <v/>
      </c>
    </row>
    <row r="35" customFormat="false" ht="15" hidden="false" customHeight="false" outlineLevel="0" collapsed="false">
      <c r="A35" s="57"/>
      <c r="B35" s="57"/>
      <c r="C35" s="57"/>
      <c r="D35" s="57"/>
      <c r="E35" s="57"/>
      <c r="F35" s="58"/>
      <c r="G35" s="57"/>
      <c r="H35" s="58"/>
      <c r="I35" s="59"/>
      <c r="J35" s="59"/>
      <c r="K35" s="57"/>
      <c r="M35" s="57"/>
      <c r="N35" s="57"/>
      <c r="O35" s="57"/>
      <c r="P35" s="59"/>
      <c r="Q35" s="59"/>
      <c r="R35" s="59"/>
      <c r="S35" s="59"/>
      <c r="T35" s="59"/>
      <c r="U35" s="59"/>
      <c r="V35" s="29" t="str">
        <f aca="false">IF(P35="","",SUM(Q35:U35))</f>
        <v/>
      </c>
      <c r="W35" s="21" t="str">
        <f aca="false">IF(N(P35)=0,"",1-V35/P35)</f>
        <v/>
      </c>
    </row>
    <row r="36" customFormat="false" ht="15" hidden="false" customHeight="false" outlineLevel="0" collapsed="false">
      <c r="A36" s="57"/>
      <c r="B36" s="57"/>
      <c r="C36" s="57"/>
      <c r="D36" s="57"/>
      <c r="E36" s="57"/>
      <c r="F36" s="58"/>
      <c r="G36" s="57"/>
      <c r="H36" s="58"/>
      <c r="I36" s="59"/>
      <c r="J36" s="59"/>
      <c r="K36" s="57"/>
      <c r="M36" s="57"/>
      <c r="N36" s="57"/>
      <c r="O36" s="57"/>
      <c r="P36" s="59"/>
      <c r="Q36" s="59"/>
      <c r="R36" s="59"/>
      <c r="S36" s="59"/>
      <c r="T36" s="59"/>
      <c r="U36" s="59"/>
      <c r="V36" s="29" t="str">
        <f aca="false">IF(P36="","",SUM(Q36:U36))</f>
        <v/>
      </c>
      <c r="W36" s="21" t="str">
        <f aca="false">IF(N(P36)=0,"",1-V36/P36)</f>
        <v/>
      </c>
    </row>
    <row r="37" customFormat="false" ht="15" hidden="false" customHeight="false" outlineLevel="0" collapsed="false">
      <c r="A37" s="57"/>
      <c r="B37" s="57"/>
      <c r="C37" s="57"/>
      <c r="D37" s="57"/>
      <c r="E37" s="57"/>
      <c r="F37" s="58"/>
      <c r="G37" s="57"/>
      <c r="H37" s="58"/>
      <c r="I37" s="59"/>
      <c r="J37" s="59"/>
      <c r="K37" s="57"/>
      <c r="M37" s="57"/>
      <c r="N37" s="57"/>
      <c r="O37" s="57"/>
      <c r="P37" s="59"/>
      <c r="Q37" s="59"/>
      <c r="R37" s="59"/>
      <c r="S37" s="59"/>
      <c r="T37" s="59"/>
      <c r="U37" s="59"/>
      <c r="V37" s="29" t="str">
        <f aca="false">IF(P37="","",SUM(Q37:U37))</f>
        <v/>
      </c>
      <c r="W37" s="21" t="str">
        <f aca="false">IF(N(P37)=0,"",1-V37/P37)</f>
        <v/>
      </c>
    </row>
    <row r="38" customFormat="false" ht="15" hidden="false" customHeight="false" outlineLevel="0" collapsed="false">
      <c r="A38" s="57"/>
      <c r="B38" s="57"/>
      <c r="C38" s="57"/>
      <c r="D38" s="57"/>
      <c r="E38" s="57"/>
      <c r="F38" s="58"/>
      <c r="G38" s="57"/>
      <c r="H38" s="58"/>
      <c r="I38" s="59"/>
      <c r="J38" s="59"/>
      <c r="K38" s="57"/>
      <c r="M38" s="57"/>
      <c r="N38" s="57"/>
      <c r="O38" s="57"/>
      <c r="P38" s="59"/>
      <c r="Q38" s="59"/>
      <c r="R38" s="59"/>
      <c r="S38" s="59"/>
      <c r="T38" s="59"/>
      <c r="U38" s="59"/>
      <c r="V38" s="29" t="str">
        <f aca="false">IF(P38="","",SUM(Q38:U38))</f>
        <v/>
      </c>
      <c r="W38" s="21" t="str">
        <f aca="false">IF(N(P38)=0,"",1-V38/P38)</f>
        <v/>
      </c>
    </row>
    <row r="39" customFormat="false" ht="15" hidden="false" customHeight="false" outlineLevel="0" collapsed="false">
      <c r="A39" s="57"/>
      <c r="B39" s="57"/>
      <c r="C39" s="57"/>
      <c r="D39" s="57"/>
      <c r="E39" s="57"/>
      <c r="F39" s="58"/>
      <c r="G39" s="57"/>
      <c r="H39" s="58"/>
      <c r="I39" s="59"/>
      <c r="J39" s="59"/>
      <c r="K39" s="57"/>
      <c r="M39" s="57"/>
      <c r="N39" s="57"/>
      <c r="O39" s="57"/>
      <c r="P39" s="59"/>
      <c r="Q39" s="59"/>
      <c r="R39" s="59"/>
      <c r="S39" s="59"/>
      <c r="T39" s="59"/>
      <c r="U39" s="59"/>
      <c r="V39" s="29" t="str">
        <f aca="false">IF(P39="","",SUM(Q39:U39))</f>
        <v/>
      </c>
      <c r="W39" s="21" t="str">
        <f aca="false">IF(N(P39)=0,"",1-V39/P39)</f>
        <v/>
      </c>
    </row>
    <row r="40" customFormat="false" ht="15" hidden="false" customHeight="false" outlineLevel="0" collapsed="false">
      <c r="A40" s="57"/>
      <c r="B40" s="57"/>
      <c r="C40" s="57"/>
      <c r="D40" s="57"/>
      <c r="E40" s="57"/>
      <c r="F40" s="58"/>
      <c r="G40" s="57"/>
      <c r="H40" s="58"/>
      <c r="I40" s="59"/>
      <c r="J40" s="59"/>
      <c r="K40" s="57"/>
      <c r="M40" s="57"/>
      <c r="N40" s="57"/>
      <c r="O40" s="57"/>
      <c r="P40" s="59"/>
      <c r="Q40" s="59"/>
      <c r="R40" s="59"/>
      <c r="S40" s="59"/>
      <c r="T40" s="59"/>
      <c r="U40" s="59"/>
      <c r="V40" s="29" t="str">
        <f aca="false">IF(P40="","",SUM(Q40:U40))</f>
        <v/>
      </c>
      <c r="W40" s="21" t="str">
        <f aca="false">IF(N(P40)=0,"",1-V40/P40)</f>
        <v/>
      </c>
    </row>
    <row r="41" customFormat="false" ht="15" hidden="false" customHeight="false" outlineLevel="0" collapsed="false">
      <c r="A41" s="57"/>
      <c r="B41" s="57"/>
      <c r="C41" s="57"/>
      <c r="D41" s="57"/>
      <c r="E41" s="57"/>
      <c r="F41" s="58"/>
      <c r="G41" s="57"/>
      <c r="H41" s="58"/>
      <c r="I41" s="59"/>
      <c r="J41" s="59"/>
      <c r="K41" s="57"/>
      <c r="M41" s="57"/>
      <c r="N41" s="57"/>
      <c r="O41" s="57"/>
      <c r="P41" s="59"/>
      <c r="Q41" s="59"/>
      <c r="R41" s="59"/>
      <c r="S41" s="59"/>
      <c r="T41" s="59"/>
      <c r="U41" s="59"/>
      <c r="V41" s="29" t="str">
        <f aca="false">IF(P41="","",SUM(Q41:U41))</f>
        <v/>
      </c>
      <c r="W41" s="21" t="str">
        <f aca="false">IF(N(P41)=0,"",1-V41/P41)</f>
        <v/>
      </c>
    </row>
    <row r="42" customFormat="false" ht="15" hidden="false" customHeight="false" outlineLevel="0" collapsed="false">
      <c r="A42" s="57"/>
      <c r="B42" s="57"/>
      <c r="C42" s="57"/>
      <c r="D42" s="57"/>
      <c r="E42" s="57"/>
      <c r="F42" s="58"/>
      <c r="G42" s="57"/>
      <c r="H42" s="58"/>
      <c r="I42" s="59"/>
      <c r="J42" s="59"/>
      <c r="K42" s="57"/>
      <c r="M42" s="57"/>
      <c r="N42" s="57"/>
      <c r="O42" s="57"/>
      <c r="P42" s="59"/>
      <c r="Q42" s="59"/>
      <c r="R42" s="59"/>
      <c r="S42" s="59"/>
      <c r="T42" s="59"/>
      <c r="U42" s="59"/>
      <c r="V42" s="29" t="str">
        <f aca="false">IF(P42="","",SUM(Q42:U42))</f>
        <v/>
      </c>
      <c r="W42" s="21" t="str">
        <f aca="false">IF(N(P42)=0,"",1-V42/P42)</f>
        <v/>
      </c>
    </row>
    <row r="43" customFormat="false" ht="15" hidden="false" customHeight="false" outlineLevel="0" collapsed="false">
      <c r="A43" s="57"/>
      <c r="B43" s="57"/>
      <c r="C43" s="57"/>
      <c r="D43" s="57"/>
      <c r="E43" s="57"/>
      <c r="F43" s="58"/>
      <c r="G43" s="57"/>
      <c r="H43" s="58"/>
      <c r="I43" s="59"/>
      <c r="J43" s="59"/>
      <c r="K43" s="57"/>
      <c r="M43" s="57"/>
      <c r="N43" s="57"/>
      <c r="O43" s="57"/>
      <c r="P43" s="59"/>
      <c r="Q43" s="59"/>
      <c r="R43" s="59"/>
      <c r="S43" s="59"/>
      <c r="T43" s="59"/>
      <c r="U43" s="59"/>
      <c r="V43" s="29" t="str">
        <f aca="false">IF(P43="","",SUM(Q43:U43))</f>
        <v/>
      </c>
      <c r="W43" s="21" t="str">
        <f aca="false">IF(N(P43)=0,"",1-V43/P43)</f>
        <v/>
      </c>
    </row>
    <row r="44" customFormat="false" ht="15" hidden="false" customHeight="false" outlineLevel="0" collapsed="false">
      <c r="A44" s="57"/>
      <c r="B44" s="57"/>
      <c r="C44" s="57"/>
      <c r="D44" s="57"/>
      <c r="E44" s="57"/>
      <c r="F44" s="58"/>
      <c r="G44" s="57"/>
      <c r="H44" s="58"/>
      <c r="I44" s="59"/>
      <c r="J44" s="59"/>
      <c r="K44" s="57"/>
      <c r="M44" s="57"/>
      <c r="N44" s="57"/>
      <c r="O44" s="57"/>
      <c r="P44" s="59"/>
      <c r="Q44" s="59"/>
      <c r="R44" s="59"/>
      <c r="S44" s="59"/>
      <c r="T44" s="59"/>
      <c r="U44" s="59"/>
      <c r="V44" s="29" t="str">
        <f aca="false">IF(P44="","",SUM(Q44:U44))</f>
        <v/>
      </c>
      <c r="W44" s="21" t="str">
        <f aca="false">IF(N(P44)=0,"",1-V44/P44)</f>
        <v/>
      </c>
    </row>
    <row r="45" customFormat="false" ht="15" hidden="false" customHeight="false" outlineLevel="0" collapsed="false">
      <c r="A45" s="57"/>
      <c r="B45" s="57"/>
      <c r="C45" s="57"/>
      <c r="D45" s="57"/>
      <c r="E45" s="57"/>
      <c r="F45" s="58"/>
      <c r="G45" s="57"/>
      <c r="H45" s="58"/>
      <c r="I45" s="59"/>
      <c r="J45" s="59"/>
      <c r="K45" s="57"/>
      <c r="M45" s="57"/>
      <c r="N45" s="57"/>
      <c r="O45" s="57"/>
      <c r="P45" s="59"/>
      <c r="Q45" s="59"/>
      <c r="R45" s="59"/>
      <c r="S45" s="59"/>
      <c r="T45" s="59"/>
      <c r="U45" s="59"/>
      <c r="V45" s="29" t="str">
        <f aca="false">IF(P45="","",SUM(Q45:U45))</f>
        <v/>
      </c>
      <c r="W45" s="21" t="str">
        <f aca="false">IF(N(P45)=0,"",1-V45/P45)</f>
        <v/>
      </c>
    </row>
    <row r="46" customFormat="false" ht="15" hidden="false" customHeight="false" outlineLevel="0" collapsed="false">
      <c r="A46" s="57"/>
      <c r="B46" s="57"/>
      <c r="C46" s="57"/>
      <c r="D46" s="57"/>
      <c r="E46" s="57"/>
      <c r="F46" s="58"/>
      <c r="G46" s="57"/>
      <c r="H46" s="58"/>
      <c r="I46" s="59"/>
      <c r="J46" s="59"/>
      <c r="K46" s="57"/>
      <c r="M46" s="57"/>
      <c r="N46" s="57"/>
      <c r="O46" s="57"/>
      <c r="P46" s="59"/>
      <c r="Q46" s="59"/>
      <c r="R46" s="59"/>
      <c r="S46" s="59"/>
      <c r="T46" s="59"/>
      <c r="U46" s="59"/>
      <c r="V46" s="29" t="str">
        <f aca="false">IF(P46="","",SUM(Q46:U46))</f>
        <v/>
      </c>
      <c r="W46" s="21" t="str">
        <f aca="false">IF(N(P46)=0,"",1-V46/P46)</f>
        <v/>
      </c>
    </row>
    <row r="47" customFormat="false" ht="15" hidden="false" customHeight="false" outlineLevel="0" collapsed="false">
      <c r="A47" s="57"/>
      <c r="B47" s="57"/>
      <c r="C47" s="57"/>
      <c r="D47" s="57"/>
      <c r="E47" s="57"/>
      <c r="F47" s="58"/>
      <c r="G47" s="57"/>
      <c r="H47" s="58"/>
      <c r="I47" s="59"/>
      <c r="J47" s="59"/>
      <c r="K47" s="57"/>
      <c r="M47" s="57"/>
      <c r="N47" s="57"/>
      <c r="O47" s="57"/>
      <c r="P47" s="59"/>
      <c r="Q47" s="59"/>
      <c r="R47" s="59"/>
      <c r="S47" s="59"/>
      <c r="T47" s="59"/>
      <c r="U47" s="59"/>
      <c r="V47" s="29" t="str">
        <f aca="false">IF(P47="","",SUM(Q47:U47))</f>
        <v/>
      </c>
      <c r="W47" s="21" t="str">
        <f aca="false">IF(N(P47)=0,"",1-V47/P47)</f>
        <v/>
      </c>
    </row>
    <row r="48" customFormat="false" ht="15" hidden="false" customHeight="false" outlineLevel="0" collapsed="false">
      <c r="A48" s="57"/>
      <c r="B48" s="57"/>
      <c r="C48" s="57"/>
      <c r="D48" s="57"/>
      <c r="E48" s="57"/>
      <c r="F48" s="58"/>
      <c r="G48" s="57"/>
      <c r="H48" s="58"/>
      <c r="I48" s="59"/>
      <c r="J48" s="59"/>
      <c r="K48" s="57"/>
      <c r="M48" s="57"/>
      <c r="N48" s="57"/>
      <c r="O48" s="57"/>
      <c r="P48" s="59"/>
      <c r="Q48" s="59"/>
      <c r="R48" s="59"/>
      <c r="S48" s="59"/>
      <c r="T48" s="59"/>
      <c r="U48" s="59"/>
      <c r="V48" s="29" t="str">
        <f aca="false">IF(P48="","",SUM(Q48:U48))</f>
        <v/>
      </c>
      <c r="W48" s="21" t="str">
        <f aca="false">IF(N(P48)=0,"",1-V48/P48)</f>
        <v/>
      </c>
    </row>
    <row r="49" customFormat="false" ht="15" hidden="false" customHeight="false" outlineLevel="0" collapsed="false">
      <c r="A49" s="57"/>
      <c r="B49" s="57"/>
      <c r="C49" s="57"/>
      <c r="D49" s="57"/>
      <c r="E49" s="57"/>
      <c r="F49" s="58"/>
      <c r="G49" s="57"/>
      <c r="H49" s="58"/>
      <c r="I49" s="59"/>
      <c r="J49" s="59"/>
      <c r="K49" s="57"/>
      <c r="M49" s="57"/>
      <c r="N49" s="57"/>
      <c r="O49" s="57"/>
      <c r="P49" s="59"/>
      <c r="Q49" s="59"/>
      <c r="R49" s="59"/>
      <c r="S49" s="59"/>
      <c r="T49" s="59"/>
      <c r="U49" s="59"/>
      <c r="V49" s="29" t="str">
        <f aca="false">IF(P49="","",SUM(Q49:U49))</f>
        <v/>
      </c>
      <c r="W49" s="21" t="str">
        <f aca="false">IF(N(P49)=0,"",1-V49/P49)</f>
        <v/>
      </c>
    </row>
    <row r="50" customFormat="false" ht="15" hidden="false" customHeight="false" outlineLevel="0" collapsed="false">
      <c r="A50" s="57"/>
      <c r="B50" s="57"/>
      <c r="C50" s="57"/>
      <c r="D50" s="57"/>
      <c r="E50" s="57"/>
      <c r="F50" s="58"/>
      <c r="G50" s="57"/>
      <c r="H50" s="58"/>
      <c r="I50" s="59"/>
      <c r="J50" s="59"/>
      <c r="K50" s="57"/>
      <c r="M50" s="57"/>
      <c r="N50" s="57"/>
      <c r="O50" s="57"/>
      <c r="P50" s="59"/>
      <c r="Q50" s="59"/>
      <c r="R50" s="59"/>
      <c r="S50" s="59"/>
      <c r="T50" s="59"/>
      <c r="U50" s="59"/>
      <c r="V50" s="29" t="str">
        <f aca="false">IF(P50="","",SUM(Q50:U50))</f>
        <v/>
      </c>
      <c r="W50" s="21" t="str">
        <f aca="false">IF(N(P50)=0,"",1-V50/P50)</f>
        <v/>
      </c>
    </row>
    <row r="51" customFormat="false" ht="15" hidden="false" customHeight="false" outlineLevel="0" collapsed="false">
      <c r="A51" s="57"/>
      <c r="B51" s="57"/>
      <c r="C51" s="57"/>
      <c r="D51" s="57"/>
      <c r="E51" s="57"/>
      <c r="F51" s="58"/>
      <c r="G51" s="57"/>
      <c r="H51" s="58"/>
      <c r="I51" s="59"/>
      <c r="J51" s="59"/>
      <c r="K51" s="57"/>
      <c r="M51" s="57"/>
      <c r="N51" s="57"/>
      <c r="O51" s="57"/>
      <c r="P51" s="59"/>
      <c r="Q51" s="59"/>
      <c r="R51" s="59"/>
      <c r="S51" s="59"/>
      <c r="T51" s="59"/>
      <c r="U51" s="59"/>
      <c r="V51" s="29" t="str">
        <f aca="false">IF(P51="","",SUM(Q51:U51))</f>
        <v/>
      </c>
      <c r="W51" s="21" t="str">
        <f aca="false">IF(N(P51)=0,"",1-V51/P51)</f>
        <v/>
      </c>
    </row>
    <row r="52" customFormat="false" ht="15" hidden="false" customHeight="false" outlineLevel="0" collapsed="false">
      <c r="A52" s="57"/>
      <c r="B52" s="57"/>
      <c r="C52" s="57"/>
      <c r="D52" s="57"/>
      <c r="E52" s="57"/>
      <c r="F52" s="58"/>
      <c r="G52" s="57"/>
      <c r="H52" s="58"/>
      <c r="I52" s="59"/>
      <c r="J52" s="59"/>
      <c r="K52" s="57"/>
      <c r="M52" s="57"/>
      <c r="N52" s="57"/>
      <c r="O52" s="57"/>
      <c r="P52" s="59"/>
      <c r="Q52" s="59"/>
      <c r="R52" s="59"/>
      <c r="S52" s="59"/>
      <c r="T52" s="59"/>
      <c r="U52" s="59"/>
      <c r="V52" s="29" t="str">
        <f aca="false">IF(P52="","",SUM(Q52:U52))</f>
        <v/>
      </c>
      <c r="W52" s="21" t="str">
        <f aca="false">IF(N(P52)=0,"",1-V52/P52)</f>
        <v/>
      </c>
    </row>
    <row r="53" customFormat="false" ht="15" hidden="false" customHeight="false" outlineLevel="0" collapsed="false">
      <c r="A53" s="57"/>
      <c r="B53" s="57"/>
      <c r="C53" s="57"/>
      <c r="D53" s="57"/>
      <c r="E53" s="57"/>
      <c r="F53" s="58"/>
      <c r="G53" s="57"/>
      <c r="H53" s="58"/>
      <c r="I53" s="59"/>
      <c r="J53" s="59"/>
      <c r="K53" s="57"/>
      <c r="M53" s="57"/>
      <c r="N53" s="57"/>
      <c r="O53" s="57"/>
      <c r="P53" s="59"/>
      <c r="Q53" s="59"/>
      <c r="R53" s="59"/>
      <c r="S53" s="59"/>
      <c r="T53" s="59"/>
      <c r="U53" s="59"/>
      <c r="V53" s="29" t="str">
        <f aca="false">IF(P53="","",SUM(Q53:U53))</f>
        <v/>
      </c>
      <c r="W53" s="21" t="str">
        <f aca="false">IF(N(P53)=0,"",1-V53/P53)</f>
        <v/>
      </c>
    </row>
    <row r="54" customFormat="false" ht="15" hidden="false" customHeight="false" outlineLevel="0" collapsed="false">
      <c r="A54" s="57"/>
      <c r="B54" s="57"/>
      <c r="C54" s="57"/>
      <c r="D54" s="57"/>
      <c r="E54" s="57"/>
      <c r="F54" s="58"/>
      <c r="G54" s="57"/>
      <c r="H54" s="58"/>
      <c r="I54" s="59"/>
      <c r="J54" s="59"/>
      <c r="K54" s="57"/>
      <c r="M54" s="57"/>
      <c r="N54" s="57"/>
      <c r="O54" s="57"/>
      <c r="P54" s="59"/>
      <c r="Q54" s="59"/>
      <c r="R54" s="59"/>
      <c r="S54" s="59"/>
      <c r="T54" s="59"/>
      <c r="U54" s="59"/>
      <c r="V54" s="29" t="str">
        <f aca="false">IF(P54="","",SUM(Q54:U54))</f>
        <v/>
      </c>
      <c r="W54" s="21" t="str">
        <f aca="false">IF(N(P54)=0,"",1-V54/P54)</f>
        <v/>
      </c>
    </row>
    <row r="55" customFormat="false" ht="15" hidden="false" customHeight="false" outlineLevel="0" collapsed="false">
      <c r="A55" s="57"/>
      <c r="B55" s="57"/>
      <c r="C55" s="57"/>
      <c r="D55" s="57"/>
      <c r="E55" s="57"/>
      <c r="F55" s="58"/>
      <c r="G55" s="57"/>
      <c r="H55" s="58"/>
      <c r="I55" s="59"/>
      <c r="J55" s="59"/>
      <c r="K55" s="57"/>
      <c r="M55" s="57"/>
      <c r="N55" s="57"/>
      <c r="O55" s="57"/>
      <c r="P55" s="59"/>
      <c r="Q55" s="59"/>
      <c r="R55" s="59"/>
      <c r="S55" s="59"/>
      <c r="T55" s="59"/>
      <c r="U55" s="59"/>
      <c r="V55" s="29" t="str">
        <f aca="false">IF(P55="","",SUM(Q55:U55))</f>
        <v/>
      </c>
      <c r="W55" s="21" t="str">
        <f aca="false">IF(N(P55)=0,"",1-V55/P55)</f>
        <v/>
      </c>
    </row>
    <row r="56" customFormat="false" ht="15" hidden="false" customHeight="false" outlineLevel="0" collapsed="false">
      <c r="A56" s="57"/>
      <c r="B56" s="57"/>
      <c r="C56" s="57"/>
      <c r="D56" s="57"/>
      <c r="E56" s="57"/>
      <c r="F56" s="58"/>
      <c r="G56" s="57"/>
      <c r="H56" s="58"/>
      <c r="I56" s="59"/>
      <c r="J56" s="59"/>
      <c r="K56" s="57"/>
      <c r="M56" s="57"/>
      <c r="N56" s="57"/>
      <c r="O56" s="57"/>
      <c r="P56" s="59"/>
      <c r="Q56" s="59"/>
      <c r="R56" s="59"/>
      <c r="S56" s="59"/>
      <c r="T56" s="59"/>
      <c r="U56" s="59"/>
      <c r="V56" s="29" t="str">
        <f aca="false">IF(P56="","",SUM(Q56:U56))</f>
        <v/>
      </c>
      <c r="W56" s="21" t="str">
        <f aca="false">IF(N(P56)=0,"",1-V56/P56)</f>
        <v/>
      </c>
    </row>
    <row r="57" customFormat="false" ht="15" hidden="false" customHeight="false" outlineLevel="0" collapsed="false">
      <c r="A57" s="57"/>
      <c r="B57" s="57"/>
      <c r="C57" s="57"/>
      <c r="D57" s="57"/>
      <c r="E57" s="57"/>
      <c r="F57" s="58"/>
      <c r="G57" s="57"/>
      <c r="H57" s="58"/>
      <c r="I57" s="59"/>
      <c r="J57" s="59"/>
      <c r="K57" s="57"/>
      <c r="M57" s="57"/>
      <c r="N57" s="57"/>
      <c r="O57" s="57"/>
      <c r="P57" s="59"/>
      <c r="Q57" s="59"/>
      <c r="R57" s="59"/>
      <c r="S57" s="59"/>
      <c r="T57" s="59"/>
      <c r="U57" s="59"/>
      <c r="V57" s="29" t="str">
        <f aca="false">IF(P57="","",SUM(Q57:U57))</f>
        <v/>
      </c>
      <c r="W57" s="21" t="str">
        <f aca="false">IF(N(P57)=0,"",1-V57/P57)</f>
        <v/>
      </c>
    </row>
    <row r="58" customFormat="false" ht="15" hidden="false" customHeight="false" outlineLevel="0" collapsed="false">
      <c r="A58" s="57"/>
      <c r="B58" s="57"/>
      <c r="C58" s="57"/>
      <c r="D58" s="57"/>
      <c r="E58" s="57"/>
      <c r="F58" s="58"/>
      <c r="G58" s="57"/>
      <c r="H58" s="58"/>
      <c r="I58" s="59"/>
      <c r="J58" s="59"/>
      <c r="K58" s="57"/>
      <c r="M58" s="57"/>
      <c r="N58" s="57"/>
      <c r="O58" s="57"/>
      <c r="P58" s="59"/>
      <c r="Q58" s="59"/>
      <c r="R58" s="59"/>
      <c r="S58" s="59"/>
      <c r="T58" s="59"/>
      <c r="U58" s="59"/>
      <c r="V58" s="29" t="str">
        <f aca="false">IF(P58="","",SUM(Q58:U58))</f>
        <v/>
      </c>
      <c r="W58" s="21" t="str">
        <f aca="false">IF(N(P58)=0,"",1-V58/P58)</f>
        <v/>
      </c>
    </row>
    <row r="59" customFormat="false" ht="15" hidden="false" customHeight="false" outlineLevel="0" collapsed="false">
      <c r="A59" s="57"/>
      <c r="B59" s="57"/>
      <c r="C59" s="57"/>
      <c r="D59" s="57"/>
      <c r="E59" s="57"/>
      <c r="F59" s="58"/>
      <c r="G59" s="57"/>
      <c r="H59" s="58"/>
      <c r="I59" s="59"/>
      <c r="J59" s="59"/>
      <c r="K59" s="57"/>
      <c r="M59" s="57"/>
      <c r="N59" s="57"/>
      <c r="O59" s="57"/>
      <c r="P59" s="59"/>
      <c r="Q59" s="59"/>
      <c r="R59" s="59"/>
      <c r="S59" s="59"/>
      <c r="T59" s="59"/>
      <c r="U59" s="59"/>
      <c r="V59" s="29" t="str">
        <f aca="false">IF(P59="","",SUM(Q59:U59))</f>
        <v/>
      </c>
      <c r="W59" s="21" t="str">
        <f aca="false">IF(N(P59)=0,"",1-V59/P59)</f>
        <v/>
      </c>
    </row>
    <row r="60" customFormat="false" ht="15" hidden="false" customHeight="false" outlineLevel="0" collapsed="false">
      <c r="A60" s="57"/>
      <c r="B60" s="57"/>
      <c r="C60" s="57"/>
      <c r="D60" s="57"/>
      <c r="E60" s="57"/>
      <c r="F60" s="58"/>
      <c r="G60" s="57"/>
      <c r="H60" s="58"/>
      <c r="I60" s="59"/>
      <c r="J60" s="59"/>
      <c r="K60" s="57"/>
      <c r="M60" s="57"/>
      <c r="N60" s="57"/>
      <c r="O60" s="57"/>
      <c r="P60" s="59"/>
      <c r="Q60" s="59"/>
      <c r="R60" s="59"/>
      <c r="S60" s="59"/>
      <c r="T60" s="59"/>
      <c r="U60" s="59"/>
      <c r="V60" s="29" t="str">
        <f aca="false">IF(P60="","",SUM(Q60:U60))</f>
        <v/>
      </c>
      <c r="W60" s="21" t="str">
        <f aca="false">IF(N(P60)=0,"",1-V60/P60)</f>
        <v/>
      </c>
    </row>
    <row r="61" customFormat="false" ht="15" hidden="false" customHeight="false" outlineLevel="0" collapsed="false">
      <c r="A61" s="57"/>
      <c r="B61" s="57"/>
      <c r="C61" s="57"/>
      <c r="D61" s="57"/>
      <c r="E61" s="57"/>
      <c r="F61" s="58"/>
      <c r="G61" s="57"/>
      <c r="H61" s="58"/>
      <c r="I61" s="59"/>
      <c r="J61" s="59"/>
      <c r="K61" s="57"/>
      <c r="M61" s="57"/>
      <c r="N61" s="57"/>
      <c r="O61" s="57"/>
      <c r="P61" s="59"/>
      <c r="Q61" s="59"/>
      <c r="R61" s="59"/>
      <c r="S61" s="59"/>
      <c r="T61" s="59"/>
      <c r="U61" s="59"/>
      <c r="V61" s="29" t="str">
        <f aca="false">IF(P61="","",SUM(Q61:U61))</f>
        <v/>
      </c>
      <c r="W61" s="21" t="str">
        <f aca="false">IF(N(P61)=0,"",1-V61/P61)</f>
        <v/>
      </c>
    </row>
    <row r="62" customFormat="false" ht="15" hidden="false" customHeight="false" outlineLevel="0" collapsed="false">
      <c r="A62" s="57"/>
      <c r="B62" s="57"/>
      <c r="C62" s="57"/>
      <c r="D62" s="57"/>
      <c r="E62" s="57"/>
      <c r="F62" s="58"/>
      <c r="G62" s="57"/>
      <c r="H62" s="58"/>
      <c r="I62" s="59"/>
      <c r="J62" s="59"/>
      <c r="K62" s="57"/>
      <c r="M62" s="57"/>
      <c r="N62" s="57"/>
      <c r="O62" s="57"/>
      <c r="P62" s="59"/>
      <c r="Q62" s="59"/>
      <c r="R62" s="59"/>
      <c r="S62" s="59"/>
      <c r="T62" s="59"/>
      <c r="U62" s="59"/>
      <c r="V62" s="29" t="str">
        <f aca="false">IF(P62="","",SUM(Q62:U62))</f>
        <v/>
      </c>
      <c r="W62" s="21" t="str">
        <f aca="false">IF(N(P62)=0,"",1-V62/P62)</f>
        <v/>
      </c>
    </row>
    <row r="63" customFormat="false" ht="15" hidden="false" customHeight="false" outlineLevel="0" collapsed="false">
      <c r="A63" s="57"/>
      <c r="B63" s="57"/>
      <c r="C63" s="57"/>
      <c r="D63" s="57"/>
      <c r="E63" s="57"/>
      <c r="F63" s="58"/>
      <c r="G63" s="57"/>
      <c r="H63" s="58"/>
      <c r="I63" s="59"/>
      <c r="J63" s="59"/>
      <c r="K63" s="57"/>
      <c r="M63" s="57"/>
      <c r="N63" s="57"/>
      <c r="O63" s="57"/>
      <c r="P63" s="59"/>
      <c r="Q63" s="59"/>
      <c r="R63" s="59"/>
      <c r="S63" s="59"/>
      <c r="T63" s="59"/>
      <c r="U63" s="59"/>
      <c r="V63" s="29" t="str">
        <f aca="false">IF(P63="","",SUM(Q63:U63))</f>
        <v/>
      </c>
      <c r="W63" s="21" t="str">
        <f aca="false">IF(N(P63)=0,"",1-V63/P63)</f>
        <v/>
      </c>
    </row>
    <row r="64" customFormat="false" ht="15" hidden="false" customHeight="false" outlineLevel="0" collapsed="false">
      <c r="A64" s="57"/>
      <c r="B64" s="57"/>
      <c r="C64" s="57"/>
      <c r="D64" s="57"/>
      <c r="E64" s="57"/>
      <c r="F64" s="58"/>
      <c r="G64" s="57"/>
      <c r="H64" s="58"/>
      <c r="I64" s="59"/>
      <c r="J64" s="59"/>
      <c r="K64" s="57"/>
      <c r="M64" s="57"/>
      <c r="N64" s="57"/>
      <c r="O64" s="57"/>
      <c r="P64" s="59"/>
      <c r="Q64" s="59"/>
      <c r="R64" s="59"/>
      <c r="S64" s="59"/>
      <c r="T64" s="59"/>
      <c r="U64" s="59"/>
      <c r="V64" s="29" t="str">
        <f aca="false">IF(P64="","",SUM(Q64:U64))</f>
        <v/>
      </c>
      <c r="W64" s="21" t="str">
        <f aca="false">IF(N(P64)=0,"",1-V64/P64)</f>
        <v/>
      </c>
    </row>
    <row r="65" customFormat="false" ht="15" hidden="false" customHeight="false" outlineLevel="0" collapsed="false">
      <c r="A65" s="57"/>
      <c r="B65" s="57"/>
      <c r="C65" s="57"/>
      <c r="D65" s="57"/>
      <c r="E65" s="57"/>
      <c r="F65" s="58"/>
      <c r="G65" s="57"/>
      <c r="H65" s="58"/>
      <c r="I65" s="59"/>
      <c r="J65" s="59"/>
      <c r="K65" s="57"/>
      <c r="M65" s="57"/>
      <c r="N65" s="57"/>
      <c r="O65" s="57"/>
      <c r="P65" s="59"/>
      <c r="Q65" s="59"/>
      <c r="R65" s="59"/>
      <c r="S65" s="59"/>
      <c r="T65" s="59"/>
      <c r="U65" s="59"/>
      <c r="V65" s="29" t="str">
        <f aca="false">IF(P65="","",SUM(Q65:U65))</f>
        <v/>
      </c>
      <c r="W65" s="21" t="str">
        <f aca="false">IF(N(P65)=0,"",1-V65/P65)</f>
        <v/>
      </c>
    </row>
    <row r="66" customFormat="false" ht="15" hidden="false" customHeight="false" outlineLevel="0" collapsed="false">
      <c r="A66" s="57"/>
      <c r="B66" s="57"/>
      <c r="C66" s="57"/>
      <c r="D66" s="57"/>
      <c r="E66" s="57"/>
      <c r="F66" s="58"/>
      <c r="G66" s="57"/>
      <c r="H66" s="58"/>
      <c r="I66" s="59"/>
      <c r="J66" s="59"/>
      <c r="K66" s="57"/>
      <c r="M66" s="57"/>
      <c r="N66" s="57"/>
      <c r="O66" s="57"/>
      <c r="P66" s="59"/>
      <c r="Q66" s="59"/>
      <c r="R66" s="59"/>
      <c r="S66" s="59"/>
      <c r="T66" s="59"/>
      <c r="U66" s="59"/>
      <c r="V66" s="29" t="str">
        <f aca="false">IF(P66="","",SUM(Q66:U66))</f>
        <v/>
      </c>
      <c r="W66" s="21" t="str">
        <f aca="false">IF(N(P66)=0,"",1-V66/P66)</f>
        <v/>
      </c>
    </row>
    <row r="67" customFormat="false" ht="15" hidden="false" customHeight="false" outlineLevel="0" collapsed="false">
      <c r="M67" s="57"/>
      <c r="N67" s="57"/>
      <c r="O67" s="57"/>
      <c r="P67" s="59"/>
      <c r="Q67" s="59"/>
      <c r="R67" s="59"/>
      <c r="S67" s="59"/>
      <c r="T67" s="59"/>
      <c r="U67" s="59"/>
      <c r="V67" s="29" t="str">
        <f aca="false">IF(P67="","",SUM(Q67:U67))</f>
        <v/>
      </c>
      <c r="W67" s="21" t="str">
        <f aca="false">IF(N(P67)=0,"",1-V67/P67)</f>
        <v/>
      </c>
    </row>
    <row r="68" customFormat="false" ht="15" hidden="false" customHeight="false" outlineLevel="0" collapsed="false">
      <c r="M68" s="57"/>
      <c r="N68" s="57"/>
      <c r="O68" s="57"/>
      <c r="P68" s="59"/>
      <c r="Q68" s="59"/>
      <c r="R68" s="59"/>
      <c r="S68" s="59"/>
      <c r="T68" s="59"/>
      <c r="U68" s="59"/>
      <c r="V68" s="29" t="str">
        <f aca="false">IF(P68="","",SUM(Q68:U68))</f>
        <v/>
      </c>
      <c r="W68" s="21" t="str">
        <f aca="false">IF(N(P68)=0,"",1-V68/P68)</f>
        <v/>
      </c>
    </row>
    <row r="69" customFormat="false" ht="15" hidden="false" customHeight="false" outlineLevel="0" collapsed="false">
      <c r="M69" s="57"/>
      <c r="N69" s="57"/>
      <c r="O69" s="57"/>
      <c r="P69" s="59"/>
      <c r="Q69" s="59"/>
      <c r="R69" s="59"/>
      <c r="S69" s="59"/>
      <c r="T69" s="59"/>
      <c r="U69" s="59"/>
      <c r="V69" s="29" t="str">
        <f aca="false">IF(P69="","",SUM(Q69:U69))</f>
        <v/>
      </c>
      <c r="W69" s="21" t="str">
        <f aca="false">IF(N(P69)=0,"",1-V69/P69)</f>
        <v/>
      </c>
    </row>
    <row r="70" customFormat="false" ht="15" hidden="false" customHeight="false" outlineLevel="0" collapsed="false">
      <c r="M70" s="57"/>
      <c r="N70" s="57"/>
      <c r="O70" s="57"/>
      <c r="P70" s="59"/>
      <c r="Q70" s="59"/>
      <c r="R70" s="59"/>
      <c r="S70" s="59"/>
      <c r="T70" s="59"/>
      <c r="U70" s="59"/>
      <c r="V70" s="29" t="str">
        <f aca="false">IF(P70="","",SUM(Q70:U70))</f>
        <v/>
      </c>
      <c r="W70" s="21" t="str">
        <f aca="false">IF(N(P70)=0,"",1-V70/P70)</f>
        <v/>
      </c>
    </row>
    <row r="71" customFormat="false" ht="15" hidden="false" customHeight="false" outlineLevel="0" collapsed="false">
      <c r="M71" s="57"/>
      <c r="N71" s="57"/>
      <c r="O71" s="57"/>
      <c r="P71" s="59"/>
      <c r="Q71" s="59"/>
      <c r="R71" s="59"/>
      <c r="S71" s="59"/>
      <c r="T71" s="59"/>
      <c r="U71" s="59"/>
      <c r="V71" s="29" t="str">
        <f aca="false">IF(P71="","",SUM(Q71:U71))</f>
        <v/>
      </c>
      <c r="W71" s="21" t="str">
        <f aca="false">IF(N(P71)=0,"",1-V71/P71)</f>
        <v/>
      </c>
    </row>
    <row r="72" customFormat="false" ht="15" hidden="false" customHeight="false" outlineLevel="0" collapsed="false">
      <c r="M72" s="57"/>
      <c r="N72" s="57"/>
      <c r="O72" s="57"/>
      <c r="P72" s="59"/>
      <c r="Q72" s="59"/>
      <c r="R72" s="59"/>
      <c r="S72" s="59"/>
      <c r="T72" s="59"/>
      <c r="U72" s="59"/>
      <c r="V72" s="29" t="str">
        <f aca="false">IF(P72="","",SUM(Q72:U72))</f>
        <v/>
      </c>
      <c r="W72" s="21" t="str">
        <f aca="false">IF(N(P72)=0,"",1-V72/P72)</f>
        <v/>
      </c>
    </row>
    <row r="73" customFormat="false" ht="15" hidden="false" customHeight="false" outlineLevel="0" collapsed="false">
      <c r="M73" s="57"/>
      <c r="N73" s="57"/>
      <c r="O73" s="57"/>
      <c r="P73" s="59"/>
      <c r="Q73" s="59"/>
      <c r="R73" s="59"/>
      <c r="S73" s="59"/>
      <c r="T73" s="59"/>
      <c r="U73" s="59"/>
      <c r="V73" s="29" t="str">
        <f aca="false">IF(P73="","",SUM(Q73:U73))</f>
        <v/>
      </c>
      <c r="W73" s="21" t="str">
        <f aca="false">IF(N(P73)=0,"",1-V73/P73)</f>
        <v/>
      </c>
    </row>
    <row r="74" customFormat="false" ht="15" hidden="false" customHeight="false" outlineLevel="0" collapsed="false">
      <c r="M74" s="57"/>
      <c r="N74" s="57"/>
      <c r="O74" s="57"/>
      <c r="P74" s="59"/>
      <c r="Q74" s="59"/>
      <c r="R74" s="59"/>
      <c r="S74" s="59"/>
      <c r="T74" s="59"/>
      <c r="U74" s="59"/>
      <c r="V74" s="29" t="str">
        <f aca="false">IF(P74="","",SUM(Q74:U74))</f>
        <v/>
      </c>
      <c r="W74" s="21" t="str">
        <f aca="false">IF(N(P74)=0,"",1-V74/P74)</f>
        <v/>
      </c>
    </row>
    <row r="75" customFormat="false" ht="15" hidden="false" customHeight="false" outlineLevel="0" collapsed="false">
      <c r="M75" s="57"/>
      <c r="N75" s="57"/>
      <c r="O75" s="57"/>
      <c r="P75" s="59"/>
      <c r="Q75" s="59"/>
      <c r="R75" s="59"/>
      <c r="S75" s="59"/>
      <c r="T75" s="59"/>
      <c r="U75" s="59"/>
      <c r="V75" s="29" t="str">
        <f aca="false">IF(P75="","",SUM(Q75:U75))</f>
        <v/>
      </c>
      <c r="W75" s="21" t="str">
        <f aca="false">IF(N(P75)=0,"",1-V75/P75)</f>
        <v/>
      </c>
    </row>
    <row r="76" customFormat="false" ht="15" hidden="false" customHeight="false" outlineLevel="0" collapsed="false">
      <c r="M76" s="57"/>
      <c r="N76" s="57"/>
      <c r="O76" s="57"/>
      <c r="P76" s="59"/>
      <c r="Q76" s="59"/>
      <c r="R76" s="59"/>
      <c r="S76" s="59"/>
      <c r="T76" s="59"/>
      <c r="U76" s="59"/>
      <c r="V76" s="29" t="str">
        <f aca="false">IF(P76="","",SUM(Q76:U76))</f>
        <v/>
      </c>
      <c r="W76" s="21" t="str">
        <f aca="false">IF(N(P76)=0,"",1-V76/P76)</f>
        <v/>
      </c>
    </row>
    <row r="77" customFormat="false" ht="15" hidden="false" customHeight="false" outlineLevel="0" collapsed="false">
      <c r="M77" s="57"/>
      <c r="N77" s="57"/>
      <c r="O77" s="57"/>
      <c r="P77" s="59"/>
      <c r="Q77" s="59"/>
      <c r="R77" s="59"/>
      <c r="S77" s="59"/>
      <c r="T77" s="59"/>
      <c r="U77" s="59"/>
      <c r="V77" s="29" t="str">
        <f aca="false">IF(P77="","",SUM(Q77:U77))</f>
        <v/>
      </c>
      <c r="W77" s="21" t="str">
        <f aca="false">IF(N(P77)=0,"",1-V77/P77)</f>
        <v/>
      </c>
    </row>
    <row r="78" customFormat="false" ht="15" hidden="false" customHeight="false" outlineLevel="0" collapsed="false">
      <c r="M78" s="57"/>
      <c r="N78" s="57"/>
      <c r="O78" s="57"/>
      <c r="P78" s="59"/>
      <c r="Q78" s="59"/>
      <c r="R78" s="59"/>
      <c r="S78" s="59"/>
      <c r="T78" s="59"/>
      <c r="U78" s="59"/>
      <c r="V78" s="29" t="str">
        <f aca="false">IF(P78="","",SUM(Q78:U78))</f>
        <v/>
      </c>
      <c r="W78" s="21" t="str">
        <f aca="false">IF(N(P78)=0,"",1-V78/P78)</f>
        <v/>
      </c>
    </row>
    <row r="79" customFormat="false" ht="15" hidden="false" customHeight="false" outlineLevel="0" collapsed="false">
      <c r="M79" s="57"/>
      <c r="N79" s="57"/>
      <c r="O79" s="57"/>
      <c r="P79" s="59"/>
      <c r="Q79" s="59"/>
      <c r="R79" s="59"/>
      <c r="S79" s="59"/>
      <c r="T79" s="59"/>
      <c r="U79" s="59"/>
      <c r="V79" s="29" t="str">
        <f aca="false">IF(P79="","",SUM(Q79:U79))</f>
        <v/>
      </c>
      <c r="W79" s="21" t="str">
        <f aca="false">IF(N(P79)=0,"",1-V79/P79)</f>
        <v/>
      </c>
    </row>
    <row r="80" customFormat="false" ht="15" hidden="false" customHeight="false" outlineLevel="0" collapsed="false">
      <c r="M80" s="57"/>
      <c r="N80" s="57"/>
      <c r="O80" s="57"/>
      <c r="P80" s="59"/>
      <c r="Q80" s="59"/>
      <c r="R80" s="59"/>
      <c r="S80" s="59"/>
      <c r="T80" s="59"/>
      <c r="U80" s="59"/>
      <c r="V80" s="29" t="str">
        <f aca="false">IF(P80="","",SUM(Q80:U80))</f>
        <v/>
      </c>
      <c r="W80" s="21" t="str">
        <f aca="false">IF(N(P80)=0,"",1-V80/P80)</f>
        <v/>
      </c>
    </row>
    <row r="81" customFormat="false" ht="15" hidden="false" customHeight="false" outlineLevel="0" collapsed="false">
      <c r="M81" s="57"/>
      <c r="N81" s="57"/>
      <c r="O81" s="57"/>
      <c r="P81" s="59"/>
      <c r="Q81" s="59"/>
      <c r="R81" s="59"/>
      <c r="S81" s="59"/>
      <c r="T81" s="59"/>
      <c r="U81" s="59"/>
      <c r="V81" s="29" t="str">
        <f aca="false">IF(P81="","",SUM(Q81:U81))</f>
        <v/>
      </c>
      <c r="W81" s="21" t="str">
        <f aca="false">IF(N(P81)=0,"",1-V81/P81)</f>
        <v/>
      </c>
    </row>
    <row r="82" customFormat="false" ht="15" hidden="false" customHeight="false" outlineLevel="0" collapsed="false">
      <c r="M82" s="57"/>
      <c r="N82" s="57"/>
      <c r="O82" s="57"/>
      <c r="P82" s="59"/>
      <c r="Q82" s="59"/>
      <c r="R82" s="59"/>
      <c r="S82" s="59"/>
      <c r="T82" s="59"/>
      <c r="U82" s="59"/>
      <c r="V82" s="29" t="str">
        <f aca="false">IF(P82="","",SUM(Q82:U82))</f>
        <v/>
      </c>
      <c r="W82" s="21" t="str">
        <f aca="false">IF(N(P82)=0,"",1-V82/P82)</f>
        <v/>
      </c>
    </row>
    <row r="83" customFormat="false" ht="15" hidden="false" customHeight="false" outlineLevel="0" collapsed="false">
      <c r="M83" s="57"/>
      <c r="N83" s="57"/>
      <c r="O83" s="57"/>
      <c r="P83" s="59"/>
      <c r="Q83" s="59"/>
      <c r="R83" s="59"/>
      <c r="S83" s="59"/>
      <c r="T83" s="59"/>
      <c r="U83" s="59"/>
      <c r="V83" s="29" t="str">
        <f aca="false">IF(P83="","",SUM(Q83:U83))</f>
        <v/>
      </c>
      <c r="W83" s="21" t="str">
        <f aca="false">IF(N(P83)=0,"",1-V83/P83)</f>
        <v/>
      </c>
    </row>
    <row r="84" customFormat="false" ht="15" hidden="false" customHeight="false" outlineLevel="0" collapsed="false">
      <c r="M84" s="57"/>
      <c r="N84" s="57"/>
      <c r="O84" s="57"/>
      <c r="P84" s="59"/>
      <c r="Q84" s="59"/>
      <c r="R84" s="59"/>
      <c r="S84" s="59"/>
      <c r="T84" s="59"/>
      <c r="U84" s="59"/>
      <c r="V84" s="29" t="str">
        <f aca="false">IF(P84="","",SUM(Q84:U84))</f>
        <v/>
      </c>
      <c r="W84" s="21" t="str">
        <f aca="false">IF(N(P84)=0,"",1-V84/P84)</f>
        <v/>
      </c>
    </row>
    <row r="85" customFormat="false" ht="15" hidden="false" customHeight="false" outlineLevel="0" collapsed="false">
      <c r="M85" s="57"/>
      <c r="N85" s="57"/>
      <c r="O85" s="57"/>
      <c r="P85" s="59"/>
      <c r="Q85" s="59"/>
      <c r="R85" s="59"/>
      <c r="S85" s="59"/>
      <c r="T85" s="59"/>
      <c r="U85" s="59"/>
      <c r="V85" s="29" t="str">
        <f aca="false">IF(P85="","",SUM(Q85:U85))</f>
        <v/>
      </c>
      <c r="W85" s="21" t="str">
        <f aca="false">IF(N(P85)=0,"",1-V85/P85)</f>
        <v/>
      </c>
    </row>
    <row r="86" customFormat="false" ht="15" hidden="false" customHeight="false" outlineLevel="0" collapsed="false">
      <c r="M86" s="57"/>
      <c r="N86" s="57"/>
      <c r="O86" s="57"/>
      <c r="P86" s="59"/>
      <c r="Q86" s="59"/>
      <c r="R86" s="59"/>
      <c r="S86" s="59"/>
      <c r="T86" s="59"/>
      <c r="U86" s="59"/>
      <c r="V86" s="29" t="str">
        <f aca="false">IF(P86="","",SUM(Q86:U86))</f>
        <v/>
      </c>
      <c r="W86" s="21" t="str">
        <f aca="false">IF(N(P86)=0,"",1-V86/P86)</f>
        <v/>
      </c>
    </row>
    <row r="87" customFormat="false" ht="15" hidden="false" customHeight="false" outlineLevel="0" collapsed="false">
      <c r="M87" s="57"/>
      <c r="N87" s="57"/>
      <c r="O87" s="57"/>
      <c r="P87" s="59"/>
      <c r="Q87" s="59"/>
      <c r="R87" s="59"/>
      <c r="S87" s="59"/>
      <c r="T87" s="59"/>
      <c r="U87" s="59"/>
      <c r="V87" s="29" t="str">
        <f aca="false">IF(P87="","",SUM(Q87:U87))</f>
        <v/>
      </c>
      <c r="W87" s="21" t="str">
        <f aca="false">IF(N(P87)=0,"",1-V87/P87)</f>
        <v/>
      </c>
    </row>
    <row r="88" customFormat="false" ht="15" hidden="false" customHeight="false" outlineLevel="0" collapsed="false">
      <c r="M88" s="57"/>
      <c r="N88" s="57"/>
      <c r="O88" s="57"/>
      <c r="P88" s="59"/>
      <c r="Q88" s="59"/>
      <c r="R88" s="59"/>
      <c r="S88" s="59"/>
      <c r="T88" s="59"/>
      <c r="U88" s="59"/>
      <c r="V88" s="29" t="str">
        <f aca="false">IF(P88="","",SUM(Q88:U88))</f>
        <v/>
      </c>
      <c r="W88" s="21" t="str">
        <f aca="false">IF(N(P88)=0,"",1-V88/P88)</f>
        <v/>
      </c>
    </row>
    <row r="89" customFormat="false" ht="15" hidden="false" customHeight="false" outlineLevel="0" collapsed="false">
      <c r="M89" s="57"/>
      <c r="N89" s="57"/>
      <c r="O89" s="57"/>
      <c r="P89" s="59"/>
      <c r="Q89" s="59"/>
      <c r="R89" s="59"/>
      <c r="S89" s="59"/>
      <c r="T89" s="59"/>
      <c r="U89" s="59"/>
      <c r="V89" s="29" t="str">
        <f aca="false">IF(P89="","",SUM(Q89:U89))</f>
        <v/>
      </c>
      <c r="W89" s="21" t="str">
        <f aca="false">IF(N(P89)=0,"",1-V89/P89)</f>
        <v/>
      </c>
    </row>
    <row r="90" customFormat="false" ht="15" hidden="false" customHeight="false" outlineLevel="0" collapsed="false">
      <c r="M90" s="57"/>
      <c r="N90" s="57"/>
      <c r="O90" s="57"/>
      <c r="P90" s="59"/>
      <c r="Q90" s="59"/>
      <c r="R90" s="59"/>
      <c r="S90" s="59"/>
      <c r="T90" s="59"/>
      <c r="U90" s="59"/>
      <c r="V90" s="29" t="str">
        <f aca="false">IF(P90="","",SUM(Q90:U90))</f>
        <v/>
      </c>
      <c r="W90" s="21" t="str">
        <f aca="false">IF(N(P90)=0,"",1-V90/P90)</f>
        <v/>
      </c>
    </row>
    <row r="91" customFormat="false" ht="15" hidden="false" customHeight="false" outlineLevel="0" collapsed="false">
      <c r="M91" s="57"/>
      <c r="N91" s="57"/>
      <c r="O91" s="57"/>
      <c r="P91" s="59"/>
      <c r="Q91" s="59"/>
      <c r="R91" s="59"/>
      <c r="S91" s="59"/>
      <c r="T91" s="59"/>
      <c r="U91" s="59"/>
      <c r="V91" s="29" t="str">
        <f aca="false">IF(P91="","",SUM(Q91:U91))</f>
        <v/>
      </c>
      <c r="W91" s="21" t="str">
        <f aca="false">IF(N(P91)=0,"",1-V91/P91)</f>
        <v/>
      </c>
    </row>
    <row r="92" customFormat="false" ht="15" hidden="false" customHeight="false" outlineLevel="0" collapsed="false">
      <c r="M92" s="57"/>
      <c r="N92" s="57"/>
      <c r="O92" s="57"/>
      <c r="P92" s="59"/>
      <c r="Q92" s="59"/>
      <c r="R92" s="59"/>
      <c r="S92" s="59"/>
      <c r="T92" s="59"/>
      <c r="U92" s="59"/>
      <c r="V92" s="29" t="str">
        <f aca="false">IF(P92="","",SUM(Q92:U92))</f>
        <v/>
      </c>
      <c r="W92" s="21" t="str">
        <f aca="false">IF(N(P92)=0,"",1-V92/P92)</f>
        <v/>
      </c>
    </row>
    <row r="93" customFormat="false" ht="15" hidden="false" customHeight="false" outlineLevel="0" collapsed="false">
      <c r="M93" s="57"/>
      <c r="N93" s="57"/>
      <c r="O93" s="57"/>
      <c r="P93" s="59"/>
      <c r="Q93" s="59"/>
      <c r="R93" s="59"/>
      <c r="S93" s="59"/>
      <c r="T93" s="59"/>
      <c r="U93" s="59"/>
      <c r="V93" s="29" t="str">
        <f aca="false">IF(P93="","",SUM(Q93:U93))</f>
        <v/>
      </c>
      <c r="W93" s="21" t="str">
        <f aca="false">IF(N(P93)=0,"",1-V93/P93)</f>
        <v/>
      </c>
    </row>
    <row r="94" customFormat="false" ht="15" hidden="false" customHeight="false" outlineLevel="0" collapsed="false">
      <c r="M94" s="57"/>
      <c r="N94" s="57"/>
      <c r="O94" s="57"/>
      <c r="P94" s="59"/>
      <c r="Q94" s="59"/>
      <c r="R94" s="59"/>
      <c r="S94" s="59"/>
      <c r="T94" s="59"/>
      <c r="U94" s="59"/>
      <c r="V94" s="29" t="str">
        <f aca="false">IF(P94="","",SUM(Q94:U94))</f>
        <v/>
      </c>
      <c r="W94" s="21" t="str">
        <f aca="false">IF(N(P94)=0,"",1-V94/P94)</f>
        <v/>
      </c>
    </row>
    <row r="95" customFormat="false" ht="15" hidden="false" customHeight="false" outlineLevel="0" collapsed="false">
      <c r="M95" s="57"/>
      <c r="N95" s="57"/>
      <c r="O95" s="57"/>
      <c r="P95" s="59"/>
      <c r="Q95" s="59"/>
      <c r="R95" s="59"/>
      <c r="S95" s="59"/>
      <c r="T95" s="59"/>
      <c r="U95" s="59"/>
      <c r="V95" s="29" t="str">
        <f aca="false">IF(P95="","",SUM(Q95:U95))</f>
        <v/>
      </c>
      <c r="W95" s="21" t="str">
        <f aca="false">IF(N(P95)=0,"",1-V95/P95)</f>
        <v/>
      </c>
    </row>
    <row r="96" customFormat="false" ht="15" hidden="false" customHeight="false" outlineLevel="0" collapsed="false">
      <c r="M96" s="57"/>
      <c r="N96" s="57"/>
      <c r="O96" s="57"/>
      <c r="P96" s="59"/>
      <c r="Q96" s="59"/>
      <c r="R96" s="59"/>
      <c r="S96" s="59"/>
      <c r="T96" s="59"/>
      <c r="U96" s="59"/>
      <c r="V96" s="29" t="str">
        <f aca="false">IF(P96="","",SUM(Q96:U96))</f>
        <v/>
      </c>
      <c r="W96" s="21" t="str">
        <f aca="false">IF(N(P96)=0,"",1-V96/P96)</f>
        <v/>
      </c>
    </row>
    <row r="97" customFormat="false" ht="15" hidden="false" customHeight="false" outlineLevel="0" collapsed="false">
      <c r="M97" s="57"/>
      <c r="N97" s="57"/>
      <c r="O97" s="57"/>
      <c r="P97" s="59"/>
      <c r="Q97" s="59"/>
      <c r="R97" s="59"/>
      <c r="S97" s="59"/>
      <c r="T97" s="59"/>
      <c r="U97" s="59"/>
      <c r="V97" s="29" t="str">
        <f aca="false">IF(P97="","",SUM(Q97:U97))</f>
        <v/>
      </c>
      <c r="W97" s="21" t="str">
        <f aca="false">IF(N(P97)=0,"",1-V97/P97)</f>
        <v/>
      </c>
    </row>
    <row r="98" customFormat="false" ht="15" hidden="false" customHeight="false" outlineLevel="0" collapsed="false">
      <c r="M98" s="57"/>
      <c r="N98" s="57"/>
      <c r="O98" s="57"/>
      <c r="P98" s="59"/>
      <c r="Q98" s="59"/>
      <c r="R98" s="59"/>
      <c r="S98" s="59"/>
      <c r="T98" s="59"/>
      <c r="U98" s="59"/>
      <c r="V98" s="29" t="str">
        <f aca="false">IF(P98="","",SUM(Q98:U98))</f>
        <v/>
      </c>
      <c r="W98" s="21" t="str">
        <f aca="false">IF(N(P98)=0,"",1-V98/P98)</f>
        <v/>
      </c>
    </row>
    <row r="99" customFormat="false" ht="15" hidden="false" customHeight="false" outlineLevel="0" collapsed="false">
      <c r="M99" s="57"/>
      <c r="N99" s="57"/>
      <c r="O99" s="57"/>
      <c r="P99" s="59"/>
      <c r="Q99" s="59"/>
      <c r="R99" s="59"/>
      <c r="S99" s="59"/>
      <c r="T99" s="59"/>
      <c r="U99" s="59"/>
      <c r="V99" s="29" t="str">
        <f aca="false">IF(P99="","",SUM(Q99:U99))</f>
        <v/>
      </c>
      <c r="W99" s="21" t="str">
        <f aca="false">IF(N(P99)=0,"",1-V99/P99)</f>
        <v/>
      </c>
    </row>
    <row r="100" customFormat="false" ht="15" hidden="false" customHeight="false" outlineLevel="0" collapsed="false">
      <c r="M100" s="57"/>
      <c r="N100" s="57"/>
      <c r="O100" s="57"/>
      <c r="P100" s="59"/>
      <c r="Q100" s="59"/>
      <c r="R100" s="59"/>
      <c r="S100" s="59"/>
      <c r="T100" s="59"/>
      <c r="U100" s="59"/>
      <c r="V100" s="29" t="str">
        <f aca="false">IF(P100="","",SUM(Q100:U100))</f>
        <v/>
      </c>
      <c r="W100" s="21" t="str">
        <f aca="false">IF(N(P100)=0,"",1-V100/P100)</f>
        <v/>
      </c>
    </row>
    <row r="101" customFormat="false" ht="15" hidden="false" customHeight="false" outlineLevel="0" collapsed="false">
      <c r="M101" s="57"/>
      <c r="N101" s="57"/>
      <c r="O101" s="57"/>
      <c r="P101" s="59"/>
      <c r="Q101" s="59"/>
      <c r="R101" s="59"/>
      <c r="S101" s="59"/>
      <c r="T101" s="59"/>
      <c r="U101" s="59"/>
      <c r="V101" s="29" t="str">
        <f aca="false">IF(P101="","",SUM(Q101:U101))</f>
        <v/>
      </c>
      <c r="W101" s="21" t="str">
        <f aca="false">IF(N(P101)=0,"",1-V101/P101)</f>
        <v/>
      </c>
    </row>
    <row r="102" customFormat="false" ht="15" hidden="false" customHeight="false" outlineLevel="0" collapsed="false">
      <c r="M102" s="57"/>
      <c r="N102" s="57"/>
      <c r="O102" s="57"/>
      <c r="P102" s="59"/>
      <c r="Q102" s="59"/>
      <c r="R102" s="59"/>
      <c r="S102" s="59"/>
      <c r="T102" s="59"/>
      <c r="U102" s="59"/>
      <c r="V102" s="29" t="str">
        <f aca="false">IF(P102="","",SUM(Q102:U102))</f>
        <v/>
      </c>
      <c r="W102" s="21" t="str">
        <f aca="false">IF(N(P102)=0,"",1-V102/P102)</f>
        <v/>
      </c>
    </row>
    <row r="103" customFormat="false" ht="15" hidden="false" customHeight="false" outlineLevel="0" collapsed="false">
      <c r="M103" s="57"/>
      <c r="N103" s="57"/>
      <c r="O103" s="57"/>
      <c r="P103" s="59"/>
      <c r="Q103" s="59"/>
      <c r="R103" s="59"/>
      <c r="S103" s="59"/>
      <c r="T103" s="59"/>
      <c r="U103" s="59"/>
      <c r="V103" s="29" t="str">
        <f aca="false">IF(P103="","",SUM(Q103:U103))</f>
        <v/>
      </c>
      <c r="W103" s="21" t="str">
        <f aca="false">IF(N(P103)=0,"",1-V103/P103)</f>
        <v/>
      </c>
    </row>
    <row r="104" customFormat="false" ht="15" hidden="false" customHeight="false" outlineLevel="0" collapsed="false">
      <c r="M104" s="57"/>
      <c r="N104" s="57"/>
      <c r="O104" s="57"/>
      <c r="P104" s="59"/>
      <c r="Q104" s="59"/>
      <c r="R104" s="59"/>
      <c r="S104" s="59"/>
      <c r="T104" s="59"/>
      <c r="U104" s="59"/>
      <c r="V104" s="29" t="str">
        <f aca="false">IF(P104="","",SUM(Q104:U104))</f>
        <v/>
      </c>
      <c r="W104" s="21" t="str">
        <f aca="false">IF(N(P104)=0,"",1-V104/P104)</f>
        <v/>
      </c>
    </row>
    <row r="105" customFormat="false" ht="15" hidden="false" customHeight="false" outlineLevel="0" collapsed="false">
      <c r="M105" s="57"/>
      <c r="N105" s="57"/>
      <c r="O105" s="57"/>
      <c r="P105" s="59"/>
      <c r="Q105" s="59"/>
      <c r="R105" s="59"/>
      <c r="S105" s="59"/>
      <c r="T105" s="59"/>
      <c r="U105" s="59"/>
      <c r="V105" s="29" t="str">
        <f aca="false">IF(P105="","",SUM(Q105:U105))</f>
        <v/>
      </c>
      <c r="W105" s="21" t="str">
        <f aca="false">IF(N(P105)=0,"",1-V105/P105)</f>
        <v/>
      </c>
    </row>
    <row r="106" customFormat="false" ht="15" hidden="false" customHeight="false" outlineLevel="0" collapsed="false">
      <c r="M106" s="57"/>
      <c r="N106" s="57"/>
      <c r="O106" s="57"/>
      <c r="P106" s="59"/>
      <c r="Q106" s="59"/>
      <c r="R106" s="59"/>
      <c r="S106" s="59"/>
      <c r="T106" s="59"/>
      <c r="U106" s="59"/>
      <c r="V106" s="29" t="str">
        <f aca="false">IF(P106="","",SUM(Q106:U106))</f>
        <v/>
      </c>
      <c r="W106" s="21" t="str">
        <f aca="false">IF(N(P106)=0,"",1-V106/P106)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T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9" min="8" style="0" width="13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4" min="13" style="0" width="15"/>
    <col collapsed="false" customWidth="true" hidden="false" outlineLevel="0" max="15" min="15" style="0" width="14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0" min="20" style="0" width="9"/>
  </cols>
  <sheetData>
    <row r="1" customFormat="false" ht="17.35" hidden="false" customHeight="false" outlineLevel="0" collapsed="false">
      <c r="A1" s="1" t="s">
        <v>443</v>
      </c>
    </row>
    <row r="2" customFormat="false" ht="15" hidden="false" customHeight="false" outlineLevel="0" collapsed="false">
      <c r="A2" s="9" t="str">
        <f aca="false">IF(INPUTS!C4="","(enter project name on INPUTS)",INPUTS!C4)&amp;"  |  "&amp;INPUTS!C11&amp;", "&amp;INPUTS!C12</f>
        <v>(enter project name on INPUTS)  |  2650 East 41st Ave, Vancouver</v>
      </c>
      <c r="K2" s="60" t="s">
        <v>444</v>
      </c>
      <c r="L2" s="61" t="str">
        <f aca="false">I37</f>
        <v>OK</v>
      </c>
    </row>
    <row r="5" customFormat="false" ht="30" hidden="false" customHeight="true" outlineLevel="0" collapsed="false">
      <c r="A5" s="18" t="s">
        <v>89</v>
      </c>
      <c r="B5" s="18" t="s">
        <v>88</v>
      </c>
      <c r="C5" s="18" t="s">
        <v>170</v>
      </c>
      <c r="D5" s="18" t="s">
        <v>215</v>
      </c>
      <c r="E5" s="18" t="s">
        <v>216</v>
      </c>
      <c r="F5" s="18" t="s">
        <v>214</v>
      </c>
      <c r="G5" s="18" t="s">
        <v>445</v>
      </c>
      <c r="H5" s="18" t="s">
        <v>439</v>
      </c>
      <c r="I5" s="18" t="s">
        <v>440</v>
      </c>
      <c r="J5" s="18" t="s">
        <v>446</v>
      </c>
      <c r="K5" s="18" t="s">
        <v>217</v>
      </c>
      <c r="L5" s="18" t="s">
        <v>447</v>
      </c>
      <c r="M5" s="18" t="s">
        <v>448</v>
      </c>
      <c r="N5" s="18" t="s">
        <v>449</v>
      </c>
      <c r="O5" s="18" t="s">
        <v>450</v>
      </c>
      <c r="P5" s="18" t="s">
        <v>451</v>
      </c>
      <c r="Q5" s="18" t="s">
        <v>452</v>
      </c>
      <c r="R5" s="18" t="s">
        <v>453</v>
      </c>
      <c r="S5" s="18" t="s">
        <v>454</v>
      </c>
      <c r="T5" s="18" t="s">
        <v>455</v>
      </c>
    </row>
    <row r="6" customFormat="false" ht="15" hidden="false" customHeight="false" outlineLevel="0" collapsed="false">
      <c r="A6" s="62" t="str">
        <f aca="false">INPUTS!C33</f>
        <v>P</v>
      </c>
      <c r="B6" s="63" t="str">
        <f aca="false">INPUTS!B33</f>
        <v>Plumbing</v>
      </c>
      <c r="C6" s="14" t="n">
        <f aca="false">SUMIFS('PLUMBING EST'!$M$7:$M$156,'PLUMBING EST'!$B$7:$B$156,$A6)+SUMIFS('HVAC EST'!$M$7:$M$156,'HVAC EST'!$B$7:$B$156,$A6)</f>
        <v>1476</v>
      </c>
      <c r="D6" s="29" t="n">
        <f aca="false">SUMIFS('PLUMBING EST'!$N$7:$N$156,'PLUMBING EST'!$B$7:$B$156,$A6)+SUMIFS('HVAC EST'!$N$7:$N$156,'HVAC EST'!$B$7:$B$156,$A6)</f>
        <v>95563.62</v>
      </c>
      <c r="E6" s="29" t="n">
        <f aca="false">SUMIFS('PLUMBING EST'!$O$7:$O$156,'PLUMBING EST'!$B$7:$B$156,$A6)+SUMIFS('HVAC EST'!$O$7:$O$156,'HVAC EST'!$B$7:$B$156,$A6)</f>
        <v>32472</v>
      </c>
      <c r="F6" s="29" t="n">
        <f aca="false">SUMIFS('PLUMBING EST'!$L$7:$L$156,'PLUMBING EST'!$B$7:$B$156,$A6)+SUMIFS('HVAC EST'!$L$7:$L$156,'HVAC EST'!$B$7:$B$156,$A6)</f>
        <v>105288</v>
      </c>
      <c r="G6" s="29" t="n">
        <f aca="false">F6*INPUTS!$C$25</f>
        <v>2105.76</v>
      </c>
      <c r="H6" s="64" t="n">
        <f aca="false">'SUBS &amp; GC'!M32</f>
        <v>0</v>
      </c>
      <c r="I6" s="64" t="n">
        <f aca="false">'SUBS &amp; GC'!M66</f>
        <v>180000</v>
      </c>
      <c r="J6" s="29" t="n">
        <f aca="false">SUM(D6:I6)*INPUTS!$C$26</f>
        <v>0</v>
      </c>
      <c r="K6" s="34" t="n">
        <f aca="false">SUM(D6:J6)</f>
        <v>415429.38</v>
      </c>
      <c r="L6" s="65" t="n">
        <f aca="false">INPUTS!D33</f>
        <v>0.15</v>
      </c>
      <c r="M6" s="29" t="n">
        <f aca="false">IFERROR(K6/(1-L6),0)</f>
        <v>488740.447058824</v>
      </c>
      <c r="N6" s="34" t="n">
        <f aca="false">IF(M6&lt;=0,0,CEILING(M6,INPUTS!$C$28))</f>
        <v>488800</v>
      </c>
      <c r="O6" s="29" t="n">
        <f aca="false">N6-K6</f>
        <v>73370.62</v>
      </c>
      <c r="P6" s="21" t="n">
        <f aca="false">IFERROR(O6/N6,0)</f>
        <v>0.150103559738134</v>
      </c>
      <c r="Q6" s="21" t="n">
        <f aca="false">IFERROR(O6/K6,0)</f>
        <v>0.176613940978368</v>
      </c>
      <c r="R6" s="29" t="n">
        <f aca="false">IFERROR(N6/INPUTS!$C$18,0)</f>
        <v>3973.9837398374</v>
      </c>
      <c r="S6" s="28" t="n">
        <f aca="false">IFERROR(N6/INPUTS!$C$17,0)</f>
        <v>0</v>
      </c>
      <c r="T6" s="39" t="n">
        <f aca="false">IFERROR(C6/INPUTS!$C$18,0)</f>
        <v>12</v>
      </c>
    </row>
    <row r="7" customFormat="false" ht="15" hidden="false" customHeight="false" outlineLevel="0" collapsed="false">
      <c r="A7" s="62" t="str">
        <f aca="false">INPUTS!C34</f>
        <v>H</v>
      </c>
      <c r="B7" s="63" t="str">
        <f aca="false">INPUTS!B34</f>
        <v>Hydronic</v>
      </c>
      <c r="C7" s="14" t="n">
        <f aca="false">SUMIFS('PLUMBING EST'!$M$7:$M$156,'PLUMBING EST'!$B$7:$B$156,$A7)+SUMIFS('HVAC EST'!$M$7:$M$156,'HVAC EST'!$B$7:$B$156,$A7)</f>
        <v>0</v>
      </c>
      <c r="D7" s="29" t="n">
        <f aca="false">SUMIFS('PLUMBING EST'!$N$7:$N$156,'PLUMBING EST'!$B$7:$B$156,$A7)+SUMIFS('HVAC EST'!$N$7:$N$156,'HVAC EST'!$B$7:$B$156,$A7)</f>
        <v>0</v>
      </c>
      <c r="E7" s="29" t="n">
        <f aca="false">SUMIFS('PLUMBING EST'!$O$7:$O$156,'PLUMBING EST'!$B$7:$B$156,$A7)+SUMIFS('HVAC EST'!$O$7:$O$156,'HVAC EST'!$B$7:$B$156,$A7)</f>
        <v>0</v>
      </c>
      <c r="F7" s="29" t="n">
        <f aca="false">SUMIFS('PLUMBING EST'!$L$7:$L$156,'PLUMBING EST'!$B$7:$B$156,$A7)+SUMIFS('HVAC EST'!$L$7:$L$156,'HVAC EST'!$B$7:$B$156,$A7)</f>
        <v>0</v>
      </c>
      <c r="G7" s="29" t="n">
        <f aca="false">F7*INPUTS!$C$25</f>
        <v>0</v>
      </c>
      <c r="H7" s="64" t="n">
        <f aca="false">'SUBS &amp; GC'!N32</f>
        <v>0</v>
      </c>
      <c r="I7" s="64" t="n">
        <f aca="false">'SUBS &amp; GC'!N66</f>
        <v>0</v>
      </c>
      <c r="J7" s="29" t="n">
        <f aca="false">SUM(D7:I7)*INPUTS!$C$26</f>
        <v>0</v>
      </c>
      <c r="K7" s="34" t="n">
        <f aca="false">SUM(D7:J7)</f>
        <v>0</v>
      </c>
      <c r="L7" s="65" t="n">
        <f aca="false">INPUTS!D34</f>
        <v>0.15</v>
      </c>
      <c r="M7" s="29" t="n">
        <f aca="false">IFERROR(K7/(1-L7),0)</f>
        <v>0</v>
      </c>
      <c r="N7" s="34" t="n">
        <f aca="false">IF(M7&lt;=0,0,CEILING(M7,INPUTS!$C$28))</f>
        <v>0</v>
      </c>
      <c r="O7" s="29" t="n">
        <f aca="false">N7-K7</f>
        <v>0</v>
      </c>
      <c r="P7" s="21" t="n">
        <f aca="false">IFERROR(O7/N7,0)</f>
        <v>0</v>
      </c>
      <c r="Q7" s="21" t="n">
        <f aca="false">IFERROR(O7/K7,0)</f>
        <v>0</v>
      </c>
      <c r="R7" s="29" t="n">
        <f aca="false">IFERROR(N7/INPUTS!$C$18,0)</f>
        <v>0</v>
      </c>
      <c r="S7" s="28" t="n">
        <f aca="false">IFERROR(N7/INPUTS!$C$17,0)</f>
        <v>0</v>
      </c>
      <c r="T7" s="39" t="n">
        <f aca="false">IFERROR(C7/INPUTS!$C$18,0)</f>
        <v>0</v>
      </c>
    </row>
    <row r="8" customFormat="false" ht="15" hidden="false" customHeight="false" outlineLevel="0" collapsed="false">
      <c r="A8" s="62" t="str">
        <f aca="false">INPUTS!C35</f>
        <v>V</v>
      </c>
      <c r="B8" s="63" t="str">
        <f aca="false">INPUTS!B35</f>
        <v>Ventilation</v>
      </c>
      <c r="C8" s="14" t="n">
        <f aca="false">SUMIFS('PLUMBING EST'!$M$7:$M$156,'PLUMBING EST'!$B$7:$B$156,$A8)+SUMIFS('HVAC EST'!$M$7:$M$156,'HVAC EST'!$B$7:$B$156,$A8)</f>
        <v>0</v>
      </c>
      <c r="D8" s="29" t="n">
        <f aca="false">SUMIFS('PLUMBING EST'!$N$7:$N$156,'PLUMBING EST'!$B$7:$B$156,$A8)+SUMIFS('HVAC EST'!$N$7:$N$156,'HVAC EST'!$B$7:$B$156,$A8)</f>
        <v>0</v>
      </c>
      <c r="E8" s="29" t="n">
        <f aca="false">SUMIFS('PLUMBING EST'!$O$7:$O$156,'PLUMBING EST'!$B$7:$B$156,$A8)+SUMIFS('HVAC EST'!$O$7:$O$156,'HVAC EST'!$B$7:$B$156,$A8)</f>
        <v>0</v>
      </c>
      <c r="F8" s="29" t="n">
        <f aca="false">SUMIFS('PLUMBING EST'!$L$7:$L$156,'PLUMBING EST'!$B$7:$B$156,$A8)+SUMIFS('HVAC EST'!$L$7:$L$156,'HVAC EST'!$B$7:$B$156,$A8)</f>
        <v>0</v>
      </c>
      <c r="G8" s="29" t="n">
        <f aca="false">F8*INPUTS!$C$25</f>
        <v>0</v>
      </c>
      <c r="H8" s="64" t="n">
        <f aca="false">'SUBS &amp; GC'!O32</f>
        <v>0</v>
      </c>
      <c r="I8" s="64" t="n">
        <f aca="false">'SUBS &amp; GC'!O66</f>
        <v>0</v>
      </c>
      <c r="J8" s="29" t="n">
        <f aca="false">SUM(D8:I8)*INPUTS!$C$26</f>
        <v>0</v>
      </c>
      <c r="K8" s="34" t="n">
        <f aca="false">SUM(D8:J8)</f>
        <v>0</v>
      </c>
      <c r="L8" s="65" t="n">
        <f aca="false">INPUTS!D35</f>
        <v>0.15</v>
      </c>
      <c r="M8" s="29" t="n">
        <f aca="false">IFERROR(K8/(1-L8),0)</f>
        <v>0</v>
      </c>
      <c r="N8" s="34" t="n">
        <f aca="false">IF(M8&lt;=0,0,CEILING(M8,INPUTS!$C$28))</f>
        <v>0</v>
      </c>
      <c r="O8" s="29" t="n">
        <f aca="false">N8-K8</f>
        <v>0</v>
      </c>
      <c r="P8" s="21" t="n">
        <f aca="false">IFERROR(O8/N8,0)</f>
        <v>0</v>
      </c>
      <c r="Q8" s="21" t="n">
        <f aca="false">IFERROR(O8/K8,0)</f>
        <v>0</v>
      </c>
      <c r="R8" s="29" t="n">
        <f aca="false">IFERROR(N8/INPUTS!$C$18,0)</f>
        <v>0</v>
      </c>
      <c r="S8" s="28" t="n">
        <f aca="false">IFERROR(N8/INPUTS!$C$17,0)</f>
        <v>0</v>
      </c>
      <c r="T8" s="39" t="n">
        <f aca="false">IFERROR(C8/INPUTS!$C$18,0)</f>
        <v>0</v>
      </c>
    </row>
    <row r="9" customFormat="false" ht="15" hidden="false" customHeight="false" outlineLevel="0" collapsed="false">
      <c r="A9" s="62" t="str">
        <f aca="false">INPUTS!C36</f>
        <v>AC</v>
      </c>
      <c r="B9" s="63" t="str">
        <f aca="false">INPUTS!B36</f>
        <v>Air Conditioning</v>
      </c>
      <c r="C9" s="14" t="n">
        <f aca="false">SUMIFS('PLUMBING EST'!$M$7:$M$156,'PLUMBING EST'!$B$7:$B$156,$A9)+SUMIFS('HVAC EST'!$M$7:$M$156,'HVAC EST'!$B$7:$B$156,$A9)</f>
        <v>0</v>
      </c>
      <c r="D9" s="29" t="n">
        <f aca="false">SUMIFS('PLUMBING EST'!$N$7:$N$156,'PLUMBING EST'!$B$7:$B$156,$A9)+SUMIFS('HVAC EST'!$N$7:$N$156,'HVAC EST'!$B$7:$B$156,$A9)</f>
        <v>0</v>
      </c>
      <c r="E9" s="29" t="n">
        <f aca="false">SUMIFS('PLUMBING EST'!$O$7:$O$156,'PLUMBING EST'!$B$7:$B$156,$A9)+SUMIFS('HVAC EST'!$O$7:$O$156,'HVAC EST'!$B$7:$B$156,$A9)</f>
        <v>0</v>
      </c>
      <c r="F9" s="29" t="n">
        <f aca="false">SUMIFS('PLUMBING EST'!$L$7:$L$156,'PLUMBING EST'!$B$7:$B$156,$A9)+SUMIFS('HVAC EST'!$L$7:$L$156,'HVAC EST'!$B$7:$B$156,$A9)</f>
        <v>0</v>
      </c>
      <c r="G9" s="29" t="n">
        <f aca="false">F9*INPUTS!$C$25</f>
        <v>0</v>
      </c>
      <c r="H9" s="64" t="n">
        <f aca="false">'SUBS &amp; GC'!P32</f>
        <v>0</v>
      </c>
      <c r="I9" s="64" t="n">
        <f aca="false">'SUBS &amp; GC'!P66</f>
        <v>0</v>
      </c>
      <c r="J9" s="29" t="n">
        <f aca="false">SUM(D9:I9)*INPUTS!$C$26</f>
        <v>0</v>
      </c>
      <c r="K9" s="34" t="n">
        <f aca="false">SUM(D9:J9)</f>
        <v>0</v>
      </c>
      <c r="L9" s="65" t="n">
        <f aca="false">INPUTS!D36</f>
        <v>0.15</v>
      </c>
      <c r="M9" s="29" t="n">
        <f aca="false">IFERROR(K9/(1-L9),0)</f>
        <v>0</v>
      </c>
      <c r="N9" s="34" t="n">
        <f aca="false">IF(M9&lt;=0,0,CEILING(M9,INPUTS!$C$28))</f>
        <v>0</v>
      </c>
      <c r="O9" s="29" t="n">
        <f aca="false">N9-K9</f>
        <v>0</v>
      </c>
      <c r="P9" s="21" t="n">
        <f aca="false">IFERROR(O9/N9,0)</f>
        <v>0</v>
      </c>
      <c r="Q9" s="21" t="n">
        <f aca="false">IFERROR(O9/K9,0)</f>
        <v>0</v>
      </c>
      <c r="R9" s="29" t="n">
        <f aca="false">IFERROR(N9/INPUTS!$C$18,0)</f>
        <v>0</v>
      </c>
      <c r="S9" s="28" t="n">
        <f aca="false">IFERROR(N9/INPUTS!$C$17,0)</f>
        <v>0</v>
      </c>
      <c r="T9" s="39" t="n">
        <f aca="false">IFERROR(C9/INPUTS!$C$18,0)</f>
        <v>0</v>
      </c>
    </row>
    <row r="10" customFormat="false" ht="15" hidden="false" customHeight="false" outlineLevel="0" collapsed="false">
      <c r="B10" s="4" t="s">
        <v>456</v>
      </c>
      <c r="C10" s="66" t="n">
        <f aca="false">SUM(C6:C9)</f>
        <v>1476</v>
      </c>
      <c r="D10" s="50" t="n">
        <f aca="false">SUM(D6:D9)</f>
        <v>95563.62</v>
      </c>
      <c r="E10" s="50" t="n">
        <f aca="false">SUM(E6:E9)</f>
        <v>32472</v>
      </c>
      <c r="F10" s="50" t="n">
        <f aca="false">SUM(F6:F9)</f>
        <v>105288</v>
      </c>
      <c r="G10" s="50" t="n">
        <f aca="false">SUM(G6:G9)</f>
        <v>2105.76</v>
      </c>
      <c r="H10" s="50" t="n">
        <f aca="false">SUM(H6:H9)</f>
        <v>0</v>
      </c>
      <c r="I10" s="50" t="n">
        <f aca="false">SUM(I6:I9)</f>
        <v>180000</v>
      </c>
      <c r="J10" s="50" t="n">
        <f aca="false">SUM(J6:J9)</f>
        <v>0</v>
      </c>
      <c r="K10" s="50" t="n">
        <f aca="false">SUM(K6:K9)</f>
        <v>415429.38</v>
      </c>
      <c r="M10" s="50" t="n">
        <f aca="false">SUM(M6:M9)</f>
        <v>488740.447058824</v>
      </c>
      <c r="N10" s="50" t="n">
        <f aca="false">SUM(N6:N9)</f>
        <v>488800</v>
      </c>
      <c r="O10" s="50" t="n">
        <f aca="false">SUM(O6:O9)</f>
        <v>73370.62</v>
      </c>
      <c r="P10" s="24" t="n">
        <f aca="false">IFERROR(O10/N10,0)</f>
        <v>0.150103559738134</v>
      </c>
      <c r="Q10" s="24" t="n">
        <f aca="false">IFERROR(O10/K10,0)</f>
        <v>0.176613940978368</v>
      </c>
      <c r="R10" s="31" t="n">
        <f aca="false">IFERROR(N10/INPUTS!$C$18,0)</f>
        <v>3973.9837398374</v>
      </c>
      <c r="S10" s="67" t="n">
        <f aca="false">IFERROR(N10/INPUTS!$C$17,0)</f>
        <v>0</v>
      </c>
      <c r="T10" s="68" t="n">
        <f aca="false">IFERROR(C10/INPUTS!$C$18,0)</f>
        <v>12</v>
      </c>
    </row>
    <row r="11" customFormat="false" ht="15" hidden="false" customHeight="false" outlineLevel="0" collapsed="false">
      <c r="M11" s="2" t="s">
        <v>457</v>
      </c>
      <c r="N11" s="69" t="n">
        <f aca="false">N10*INPUTS!$C$23</f>
        <v>34216</v>
      </c>
    </row>
    <row r="12" customFormat="false" ht="15" hidden="false" customHeight="false" outlineLevel="0" collapsed="false">
      <c r="M12" s="2" t="s">
        <v>458</v>
      </c>
      <c r="N12" s="70" t="n">
        <f aca="false">N10+N11</f>
        <v>523016</v>
      </c>
    </row>
    <row r="14" customFormat="false" ht="15" hidden="false" customHeight="false" outlineLevel="0" collapsed="false">
      <c r="B14" s="3" t="s">
        <v>459</v>
      </c>
    </row>
    <row r="15" customFormat="false" ht="30" hidden="false" customHeight="true" outlineLevel="0" collapsed="false">
      <c r="B15" s="18" t="s">
        <v>152</v>
      </c>
      <c r="C15" s="18"/>
      <c r="D15" s="18" t="s">
        <v>460</v>
      </c>
      <c r="E15" s="18" t="s">
        <v>461</v>
      </c>
      <c r="F15" s="18" t="s">
        <v>462</v>
      </c>
      <c r="G15" s="18" t="s">
        <v>463</v>
      </c>
      <c r="H15" s="18" t="s">
        <v>464</v>
      </c>
    </row>
    <row r="16" customFormat="false" ht="15" hidden="false" customHeight="false" outlineLevel="0" collapsed="false">
      <c r="B16" s="19" t="s">
        <v>154</v>
      </c>
      <c r="C16" s="19"/>
      <c r="D16" s="29" t="n">
        <f aca="false">D10</f>
        <v>95563.62</v>
      </c>
      <c r="E16" s="21" t="n">
        <f aca="false">IFERROR(D16/$N$10,0)</f>
        <v>0.195506587561375</v>
      </c>
      <c r="F16" s="65" t="str">
        <f aca="false">IFERROR(SUM('CRM ACTUALS'!$Q$7:$Q$106)/SUM('CRM ACTUALS'!$P$7:$P$106),"")</f>
        <v/>
      </c>
      <c r="G16" s="65" t="str">
        <f aca="false">IF(INPUTS!C69="","",INPUTS!C69)</f>
        <v/>
      </c>
      <c r="H16" s="21" t="str">
        <f aca="false">IF(G16="","",E16-G16)</f>
        <v/>
      </c>
      <c r="I16" s="2" t="s">
        <v>465</v>
      </c>
    </row>
    <row r="17" customFormat="false" ht="15" hidden="false" customHeight="false" outlineLevel="0" collapsed="false">
      <c r="B17" s="19" t="s">
        <v>156</v>
      </c>
      <c r="C17" s="19"/>
      <c r="D17" s="29" t="n">
        <f aca="false">E10</f>
        <v>32472</v>
      </c>
      <c r="E17" s="21" t="n">
        <f aca="false">IFERROR(D17/$N$10,0)</f>
        <v>0.0664320785597381</v>
      </c>
      <c r="F17" s="65" t="str">
        <f aca="false">IFERROR(SUM('CRM ACTUALS'!$R$7:$R$106)/SUM('CRM ACTUALS'!$P$7:$P$106),"")</f>
        <v/>
      </c>
      <c r="G17" s="65" t="str">
        <f aca="false">IF(INPUTS!C70="","",INPUTS!C70)</f>
        <v/>
      </c>
      <c r="H17" s="21" t="str">
        <f aca="false">IF(G17="","",E17-G17)</f>
        <v/>
      </c>
    </row>
    <row r="18" customFormat="false" ht="15" hidden="false" customHeight="false" outlineLevel="0" collapsed="false">
      <c r="B18" s="19" t="s">
        <v>466</v>
      </c>
      <c r="C18" s="19"/>
      <c r="D18" s="29" t="n">
        <f aca="false">F10+G10</f>
        <v>107393.76</v>
      </c>
      <c r="E18" s="21" t="n">
        <f aca="false">IFERROR(D18/$N$10,0)</f>
        <v>0.219709001636661</v>
      </c>
      <c r="F18" s="65" t="str">
        <f aca="false">IFERROR(SUM('CRM ACTUALS'!$S$7:$S$106)/SUM('CRM ACTUALS'!$P$7:$P$106),"")</f>
        <v/>
      </c>
      <c r="G18" s="65" t="str">
        <f aca="false">IF(INPUTS!C71="","",INPUTS!C71)</f>
        <v/>
      </c>
      <c r="H18" s="21" t="str">
        <f aca="false">IF(G18="","",E18-G18)</f>
        <v/>
      </c>
    </row>
    <row r="19" customFormat="false" ht="15" hidden="false" customHeight="false" outlineLevel="0" collapsed="false">
      <c r="B19" s="19" t="s">
        <v>158</v>
      </c>
      <c r="C19" s="19"/>
      <c r="D19" s="29" t="n">
        <f aca="false">H10</f>
        <v>0</v>
      </c>
      <c r="E19" s="21" t="n">
        <f aca="false">IFERROR(D19/$N$10,0)</f>
        <v>0</v>
      </c>
      <c r="F19" s="65" t="str">
        <f aca="false">IFERROR(SUM('CRM ACTUALS'!$T$7:$T$106)/SUM('CRM ACTUALS'!$P$7:$P$106),"")</f>
        <v/>
      </c>
      <c r="G19" s="65" t="str">
        <f aca="false">IF(INPUTS!C72="","",INPUTS!C72)</f>
        <v/>
      </c>
      <c r="H19" s="21" t="str">
        <f aca="false">IF(G19="","",E19-G19)</f>
        <v/>
      </c>
    </row>
    <row r="20" customFormat="false" ht="15" hidden="false" customHeight="false" outlineLevel="0" collapsed="false">
      <c r="B20" s="19" t="s">
        <v>159</v>
      </c>
      <c r="C20" s="19"/>
      <c r="D20" s="29" t="n">
        <f aca="false">I10</f>
        <v>180000</v>
      </c>
      <c r="E20" s="21" t="n">
        <f aca="false">IFERROR(D20/$N$10,0)</f>
        <v>0.368248772504092</v>
      </c>
      <c r="F20" s="65" t="str">
        <f aca="false">IFERROR(SUM('CRM ACTUALS'!$U$7:$U$106)/SUM('CRM ACTUALS'!$P$7:$P$106),"")</f>
        <v/>
      </c>
      <c r="G20" s="65" t="str">
        <f aca="false">IF(INPUTS!C73="","",INPUTS!C73)</f>
        <v/>
      </c>
      <c r="H20" s="21" t="str">
        <f aca="false">IF(G20="","",E20-G20)</f>
        <v/>
      </c>
    </row>
    <row r="21" customFormat="false" ht="15" hidden="false" customHeight="false" outlineLevel="0" collapsed="false">
      <c r="B21" s="19" t="s">
        <v>160</v>
      </c>
      <c r="C21" s="19"/>
      <c r="D21" s="29" t="n">
        <f aca="false">J10</f>
        <v>0</v>
      </c>
      <c r="E21" s="21" t="n">
        <f aca="false">IFERROR(D21/$N$10,0)</f>
        <v>0</v>
      </c>
      <c r="F21" s="65" t="str">
        <f aca="false">""</f>
        <v/>
      </c>
      <c r="G21" s="65" t="str">
        <f aca="false">IF(INPUTS!C74="","",INPUTS!C74)</f>
        <v/>
      </c>
      <c r="H21" s="21" t="str">
        <f aca="false">IF(G21="","",E21-G21)</f>
        <v/>
      </c>
    </row>
    <row r="22" customFormat="false" ht="15" hidden="false" customHeight="false" outlineLevel="0" collapsed="false">
      <c r="B22" s="19" t="s">
        <v>161</v>
      </c>
      <c r="C22" s="19"/>
      <c r="D22" s="29" t="n">
        <f aca="false">O10</f>
        <v>73370.62</v>
      </c>
      <c r="E22" s="21" t="n">
        <f aca="false">IFERROR(D22/$N$10,0)</f>
        <v>0.150103559738134</v>
      </c>
      <c r="F22" s="65" t="str">
        <f aca="false">IFERROR(1-SUM('CRM ACTUALS'!$V$7:$V$106)/SUM('CRM ACTUALS'!$P$7:$P$106),"")</f>
        <v/>
      </c>
      <c r="G22" s="65" t="str">
        <f aca="false">IF(INPUTS!C75="","",INPUTS!C75)</f>
        <v/>
      </c>
      <c r="H22" s="21" t="str">
        <f aca="false">IF(G22="","",E22-G22)</f>
        <v/>
      </c>
    </row>
    <row r="23" customFormat="false" ht="15" hidden="false" customHeight="false" outlineLevel="0" collapsed="false">
      <c r="B23" s="4" t="s">
        <v>140</v>
      </c>
      <c r="D23" s="31" t="n">
        <f aca="false">SUM(D16:D22)</f>
        <v>488800</v>
      </c>
      <c r="E23" s="24" t="n">
        <f aca="false">SUM(E16:E22)</f>
        <v>1</v>
      </c>
    </row>
    <row r="26" customFormat="false" ht="15" hidden="false" customHeight="false" outlineLevel="0" collapsed="false">
      <c r="B26" s="3" t="s">
        <v>467</v>
      </c>
    </row>
    <row r="27" customFormat="false" ht="15" hidden="false" customHeight="false" outlineLevel="0" collapsed="false">
      <c r="B27" s="19" t="s">
        <v>468</v>
      </c>
      <c r="C27" s="19"/>
      <c r="D27" s="19"/>
      <c r="E27" s="19"/>
      <c r="F27" s="19"/>
      <c r="G27" s="19"/>
      <c r="H27" s="19"/>
      <c r="I27" s="71" t="str">
        <f aca="false">'LABOUR RATES'!C14</f>
        <v>OK</v>
      </c>
    </row>
    <row r="28" customFormat="false" ht="15" hidden="false" customHeight="false" outlineLevel="0" collapsed="false">
      <c r="B28" s="19" t="s">
        <v>469</v>
      </c>
      <c r="C28" s="19"/>
      <c r="D28" s="19"/>
      <c r="E28" s="19"/>
      <c r="F28" s="19"/>
      <c r="G28" s="19"/>
      <c r="H28" s="19"/>
      <c r="I28" s="71" t="str">
        <f aca="false">'LABOUR RATES'!C29</f>
        <v>OK</v>
      </c>
    </row>
    <row r="29" customFormat="false" ht="15" hidden="false" customHeight="false" outlineLevel="0" collapsed="false">
      <c r="B29" s="19" t="s">
        <v>470</v>
      </c>
      <c r="C29" s="19"/>
      <c r="D29" s="19"/>
      <c r="E29" s="19"/>
      <c r="F29" s="19"/>
      <c r="G29" s="19"/>
      <c r="H29" s="19"/>
      <c r="I29" s="71" t="str">
        <f aca="false">IF(ABS(D6+D7-'LABOUR RATES'!G11)&lt;1,"OK","CHECK")</f>
        <v>OK</v>
      </c>
    </row>
    <row r="30" customFormat="false" ht="15" hidden="false" customHeight="false" outlineLevel="0" collapsed="false">
      <c r="B30" s="19" t="s">
        <v>471</v>
      </c>
      <c r="C30" s="19"/>
      <c r="D30" s="19"/>
      <c r="E30" s="19"/>
      <c r="F30" s="19"/>
      <c r="G30" s="19"/>
      <c r="H30" s="19"/>
      <c r="I30" s="71" t="str">
        <f aca="false">IF(ABS(D8+D9-'LABOUR RATES'!G26)&lt;1,"OK","CHECK")</f>
        <v>OK</v>
      </c>
    </row>
    <row r="31" customFormat="false" ht="15" hidden="false" customHeight="false" outlineLevel="0" collapsed="false">
      <c r="B31" s="19" t="s">
        <v>472</v>
      </c>
      <c r="C31" s="19"/>
      <c r="D31" s="19"/>
      <c r="E31" s="19"/>
      <c r="F31" s="19"/>
      <c r="G31" s="19"/>
      <c r="H31" s="19"/>
      <c r="I31" s="71" t="str">
        <f aca="false">IF(SUMPRODUCT(('PLUMBING EST'!$P$7:$P$156&lt;&gt;0)*(ISNA(MATCH('PLUMBING EST'!$B$7:$B$156,INPUTS!$C$33:$C$36,0))+ISNA(MATCH('PLUMBING EST'!$C$7:$C$156,INPUTS!$B$58:$B$65,0))))+SUMPRODUCT(('HVAC EST'!$P$7:$P$156&lt;&gt;0)*(ISNA(MATCH('HVAC EST'!$B$7:$B$156,INPUTS!$C$33:$C$36,0))+ISNA(MATCH('HVAC EST'!$C$7:$C$156,INPUTS!$B$58:$B$65,0))))=0,"OK","CHECK")</f>
        <v>OK</v>
      </c>
    </row>
    <row r="32" customFormat="false" ht="15" hidden="false" customHeight="false" outlineLevel="0" collapsed="false">
      <c r="B32" s="19" t="s">
        <v>473</v>
      </c>
      <c r="C32" s="19"/>
      <c r="D32" s="19"/>
      <c r="E32" s="19"/>
      <c r="F32" s="19"/>
      <c r="G32" s="19"/>
      <c r="H32" s="19"/>
      <c r="I32" s="71" t="str">
        <f aca="false">IF(ABS('SUBS &amp; GC'!H32-SUM('SUBS &amp; GC'!M32:P32))&lt;1,"OK","CHECK")</f>
        <v>OK</v>
      </c>
    </row>
    <row r="33" customFormat="false" ht="15" hidden="false" customHeight="false" outlineLevel="0" collapsed="false">
      <c r="B33" s="19" t="s">
        <v>474</v>
      </c>
      <c r="C33" s="19"/>
      <c r="D33" s="19"/>
      <c r="E33" s="19"/>
      <c r="F33" s="19"/>
      <c r="G33" s="19"/>
      <c r="H33" s="19"/>
      <c r="I33" s="71" t="str">
        <f aca="false">IF(ABS('SUBS &amp; GC'!H66-SUM('SUBS &amp; GC'!M66:P66))&lt;1,"OK","CHECK")</f>
        <v>OK</v>
      </c>
    </row>
    <row r="34" customFormat="false" ht="15" hidden="false" customHeight="false" outlineLevel="0" collapsed="false">
      <c r="B34" s="19" t="s">
        <v>475</v>
      </c>
      <c r="C34" s="19"/>
      <c r="D34" s="19"/>
      <c r="E34" s="19"/>
      <c r="F34" s="19"/>
      <c r="G34" s="19"/>
      <c r="H34" s="19"/>
      <c r="I34" s="71" t="str">
        <f aca="false">INPUTS!F55</f>
        <v>OK</v>
      </c>
    </row>
    <row r="35" customFormat="false" ht="15" hidden="false" customHeight="false" outlineLevel="0" collapsed="false">
      <c r="B35" s="19" t="s">
        <v>476</v>
      </c>
      <c r="C35" s="19"/>
      <c r="D35" s="19"/>
      <c r="E35" s="19"/>
      <c r="F35" s="19"/>
      <c r="G35" s="19"/>
      <c r="H35" s="19"/>
      <c r="I35" s="71" t="str">
        <f aca="false">IF(ABS(BUDGET!J11-K10)&lt;1,"OK","CHECK")</f>
        <v>OK</v>
      </c>
    </row>
    <row r="36" customFormat="false" ht="15" hidden="false" customHeight="false" outlineLevel="0" collapsed="false">
      <c r="B36" s="19" t="s">
        <v>477</v>
      </c>
      <c r="C36" s="19"/>
      <c r="D36" s="19"/>
      <c r="E36" s="19"/>
      <c r="F36" s="19"/>
      <c r="G36" s="19"/>
      <c r="H36" s="19"/>
      <c r="I36" s="71" t="str">
        <f aca="false">IF(ABS('SCHEDULE OF VALUES'!C5-N10)&lt;1,"OK","CHECK")</f>
        <v>OK</v>
      </c>
    </row>
    <row r="37" customFormat="false" ht="15" hidden="false" customHeight="false" outlineLevel="0" collapsed="false">
      <c r="B37" s="4" t="s">
        <v>478</v>
      </c>
      <c r="I37" s="71" t="str">
        <f aca="false">IF(COUNTIF(I27:I36,"OK")=10,"OK","CHECK")</f>
        <v>OK</v>
      </c>
    </row>
  </sheetData>
  <mergeCells count="18">
    <mergeCell ref="B15:C15"/>
    <mergeCell ref="B16:C16"/>
    <mergeCell ref="B17:C17"/>
    <mergeCell ref="B18:C18"/>
    <mergeCell ref="B19:C19"/>
    <mergeCell ref="B20:C20"/>
    <mergeCell ref="B21:C21"/>
    <mergeCell ref="B22:C22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conditionalFormatting sqref="I27:I3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L2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479</v>
      </c>
    </row>
    <row r="2" customFormat="false" ht="15" hidden="false" customHeight="false" outlineLevel="0" collapsed="false">
      <c r="B2" s="9" t="str">
        <f aca="false">IF(INPUTS!C4="","",INPUTS!C4)&amp;"   Quote: "&amp;INPUTS!C5</f>
        <v>   Quote: </v>
      </c>
    </row>
    <row r="4" customFormat="false" ht="15" hidden="false" customHeight="false" outlineLevel="0" collapsed="false">
      <c r="B4" s="3" t="s">
        <v>480</v>
      </c>
    </row>
    <row r="5" customFormat="false" ht="30" hidden="false" customHeight="true" outlineLevel="0" collapsed="false">
      <c r="B5" s="18" t="s">
        <v>88</v>
      </c>
      <c r="C5" s="18" t="s">
        <v>170</v>
      </c>
      <c r="D5" s="18" t="s">
        <v>437</v>
      </c>
      <c r="E5" s="18" t="s">
        <v>216</v>
      </c>
      <c r="F5" s="18" t="s">
        <v>481</v>
      </c>
      <c r="G5" s="18" t="s">
        <v>439</v>
      </c>
      <c r="H5" s="18" t="s">
        <v>440</v>
      </c>
      <c r="I5" s="18" t="s">
        <v>446</v>
      </c>
      <c r="J5" s="18" t="s">
        <v>217</v>
      </c>
      <c r="K5" s="18" t="s">
        <v>482</v>
      </c>
      <c r="L5" s="18" t="s">
        <v>483</v>
      </c>
    </row>
    <row r="6" customFormat="false" ht="15" hidden="false" customHeight="false" outlineLevel="0" collapsed="false">
      <c r="B6" s="63" t="str">
        <f aca="false">'BID SUMMARY'!B6</f>
        <v>Plumbing</v>
      </c>
      <c r="C6" s="33" t="n">
        <f aca="false">'BID SUMMARY'!C6</f>
        <v>1476</v>
      </c>
      <c r="D6" s="64" t="n">
        <f aca="false">'BID SUMMARY'!D6</f>
        <v>95563.62</v>
      </c>
      <c r="E6" s="64" t="n">
        <f aca="false">'BID SUMMARY'!E6</f>
        <v>32472</v>
      </c>
      <c r="F6" s="64" t="n">
        <f aca="false">'BID SUMMARY'!F6+'BID SUMMARY'!G6</f>
        <v>107393.76</v>
      </c>
      <c r="G6" s="64" t="n">
        <f aca="false">'BID SUMMARY'!H6</f>
        <v>0</v>
      </c>
      <c r="H6" s="64" t="n">
        <f aca="false">'BID SUMMARY'!I6</f>
        <v>180000</v>
      </c>
      <c r="I6" s="64" t="n">
        <f aca="false">'BID SUMMARY'!J6</f>
        <v>0</v>
      </c>
      <c r="J6" s="72" t="n">
        <f aca="false">'BID SUMMARY'!K6</f>
        <v>415429.38</v>
      </c>
      <c r="K6" s="64" t="n">
        <f aca="false">'BID SUMMARY'!O6</f>
        <v>73370.62</v>
      </c>
      <c r="L6" s="72" t="n">
        <f aca="false">'BID SUMMARY'!N6</f>
        <v>488800</v>
      </c>
    </row>
    <row r="7" customFormat="false" ht="15" hidden="false" customHeight="false" outlineLevel="0" collapsed="false">
      <c r="B7" s="63" t="str">
        <f aca="false">'BID SUMMARY'!B7</f>
        <v>Hydronic</v>
      </c>
      <c r="C7" s="33" t="n">
        <f aca="false">'BID SUMMARY'!C7</f>
        <v>0</v>
      </c>
      <c r="D7" s="64" t="n">
        <f aca="false">'BID SUMMARY'!D7</f>
        <v>0</v>
      </c>
      <c r="E7" s="64" t="n">
        <f aca="false">'BID SUMMARY'!E7</f>
        <v>0</v>
      </c>
      <c r="F7" s="64" t="n">
        <f aca="false">'BID SUMMARY'!F7+'BID SUMMARY'!G7</f>
        <v>0</v>
      </c>
      <c r="G7" s="64" t="n">
        <f aca="false">'BID SUMMARY'!H7</f>
        <v>0</v>
      </c>
      <c r="H7" s="64" t="n">
        <f aca="false">'BID SUMMARY'!I7</f>
        <v>0</v>
      </c>
      <c r="I7" s="64" t="n">
        <f aca="false">'BID SUMMARY'!J7</f>
        <v>0</v>
      </c>
      <c r="J7" s="72" t="n">
        <f aca="false">'BID SUMMARY'!K7</f>
        <v>0</v>
      </c>
      <c r="K7" s="64" t="n">
        <f aca="false">'BID SUMMARY'!O7</f>
        <v>0</v>
      </c>
      <c r="L7" s="72" t="n">
        <f aca="false">'BID SUMMARY'!N7</f>
        <v>0</v>
      </c>
    </row>
    <row r="8" customFormat="false" ht="15" hidden="false" customHeight="false" outlineLevel="0" collapsed="false">
      <c r="B8" s="63" t="str">
        <f aca="false">'BID SUMMARY'!B8</f>
        <v>Ventilation</v>
      </c>
      <c r="C8" s="33" t="n">
        <f aca="false">'BID SUMMARY'!C8</f>
        <v>0</v>
      </c>
      <c r="D8" s="64" t="n">
        <f aca="false">'BID SUMMARY'!D8</f>
        <v>0</v>
      </c>
      <c r="E8" s="64" t="n">
        <f aca="false">'BID SUMMARY'!E8</f>
        <v>0</v>
      </c>
      <c r="F8" s="64" t="n">
        <f aca="false">'BID SUMMARY'!F8+'BID SUMMARY'!G8</f>
        <v>0</v>
      </c>
      <c r="G8" s="64" t="n">
        <f aca="false">'BID SUMMARY'!H8</f>
        <v>0</v>
      </c>
      <c r="H8" s="64" t="n">
        <f aca="false">'BID SUMMARY'!I8</f>
        <v>0</v>
      </c>
      <c r="I8" s="64" t="n">
        <f aca="false">'BID SUMMARY'!J8</f>
        <v>0</v>
      </c>
      <c r="J8" s="72" t="n">
        <f aca="false">'BID SUMMARY'!K8</f>
        <v>0</v>
      </c>
      <c r="K8" s="64" t="n">
        <f aca="false">'BID SUMMARY'!O8</f>
        <v>0</v>
      </c>
      <c r="L8" s="72" t="n">
        <f aca="false">'BID SUMMARY'!N8</f>
        <v>0</v>
      </c>
    </row>
    <row r="9" customFormat="false" ht="15" hidden="false" customHeight="false" outlineLevel="0" collapsed="false">
      <c r="B9" s="63" t="str">
        <f aca="false">'BID SUMMARY'!B9</f>
        <v>Air Conditioning</v>
      </c>
      <c r="C9" s="33" t="n">
        <f aca="false">'BID SUMMARY'!C9</f>
        <v>0</v>
      </c>
      <c r="D9" s="64" t="n">
        <f aca="false">'BID SUMMARY'!D9</f>
        <v>0</v>
      </c>
      <c r="E9" s="64" t="n">
        <f aca="false">'BID SUMMARY'!E9</f>
        <v>0</v>
      </c>
      <c r="F9" s="64" t="n">
        <f aca="false">'BID SUMMARY'!F9+'BID SUMMARY'!G9</f>
        <v>0</v>
      </c>
      <c r="G9" s="64" t="n">
        <f aca="false">'BID SUMMARY'!H9</f>
        <v>0</v>
      </c>
      <c r="H9" s="64" t="n">
        <f aca="false">'BID SUMMARY'!I9</f>
        <v>0</v>
      </c>
      <c r="I9" s="64" t="n">
        <f aca="false">'BID SUMMARY'!J9</f>
        <v>0</v>
      </c>
      <c r="J9" s="72" t="n">
        <f aca="false">'BID SUMMARY'!K9</f>
        <v>0</v>
      </c>
      <c r="K9" s="64" t="n">
        <f aca="false">'BID SUMMARY'!O9</f>
        <v>0</v>
      </c>
      <c r="L9" s="72" t="n">
        <f aca="false">'BID SUMMARY'!N9</f>
        <v>0</v>
      </c>
    </row>
    <row r="10" customFormat="false" ht="15" hidden="false" customHeight="false" outlineLevel="0" collapsed="false">
      <c r="B10" s="4" t="s">
        <v>140</v>
      </c>
      <c r="C10" s="23" t="n">
        <f aca="false">SUM(C6:C9)</f>
        <v>1476</v>
      </c>
      <c r="D10" s="31" t="n">
        <f aca="false">SUM(D6:D9)</f>
        <v>95563.62</v>
      </c>
      <c r="E10" s="31" t="n">
        <f aca="false">SUM(E6:E9)</f>
        <v>32472</v>
      </c>
      <c r="F10" s="31" t="n">
        <f aca="false">SUM(F6:F9)</f>
        <v>107393.76</v>
      </c>
      <c r="G10" s="31" t="n">
        <f aca="false">SUM(G6:G9)</f>
        <v>0</v>
      </c>
      <c r="H10" s="31" t="n">
        <f aca="false">SUM(H6:H9)</f>
        <v>180000</v>
      </c>
      <c r="I10" s="31" t="n">
        <f aca="false">SUM(I6:I9)</f>
        <v>0</v>
      </c>
      <c r="J10" s="31" t="n">
        <f aca="false">SUM(J6:J9)</f>
        <v>415429.38</v>
      </c>
      <c r="K10" s="31" t="n">
        <f aca="false">SUM(K6:K9)</f>
        <v>73370.62</v>
      </c>
      <c r="L10" s="31" t="n">
        <f aca="false">SUM(L6:L9)</f>
        <v>488800</v>
      </c>
    </row>
    <row r="11" customFormat="false" ht="15" hidden="false" customHeight="false" outlineLevel="0" collapsed="false">
      <c r="B11" s="2" t="s">
        <v>484</v>
      </c>
      <c r="J11" s="70" t="n">
        <f aca="false">J26+J43+J60+J77</f>
        <v>415429.38</v>
      </c>
      <c r="K11" s="25" t="str">
        <f aca="false">IF(ABS(J11-J10)&lt;1,"OK","CHECK")</f>
        <v>OK</v>
      </c>
    </row>
    <row r="14" customFormat="false" ht="15" hidden="false" customHeight="false" outlineLevel="0" collapsed="false">
      <c r="B14" s="73" t="s">
        <v>485</v>
      </c>
      <c r="C14" s="74"/>
      <c r="D14" s="74"/>
      <c r="E14" s="74"/>
      <c r="F14" s="74"/>
      <c r="G14" s="74"/>
      <c r="H14" s="74"/>
      <c r="I14" s="74"/>
      <c r="J14" s="74"/>
    </row>
    <row r="15" customFormat="false" ht="30" hidden="false" customHeight="true" outlineLevel="0" collapsed="false">
      <c r="B15" s="18" t="s">
        <v>205</v>
      </c>
      <c r="C15" s="18" t="s">
        <v>170</v>
      </c>
      <c r="D15" s="18" t="s">
        <v>437</v>
      </c>
      <c r="E15" s="18" t="s">
        <v>216</v>
      </c>
      <c r="F15" s="18" t="s">
        <v>438</v>
      </c>
      <c r="G15" s="18" t="s">
        <v>439</v>
      </c>
      <c r="H15" s="18" t="s">
        <v>440</v>
      </c>
      <c r="I15" s="18"/>
      <c r="J15" s="18" t="s">
        <v>486</v>
      </c>
      <c r="K15" s="18" t="s">
        <v>487</v>
      </c>
    </row>
    <row r="16" customFormat="false" ht="15" hidden="false" customHeight="false" outlineLevel="0" collapsed="false">
      <c r="B16" s="63" t="str">
        <f aca="false">INPUTS!$B$58</f>
        <v>01 Mobilization &amp; Submittals</v>
      </c>
      <c r="C16" s="14" t="n">
        <f aca="false">SUMIFS('PLUMBING EST'!$M$7:$M$156,'PLUMBING EST'!$B$7:$B$156,"P",'PLUMBING EST'!$C$7:$C$156,INPUTS!$B$58)+SUMIFS('HVAC EST'!$M$7:$M$156,'HVAC EST'!$B$7:$B$156,"P",'HVAC EST'!$C$7:$C$156,INPUTS!$B$58)</f>
        <v>0</v>
      </c>
      <c r="D16" s="29" t="n">
        <f aca="false">SUMIFS('PLUMBING EST'!$N$7:$N$156,'PLUMBING EST'!$B$7:$B$156,"P",'PLUMBING EST'!$C$7:$C$156,INPUTS!$B$58)+SUMIFS('HVAC EST'!$N$7:$N$156,'HVAC EST'!$B$7:$B$156,"P",'HVAC EST'!$C$7:$C$156,INPUTS!$B$58)</f>
        <v>0</v>
      </c>
      <c r="E16" s="29" t="n">
        <f aca="false">SUMIFS('PLUMBING EST'!$O$7:$O$156,'PLUMBING EST'!$B$7:$B$156,"P",'PLUMBING EST'!$C$7:$C$156,INPUTS!$B$58)+SUMIFS('HVAC EST'!$O$7:$O$156,'HVAC EST'!$B$7:$B$156,"P",'HVAC EST'!$C$7:$C$156,INPUTS!$B$58)</f>
        <v>0</v>
      </c>
      <c r="F16" s="29" t="n">
        <f aca="false">SUMIFS('PLUMBING EST'!$L$7:$L$156,'PLUMBING EST'!$B$7:$B$156,"P",'PLUMBING EST'!$C$7:$C$156,INPUTS!$B$58)+SUMIFS('HVAC EST'!$L$7:$L$156,'HVAC EST'!$B$7:$B$156,"P",'HVAC EST'!$C$7:$C$156,INPUTS!$B$58)</f>
        <v>0</v>
      </c>
      <c r="G16" s="29" t="n">
        <f aca="false">SUMIFS('SUBS &amp; GC'!$M$7:$M$31,'SUBS &amp; GC'!$D$7:$D$31,INPUTS!$B$58)</f>
        <v>0</v>
      </c>
      <c r="H16" s="29" t="n">
        <f aca="false">SUMIFS('SUBS &amp; GC'!$M$36:$M$65,'SUBS &amp; GC'!$D$36:$D$65,INPUTS!$B$58)</f>
        <v>0</v>
      </c>
      <c r="I16" s="19"/>
      <c r="J16" s="40" t="n">
        <f aca="false">SUM(D16:H16)</f>
        <v>0</v>
      </c>
      <c r="K16" s="21" t="n">
        <f aca="false">IFERROR(J16/$J$26,0)</f>
        <v>0</v>
      </c>
    </row>
    <row r="17" customFormat="false" ht="15" hidden="false" customHeight="false" outlineLevel="0" collapsed="false">
      <c r="B17" s="63" t="str">
        <f aca="false">INPUTS!$B$59</f>
        <v>02 Underground</v>
      </c>
      <c r="C17" s="14" t="n">
        <f aca="false">SUMIFS('PLUMBING EST'!$M$7:$M$156,'PLUMBING EST'!$B$7:$B$156,"P",'PLUMBING EST'!$C$7:$C$156,INPUTS!$B$59)+SUMIFS('HVAC EST'!$M$7:$M$156,'HVAC EST'!$B$7:$B$156,"P",'HVAC EST'!$C$7:$C$156,INPUTS!$B$59)</f>
        <v>0</v>
      </c>
      <c r="D17" s="29" t="n">
        <f aca="false">SUMIFS('PLUMBING EST'!$N$7:$N$156,'PLUMBING EST'!$B$7:$B$156,"P",'PLUMBING EST'!$C$7:$C$156,INPUTS!$B$59)+SUMIFS('HVAC EST'!$N$7:$N$156,'HVAC EST'!$B$7:$B$156,"P",'HVAC EST'!$C$7:$C$156,INPUTS!$B$59)</f>
        <v>0</v>
      </c>
      <c r="E17" s="29" t="n">
        <f aca="false">SUMIFS('PLUMBING EST'!$O$7:$O$156,'PLUMBING EST'!$B$7:$B$156,"P",'PLUMBING EST'!$C$7:$C$156,INPUTS!$B$59)+SUMIFS('HVAC EST'!$O$7:$O$156,'HVAC EST'!$B$7:$B$156,"P",'HVAC EST'!$C$7:$C$156,INPUTS!$B$59)</f>
        <v>0</v>
      </c>
      <c r="F17" s="29" t="n">
        <f aca="false">SUMIFS('PLUMBING EST'!$L$7:$L$156,'PLUMBING EST'!$B$7:$B$156,"P",'PLUMBING EST'!$C$7:$C$156,INPUTS!$B$59)+SUMIFS('HVAC EST'!$L$7:$L$156,'HVAC EST'!$B$7:$B$156,"P",'HVAC EST'!$C$7:$C$156,INPUTS!$B$59)</f>
        <v>0</v>
      </c>
      <c r="G17" s="29" t="n">
        <f aca="false">SUMIFS('SUBS &amp; GC'!$M$7:$M$31,'SUBS &amp; GC'!$D$7:$D$31,INPUTS!$B$59)</f>
        <v>0</v>
      </c>
      <c r="H17" s="29" t="n">
        <f aca="false">SUMIFS('SUBS &amp; GC'!$M$36:$M$65,'SUBS &amp; GC'!$D$36:$D$65,INPUTS!$B$59)</f>
        <v>0</v>
      </c>
      <c r="I17" s="19"/>
      <c r="J17" s="40" t="n">
        <f aca="false">SUM(D17:H17)</f>
        <v>0</v>
      </c>
      <c r="K17" s="21" t="n">
        <f aca="false">IFERROR(J17/$J$26,0)</f>
        <v>0</v>
      </c>
    </row>
    <row r="18" customFormat="false" ht="15" hidden="false" customHeight="false" outlineLevel="0" collapsed="false">
      <c r="B18" s="63" t="str">
        <f aca="false">INPUTS!$B$60</f>
        <v>03 Rough-in</v>
      </c>
      <c r="C18" s="14" t="n">
        <f aca="false">SUMIFS('PLUMBING EST'!$M$7:$M$156,'PLUMBING EST'!$B$7:$B$156,"P",'PLUMBING EST'!$C$7:$C$156,INPUTS!$B$60)+SUMIFS('HVAC EST'!$M$7:$M$156,'HVAC EST'!$B$7:$B$156,"P",'HVAC EST'!$C$7:$C$156,INPUTS!$B$60)</f>
        <v>1476</v>
      </c>
      <c r="D18" s="29" t="n">
        <f aca="false">SUMIFS('PLUMBING EST'!$N$7:$N$156,'PLUMBING EST'!$B$7:$B$156,"P",'PLUMBING EST'!$C$7:$C$156,INPUTS!$B$60)+SUMIFS('HVAC EST'!$N$7:$N$156,'HVAC EST'!$B$7:$B$156,"P",'HVAC EST'!$C$7:$C$156,INPUTS!$B$60)</f>
        <v>95563.62</v>
      </c>
      <c r="E18" s="29" t="n">
        <f aca="false">SUMIFS('PLUMBING EST'!$O$7:$O$156,'PLUMBING EST'!$B$7:$B$156,"P",'PLUMBING EST'!$C$7:$C$156,INPUTS!$B$60)+SUMIFS('HVAC EST'!$O$7:$O$156,'HVAC EST'!$B$7:$B$156,"P",'HVAC EST'!$C$7:$C$156,INPUTS!$B$60)</f>
        <v>32472</v>
      </c>
      <c r="F18" s="29" t="n">
        <f aca="false">SUMIFS('PLUMBING EST'!$L$7:$L$156,'PLUMBING EST'!$B$7:$B$156,"P",'PLUMBING EST'!$C$7:$C$156,INPUTS!$B$60)+SUMIFS('HVAC EST'!$L$7:$L$156,'HVAC EST'!$B$7:$B$156,"P",'HVAC EST'!$C$7:$C$156,INPUTS!$B$60)</f>
        <v>105288</v>
      </c>
      <c r="G18" s="29" t="n">
        <f aca="false">SUMIFS('SUBS &amp; GC'!$M$7:$M$31,'SUBS &amp; GC'!$D$7:$D$31,INPUTS!$B$60)</f>
        <v>0</v>
      </c>
      <c r="H18" s="29" t="n">
        <f aca="false">SUMIFS('SUBS &amp; GC'!$M$36:$M$65,'SUBS &amp; GC'!$D$36:$D$65,INPUTS!$B$60)</f>
        <v>0</v>
      </c>
      <c r="I18" s="19"/>
      <c r="J18" s="40" t="n">
        <f aca="false">SUM(D18:H18)</f>
        <v>233323.62</v>
      </c>
      <c r="K18" s="21" t="n">
        <f aca="false">IFERROR(J18/$J$26,0)</f>
        <v>0.561644484557159</v>
      </c>
    </row>
    <row r="19" customFormat="false" ht="15" hidden="false" customHeight="false" outlineLevel="0" collapsed="false">
      <c r="B19" s="63" t="str">
        <f aca="false">INPUTS!$B$61</f>
        <v>04 Finishing</v>
      </c>
      <c r="C19" s="14" t="n">
        <f aca="false">SUMIFS('PLUMBING EST'!$M$7:$M$156,'PLUMBING EST'!$B$7:$B$156,"P",'PLUMBING EST'!$C$7:$C$156,INPUTS!$B$61)+SUMIFS('HVAC EST'!$M$7:$M$156,'HVAC EST'!$B$7:$B$156,"P",'HVAC EST'!$C$7:$C$156,INPUTS!$B$61)</f>
        <v>0</v>
      </c>
      <c r="D19" s="29" t="n">
        <f aca="false">SUMIFS('PLUMBING EST'!$N$7:$N$156,'PLUMBING EST'!$B$7:$B$156,"P",'PLUMBING EST'!$C$7:$C$156,INPUTS!$B$61)+SUMIFS('HVAC EST'!$N$7:$N$156,'HVAC EST'!$B$7:$B$156,"P",'HVAC EST'!$C$7:$C$156,INPUTS!$B$61)</f>
        <v>0</v>
      </c>
      <c r="E19" s="29" t="n">
        <f aca="false">SUMIFS('PLUMBING EST'!$O$7:$O$156,'PLUMBING EST'!$B$7:$B$156,"P",'PLUMBING EST'!$C$7:$C$156,INPUTS!$B$61)+SUMIFS('HVAC EST'!$O$7:$O$156,'HVAC EST'!$B$7:$B$156,"P",'HVAC EST'!$C$7:$C$156,INPUTS!$B$61)</f>
        <v>0</v>
      </c>
      <c r="F19" s="29" t="n">
        <f aca="false">SUMIFS('PLUMBING EST'!$L$7:$L$156,'PLUMBING EST'!$B$7:$B$156,"P",'PLUMBING EST'!$C$7:$C$156,INPUTS!$B$61)+SUMIFS('HVAC EST'!$L$7:$L$156,'HVAC EST'!$B$7:$B$156,"P",'HVAC EST'!$C$7:$C$156,INPUTS!$B$61)</f>
        <v>0</v>
      </c>
      <c r="G19" s="29" t="n">
        <f aca="false">SUMIFS('SUBS &amp; GC'!$M$7:$M$31,'SUBS &amp; GC'!$D$7:$D$31,INPUTS!$B$61)</f>
        <v>0</v>
      </c>
      <c r="H19" s="29" t="n">
        <f aca="false">SUMIFS('SUBS &amp; GC'!$M$36:$M$65,'SUBS &amp; GC'!$D$36:$D$65,INPUTS!$B$61)</f>
        <v>0</v>
      </c>
      <c r="I19" s="19"/>
      <c r="J19" s="40" t="n">
        <f aca="false">SUM(D19:H19)</f>
        <v>0</v>
      </c>
      <c r="K19" s="21" t="n">
        <f aca="false">IFERROR(J19/$J$26,0)</f>
        <v>0</v>
      </c>
    </row>
    <row r="20" customFormat="false" ht="15" hidden="false" customHeight="false" outlineLevel="0" collapsed="false">
      <c r="B20" s="63" t="str">
        <f aca="false">INPUTS!$B$62</f>
        <v>05 Equipment &amp; Fixtures</v>
      </c>
      <c r="C20" s="14" t="n">
        <f aca="false">SUMIFS('PLUMBING EST'!$M$7:$M$156,'PLUMBING EST'!$B$7:$B$156,"P",'PLUMBING EST'!$C$7:$C$156,INPUTS!$B$62)+SUMIFS('HVAC EST'!$M$7:$M$156,'HVAC EST'!$B$7:$B$156,"P",'HVAC EST'!$C$7:$C$156,INPUTS!$B$62)</f>
        <v>0</v>
      </c>
      <c r="D20" s="29" t="n">
        <f aca="false">SUMIFS('PLUMBING EST'!$N$7:$N$156,'PLUMBING EST'!$B$7:$B$156,"P",'PLUMBING EST'!$C$7:$C$156,INPUTS!$B$62)+SUMIFS('HVAC EST'!$N$7:$N$156,'HVAC EST'!$B$7:$B$156,"P",'HVAC EST'!$C$7:$C$156,INPUTS!$B$62)</f>
        <v>0</v>
      </c>
      <c r="E20" s="29" t="n">
        <f aca="false">SUMIFS('PLUMBING EST'!$O$7:$O$156,'PLUMBING EST'!$B$7:$B$156,"P",'PLUMBING EST'!$C$7:$C$156,INPUTS!$B$62)+SUMIFS('HVAC EST'!$O$7:$O$156,'HVAC EST'!$B$7:$B$156,"P",'HVAC EST'!$C$7:$C$156,INPUTS!$B$62)</f>
        <v>0</v>
      </c>
      <c r="F20" s="29" t="n">
        <f aca="false">SUMIFS('PLUMBING EST'!$L$7:$L$156,'PLUMBING EST'!$B$7:$B$156,"P",'PLUMBING EST'!$C$7:$C$156,INPUTS!$B$62)+SUMIFS('HVAC EST'!$L$7:$L$156,'HVAC EST'!$B$7:$B$156,"P",'HVAC EST'!$C$7:$C$156,INPUTS!$B$62)</f>
        <v>0</v>
      </c>
      <c r="G20" s="29" t="n">
        <f aca="false">SUMIFS('SUBS &amp; GC'!$M$7:$M$31,'SUBS &amp; GC'!$D$7:$D$31,INPUTS!$B$62)</f>
        <v>0</v>
      </c>
      <c r="H20" s="29" t="n">
        <f aca="false">SUMIFS('SUBS &amp; GC'!$M$36:$M$65,'SUBS &amp; GC'!$D$36:$D$65,INPUTS!$B$62)</f>
        <v>0</v>
      </c>
      <c r="I20" s="19"/>
      <c r="J20" s="40" t="n">
        <f aca="false">SUM(D20:H20)</f>
        <v>0</v>
      </c>
      <c r="K20" s="21" t="n">
        <f aca="false">IFERROR(J20/$J$26,0)</f>
        <v>0</v>
      </c>
    </row>
    <row r="21" customFormat="false" ht="15" hidden="false" customHeight="false" outlineLevel="0" collapsed="false">
      <c r="B21" s="63" t="str">
        <f aca="false">INPUTS!$B$63</f>
        <v>06 Testing, Balancing &amp; Commissioning</v>
      </c>
      <c r="C21" s="14" t="n">
        <f aca="false">SUMIFS('PLUMBING EST'!$M$7:$M$156,'PLUMBING EST'!$B$7:$B$156,"P",'PLUMBING EST'!$C$7:$C$156,INPUTS!$B$63)+SUMIFS('HVAC EST'!$M$7:$M$156,'HVAC EST'!$B$7:$B$156,"P",'HVAC EST'!$C$7:$C$156,INPUTS!$B$63)</f>
        <v>0</v>
      </c>
      <c r="D21" s="29" t="n">
        <f aca="false">SUMIFS('PLUMBING EST'!$N$7:$N$156,'PLUMBING EST'!$B$7:$B$156,"P",'PLUMBING EST'!$C$7:$C$156,INPUTS!$B$63)+SUMIFS('HVAC EST'!$N$7:$N$156,'HVAC EST'!$B$7:$B$156,"P",'HVAC EST'!$C$7:$C$156,INPUTS!$B$63)</f>
        <v>0</v>
      </c>
      <c r="E21" s="29" t="n">
        <f aca="false">SUMIFS('PLUMBING EST'!$O$7:$O$156,'PLUMBING EST'!$B$7:$B$156,"P",'PLUMBING EST'!$C$7:$C$156,INPUTS!$B$63)+SUMIFS('HVAC EST'!$O$7:$O$156,'HVAC EST'!$B$7:$B$156,"P",'HVAC EST'!$C$7:$C$156,INPUTS!$B$63)</f>
        <v>0</v>
      </c>
      <c r="F21" s="29" t="n">
        <f aca="false">SUMIFS('PLUMBING EST'!$L$7:$L$156,'PLUMBING EST'!$B$7:$B$156,"P",'PLUMBING EST'!$C$7:$C$156,INPUTS!$B$63)+SUMIFS('HVAC EST'!$L$7:$L$156,'HVAC EST'!$B$7:$B$156,"P",'HVAC EST'!$C$7:$C$156,INPUTS!$B$63)</f>
        <v>0</v>
      </c>
      <c r="G21" s="29" t="n">
        <f aca="false">SUMIFS('SUBS &amp; GC'!$M$7:$M$31,'SUBS &amp; GC'!$D$7:$D$31,INPUTS!$B$63)</f>
        <v>0</v>
      </c>
      <c r="H21" s="29" t="n">
        <f aca="false">SUMIFS('SUBS &amp; GC'!$M$36:$M$65,'SUBS &amp; GC'!$D$36:$D$65,INPUTS!$B$63)</f>
        <v>0</v>
      </c>
      <c r="I21" s="19"/>
      <c r="J21" s="40" t="n">
        <f aca="false">SUM(D21:H21)</f>
        <v>0</v>
      </c>
      <c r="K21" s="21" t="n">
        <f aca="false">IFERROR(J21/$J$26,0)</f>
        <v>0</v>
      </c>
    </row>
    <row r="22" customFormat="false" ht="15" hidden="false" customHeight="false" outlineLevel="0" collapsed="false">
      <c r="B22" s="63" t="str">
        <f aca="false">INPUTS!$B$64</f>
        <v>07 Closeout &amp; Warranty</v>
      </c>
      <c r="C22" s="14" t="n">
        <f aca="false">SUMIFS('PLUMBING EST'!$M$7:$M$156,'PLUMBING EST'!$B$7:$B$156,"P",'PLUMBING EST'!$C$7:$C$156,INPUTS!$B$64)+SUMIFS('HVAC EST'!$M$7:$M$156,'HVAC EST'!$B$7:$B$156,"P",'HVAC EST'!$C$7:$C$156,INPUTS!$B$64)</f>
        <v>0</v>
      </c>
      <c r="D22" s="29" t="n">
        <f aca="false">SUMIFS('PLUMBING EST'!$N$7:$N$156,'PLUMBING EST'!$B$7:$B$156,"P",'PLUMBING EST'!$C$7:$C$156,INPUTS!$B$64)+SUMIFS('HVAC EST'!$N$7:$N$156,'HVAC EST'!$B$7:$B$156,"P",'HVAC EST'!$C$7:$C$156,INPUTS!$B$64)</f>
        <v>0</v>
      </c>
      <c r="E22" s="29" t="n">
        <f aca="false">SUMIFS('PLUMBING EST'!$O$7:$O$156,'PLUMBING EST'!$B$7:$B$156,"P",'PLUMBING EST'!$C$7:$C$156,INPUTS!$B$64)+SUMIFS('HVAC EST'!$O$7:$O$156,'HVAC EST'!$B$7:$B$156,"P",'HVAC EST'!$C$7:$C$156,INPUTS!$B$64)</f>
        <v>0</v>
      </c>
      <c r="F22" s="29" t="n">
        <f aca="false">SUMIFS('PLUMBING EST'!$L$7:$L$156,'PLUMBING EST'!$B$7:$B$156,"P",'PLUMBING EST'!$C$7:$C$156,INPUTS!$B$64)+SUMIFS('HVAC EST'!$L$7:$L$156,'HVAC EST'!$B$7:$B$156,"P",'HVAC EST'!$C$7:$C$156,INPUTS!$B$64)</f>
        <v>0</v>
      </c>
      <c r="G22" s="29" t="n">
        <f aca="false">SUMIFS('SUBS &amp; GC'!$M$7:$M$31,'SUBS &amp; GC'!$D$7:$D$31,INPUTS!$B$64)</f>
        <v>0</v>
      </c>
      <c r="H22" s="29" t="n">
        <f aca="false">SUMIFS('SUBS &amp; GC'!$M$36:$M$65,'SUBS &amp; GC'!$D$36:$D$65,INPUTS!$B$64)</f>
        <v>0</v>
      </c>
      <c r="I22" s="19"/>
      <c r="J22" s="40" t="n">
        <f aca="false">SUM(D22:H22)</f>
        <v>0</v>
      </c>
      <c r="K22" s="21" t="n">
        <f aca="false">IFERROR(J22/$J$26,0)</f>
        <v>0</v>
      </c>
    </row>
    <row r="23" customFormat="false" ht="15" hidden="false" customHeight="false" outlineLevel="0" collapsed="false">
      <c r="B23" s="63" t="str">
        <f aca="false">INPUTS!$B$65</f>
        <v>08 General Conditions</v>
      </c>
      <c r="C23" s="14" t="n">
        <f aca="false">SUMIFS('PLUMBING EST'!$M$7:$M$156,'PLUMBING EST'!$B$7:$B$156,"P",'PLUMBING EST'!$C$7:$C$156,INPUTS!$B$65)+SUMIFS('HVAC EST'!$M$7:$M$156,'HVAC EST'!$B$7:$B$156,"P",'HVAC EST'!$C$7:$C$156,INPUTS!$B$65)</f>
        <v>0</v>
      </c>
      <c r="D23" s="29" t="n">
        <f aca="false">SUMIFS('PLUMBING EST'!$N$7:$N$156,'PLUMBING EST'!$B$7:$B$156,"P",'PLUMBING EST'!$C$7:$C$156,INPUTS!$B$65)+SUMIFS('HVAC EST'!$N$7:$N$156,'HVAC EST'!$B$7:$B$156,"P",'HVAC EST'!$C$7:$C$156,INPUTS!$B$65)</f>
        <v>0</v>
      </c>
      <c r="E23" s="29" t="n">
        <f aca="false">SUMIFS('PLUMBING EST'!$O$7:$O$156,'PLUMBING EST'!$B$7:$B$156,"P",'PLUMBING EST'!$C$7:$C$156,INPUTS!$B$65)+SUMIFS('HVAC EST'!$O$7:$O$156,'HVAC EST'!$B$7:$B$156,"P",'HVAC EST'!$C$7:$C$156,INPUTS!$B$65)</f>
        <v>0</v>
      </c>
      <c r="F23" s="29" t="n">
        <f aca="false">SUMIFS('PLUMBING EST'!$L$7:$L$156,'PLUMBING EST'!$B$7:$B$156,"P",'PLUMBING EST'!$C$7:$C$156,INPUTS!$B$65)+SUMIFS('HVAC EST'!$L$7:$L$156,'HVAC EST'!$B$7:$B$156,"P",'HVAC EST'!$C$7:$C$156,INPUTS!$B$65)</f>
        <v>0</v>
      </c>
      <c r="G23" s="29" t="n">
        <f aca="false">SUMIFS('SUBS &amp; GC'!$M$7:$M$31,'SUBS &amp; GC'!$D$7:$D$31,INPUTS!$B$65)</f>
        <v>0</v>
      </c>
      <c r="H23" s="29" t="n">
        <f aca="false">SUMIFS('SUBS &amp; GC'!$M$36:$M$65,'SUBS &amp; GC'!$D$36:$D$65,INPUTS!$B$65)</f>
        <v>180000</v>
      </c>
      <c r="I23" s="19"/>
      <c r="J23" s="40" t="n">
        <f aca="false">SUM(D23:H23)</f>
        <v>180000</v>
      </c>
      <c r="K23" s="21" t="n">
        <f aca="false">IFERROR(J23/$J$26,0)</f>
        <v>0.433286639476486</v>
      </c>
    </row>
    <row r="24" customFormat="false" ht="15" hidden="false" customHeight="false" outlineLevel="0" collapsed="false">
      <c r="B24" s="19" t="s">
        <v>488</v>
      </c>
      <c r="F24" s="64" t="n">
        <f aca="false">'BID SUMMARY'!G6</f>
        <v>2105.76</v>
      </c>
      <c r="J24" s="40" t="n">
        <f aca="false">F24</f>
        <v>2105.76</v>
      </c>
      <c r="K24" s="21" t="n">
        <f aca="false">IFERROR(J24/$J$26,0)</f>
        <v>0.00506887596635558</v>
      </c>
    </row>
    <row r="25" customFormat="false" ht="15" hidden="false" customHeight="false" outlineLevel="0" collapsed="false">
      <c r="B25" s="19" t="s">
        <v>160</v>
      </c>
      <c r="J25" s="75" t="n">
        <f aca="false">'BID SUMMARY'!J6</f>
        <v>0</v>
      </c>
      <c r="K25" s="21" t="n">
        <f aca="false">IFERROR(J25/$J$26,0)</f>
        <v>0</v>
      </c>
    </row>
    <row r="26" customFormat="false" ht="15" hidden="false" customHeight="false" outlineLevel="0" collapsed="false">
      <c r="B26" s="4" t="s">
        <v>489</v>
      </c>
      <c r="C26" s="23" t="n">
        <f aca="false">SUM(C16:C25)</f>
        <v>1476</v>
      </c>
      <c r="D26" s="31" t="n">
        <f aca="false">SUM(D16:D25)</f>
        <v>95563.62</v>
      </c>
      <c r="E26" s="31" t="n">
        <f aca="false">SUM(E16:E25)</f>
        <v>32472</v>
      </c>
      <c r="F26" s="31" t="n">
        <f aca="false">SUM(F16:F25)</f>
        <v>107393.76</v>
      </c>
      <c r="G26" s="31" t="n">
        <f aca="false">SUM(G16:G25)</f>
        <v>0</v>
      </c>
      <c r="H26" s="31" t="n">
        <f aca="false">SUM(H16:H25)</f>
        <v>180000</v>
      </c>
      <c r="J26" s="50" t="n">
        <f aca="false">SUM(J16:J25)</f>
        <v>415429.38</v>
      </c>
    </row>
    <row r="27" customFormat="false" ht="15" hidden="false" customHeight="false" outlineLevel="0" collapsed="false">
      <c r="B27" s="7" t="s">
        <v>490</v>
      </c>
      <c r="J27" s="45" t="n">
        <f aca="false">'BID SUMMARY'!O6</f>
        <v>73370.62</v>
      </c>
    </row>
    <row r="28" customFormat="false" ht="15" hidden="false" customHeight="false" outlineLevel="0" collapsed="false">
      <c r="B28" s="4" t="s">
        <v>491</v>
      </c>
      <c r="J28" s="50" t="n">
        <f aca="false">J26+J27</f>
        <v>488800</v>
      </c>
    </row>
    <row r="31" customFormat="false" ht="15" hidden="false" customHeight="false" outlineLevel="0" collapsed="false">
      <c r="B31" s="73" t="s">
        <v>492</v>
      </c>
      <c r="C31" s="74"/>
      <c r="D31" s="74"/>
      <c r="E31" s="74"/>
      <c r="F31" s="74"/>
      <c r="G31" s="74"/>
      <c r="H31" s="74"/>
      <c r="I31" s="74"/>
      <c r="J31" s="74"/>
    </row>
    <row r="32" customFormat="false" ht="30" hidden="false" customHeight="true" outlineLevel="0" collapsed="false">
      <c r="B32" s="18" t="s">
        <v>205</v>
      </c>
      <c r="C32" s="18" t="s">
        <v>170</v>
      </c>
      <c r="D32" s="18" t="s">
        <v>437</v>
      </c>
      <c r="E32" s="18" t="s">
        <v>216</v>
      </c>
      <c r="F32" s="18" t="s">
        <v>438</v>
      </c>
      <c r="G32" s="18" t="s">
        <v>439</v>
      </c>
      <c r="H32" s="18" t="s">
        <v>440</v>
      </c>
      <c r="I32" s="18"/>
      <c r="J32" s="18" t="s">
        <v>486</v>
      </c>
      <c r="K32" s="18" t="s">
        <v>487</v>
      </c>
    </row>
    <row r="33" customFormat="false" ht="15" hidden="false" customHeight="false" outlineLevel="0" collapsed="false">
      <c r="B33" s="63" t="str">
        <f aca="false">INPUTS!$B$58</f>
        <v>01 Mobilization &amp; Submittals</v>
      </c>
      <c r="C33" s="14" t="n">
        <f aca="false">SUMIFS('PLUMBING EST'!$M$7:$M$156,'PLUMBING EST'!$B$7:$B$156,"H",'PLUMBING EST'!$C$7:$C$156,INPUTS!$B$58)+SUMIFS('HVAC EST'!$M$7:$M$156,'HVAC EST'!$B$7:$B$156,"H",'HVAC EST'!$C$7:$C$156,INPUTS!$B$58)</f>
        <v>0</v>
      </c>
      <c r="D33" s="29" t="n">
        <f aca="false">SUMIFS('PLUMBING EST'!$N$7:$N$156,'PLUMBING EST'!$B$7:$B$156,"H",'PLUMBING EST'!$C$7:$C$156,INPUTS!$B$58)+SUMIFS('HVAC EST'!$N$7:$N$156,'HVAC EST'!$B$7:$B$156,"H",'HVAC EST'!$C$7:$C$156,INPUTS!$B$58)</f>
        <v>0</v>
      </c>
      <c r="E33" s="29" t="n">
        <f aca="false">SUMIFS('PLUMBING EST'!$O$7:$O$156,'PLUMBING EST'!$B$7:$B$156,"H",'PLUMBING EST'!$C$7:$C$156,INPUTS!$B$58)+SUMIFS('HVAC EST'!$O$7:$O$156,'HVAC EST'!$B$7:$B$156,"H",'HVAC EST'!$C$7:$C$156,INPUTS!$B$58)</f>
        <v>0</v>
      </c>
      <c r="F33" s="29" t="n">
        <f aca="false">SUMIFS('PLUMBING EST'!$L$7:$L$156,'PLUMBING EST'!$B$7:$B$156,"H",'PLUMBING EST'!$C$7:$C$156,INPUTS!$B$58)+SUMIFS('HVAC EST'!$L$7:$L$156,'HVAC EST'!$B$7:$B$156,"H",'HVAC EST'!$C$7:$C$156,INPUTS!$B$58)</f>
        <v>0</v>
      </c>
      <c r="G33" s="29" t="n">
        <f aca="false">SUMIFS('SUBS &amp; GC'!$N$7:$N$31,'SUBS &amp; GC'!$D$7:$D$31,INPUTS!$B$58)</f>
        <v>0</v>
      </c>
      <c r="H33" s="29" t="n">
        <f aca="false">SUMIFS('SUBS &amp; GC'!$N$36:$N$65,'SUBS &amp; GC'!$D$36:$D$65,INPUTS!$B$58)</f>
        <v>0</v>
      </c>
      <c r="I33" s="19"/>
      <c r="J33" s="40" t="n">
        <f aca="false">SUM(D33:H33)</f>
        <v>0</v>
      </c>
      <c r="K33" s="21" t="n">
        <f aca="false">IFERROR(J33/$J$43,0)</f>
        <v>0</v>
      </c>
    </row>
    <row r="34" customFormat="false" ht="15" hidden="false" customHeight="false" outlineLevel="0" collapsed="false">
      <c r="B34" s="63" t="str">
        <f aca="false">INPUTS!$B$59</f>
        <v>02 Underground</v>
      </c>
      <c r="C34" s="14" t="n">
        <f aca="false">SUMIFS('PLUMBING EST'!$M$7:$M$156,'PLUMBING EST'!$B$7:$B$156,"H",'PLUMBING EST'!$C$7:$C$156,INPUTS!$B$59)+SUMIFS('HVAC EST'!$M$7:$M$156,'HVAC EST'!$B$7:$B$156,"H",'HVAC EST'!$C$7:$C$156,INPUTS!$B$59)</f>
        <v>0</v>
      </c>
      <c r="D34" s="29" t="n">
        <f aca="false">SUMIFS('PLUMBING EST'!$N$7:$N$156,'PLUMBING EST'!$B$7:$B$156,"H",'PLUMBING EST'!$C$7:$C$156,INPUTS!$B$59)+SUMIFS('HVAC EST'!$N$7:$N$156,'HVAC EST'!$B$7:$B$156,"H",'HVAC EST'!$C$7:$C$156,INPUTS!$B$59)</f>
        <v>0</v>
      </c>
      <c r="E34" s="29" t="n">
        <f aca="false">SUMIFS('PLUMBING EST'!$O$7:$O$156,'PLUMBING EST'!$B$7:$B$156,"H",'PLUMBING EST'!$C$7:$C$156,INPUTS!$B$59)+SUMIFS('HVAC EST'!$O$7:$O$156,'HVAC EST'!$B$7:$B$156,"H",'HVAC EST'!$C$7:$C$156,INPUTS!$B$59)</f>
        <v>0</v>
      </c>
      <c r="F34" s="29" t="n">
        <f aca="false">SUMIFS('PLUMBING EST'!$L$7:$L$156,'PLUMBING EST'!$B$7:$B$156,"H",'PLUMBING EST'!$C$7:$C$156,INPUTS!$B$59)+SUMIFS('HVAC EST'!$L$7:$L$156,'HVAC EST'!$B$7:$B$156,"H",'HVAC EST'!$C$7:$C$156,INPUTS!$B$59)</f>
        <v>0</v>
      </c>
      <c r="G34" s="29" t="n">
        <f aca="false">SUMIFS('SUBS &amp; GC'!$N$7:$N$31,'SUBS &amp; GC'!$D$7:$D$31,INPUTS!$B$59)</f>
        <v>0</v>
      </c>
      <c r="H34" s="29" t="n">
        <f aca="false">SUMIFS('SUBS &amp; GC'!$N$36:$N$65,'SUBS &amp; GC'!$D$36:$D$65,INPUTS!$B$59)</f>
        <v>0</v>
      </c>
      <c r="I34" s="19"/>
      <c r="J34" s="40" t="n">
        <f aca="false">SUM(D34:H34)</f>
        <v>0</v>
      </c>
      <c r="K34" s="21" t="n">
        <f aca="false">IFERROR(J34/$J$43,0)</f>
        <v>0</v>
      </c>
    </row>
    <row r="35" customFormat="false" ht="15" hidden="false" customHeight="false" outlineLevel="0" collapsed="false">
      <c r="B35" s="63" t="str">
        <f aca="false">INPUTS!$B$60</f>
        <v>03 Rough-in</v>
      </c>
      <c r="C35" s="14" t="n">
        <f aca="false">SUMIFS('PLUMBING EST'!$M$7:$M$156,'PLUMBING EST'!$B$7:$B$156,"H",'PLUMBING EST'!$C$7:$C$156,INPUTS!$B$60)+SUMIFS('HVAC EST'!$M$7:$M$156,'HVAC EST'!$B$7:$B$156,"H",'HVAC EST'!$C$7:$C$156,INPUTS!$B$60)</f>
        <v>0</v>
      </c>
      <c r="D35" s="29" t="n">
        <f aca="false">SUMIFS('PLUMBING EST'!$N$7:$N$156,'PLUMBING EST'!$B$7:$B$156,"H",'PLUMBING EST'!$C$7:$C$156,INPUTS!$B$60)+SUMIFS('HVAC EST'!$N$7:$N$156,'HVAC EST'!$B$7:$B$156,"H",'HVAC EST'!$C$7:$C$156,INPUTS!$B$60)</f>
        <v>0</v>
      </c>
      <c r="E35" s="29" t="n">
        <f aca="false">SUMIFS('PLUMBING EST'!$O$7:$O$156,'PLUMBING EST'!$B$7:$B$156,"H",'PLUMBING EST'!$C$7:$C$156,INPUTS!$B$60)+SUMIFS('HVAC EST'!$O$7:$O$156,'HVAC EST'!$B$7:$B$156,"H",'HVAC EST'!$C$7:$C$156,INPUTS!$B$60)</f>
        <v>0</v>
      </c>
      <c r="F35" s="29" t="n">
        <f aca="false">SUMIFS('PLUMBING EST'!$L$7:$L$156,'PLUMBING EST'!$B$7:$B$156,"H",'PLUMBING EST'!$C$7:$C$156,INPUTS!$B$60)+SUMIFS('HVAC EST'!$L$7:$L$156,'HVAC EST'!$B$7:$B$156,"H",'HVAC EST'!$C$7:$C$156,INPUTS!$B$60)</f>
        <v>0</v>
      </c>
      <c r="G35" s="29" t="n">
        <f aca="false">SUMIFS('SUBS &amp; GC'!$N$7:$N$31,'SUBS &amp; GC'!$D$7:$D$31,INPUTS!$B$60)</f>
        <v>0</v>
      </c>
      <c r="H35" s="29" t="n">
        <f aca="false">SUMIFS('SUBS &amp; GC'!$N$36:$N$65,'SUBS &amp; GC'!$D$36:$D$65,INPUTS!$B$60)</f>
        <v>0</v>
      </c>
      <c r="I35" s="19"/>
      <c r="J35" s="40" t="n">
        <f aca="false">SUM(D35:H35)</f>
        <v>0</v>
      </c>
      <c r="K35" s="21" t="n">
        <f aca="false">IFERROR(J35/$J$43,0)</f>
        <v>0</v>
      </c>
    </row>
    <row r="36" customFormat="false" ht="15" hidden="false" customHeight="false" outlineLevel="0" collapsed="false">
      <c r="B36" s="63" t="str">
        <f aca="false">INPUTS!$B$61</f>
        <v>04 Finishing</v>
      </c>
      <c r="C36" s="14" t="n">
        <f aca="false">SUMIFS('PLUMBING EST'!$M$7:$M$156,'PLUMBING EST'!$B$7:$B$156,"H",'PLUMBING EST'!$C$7:$C$156,INPUTS!$B$61)+SUMIFS('HVAC EST'!$M$7:$M$156,'HVAC EST'!$B$7:$B$156,"H",'HVAC EST'!$C$7:$C$156,INPUTS!$B$61)</f>
        <v>0</v>
      </c>
      <c r="D36" s="29" t="n">
        <f aca="false">SUMIFS('PLUMBING EST'!$N$7:$N$156,'PLUMBING EST'!$B$7:$B$156,"H",'PLUMBING EST'!$C$7:$C$156,INPUTS!$B$61)+SUMIFS('HVAC EST'!$N$7:$N$156,'HVAC EST'!$B$7:$B$156,"H",'HVAC EST'!$C$7:$C$156,INPUTS!$B$61)</f>
        <v>0</v>
      </c>
      <c r="E36" s="29" t="n">
        <f aca="false">SUMIFS('PLUMBING EST'!$O$7:$O$156,'PLUMBING EST'!$B$7:$B$156,"H",'PLUMBING EST'!$C$7:$C$156,INPUTS!$B$61)+SUMIFS('HVAC EST'!$O$7:$O$156,'HVAC EST'!$B$7:$B$156,"H",'HVAC EST'!$C$7:$C$156,INPUTS!$B$61)</f>
        <v>0</v>
      </c>
      <c r="F36" s="29" t="n">
        <f aca="false">SUMIFS('PLUMBING EST'!$L$7:$L$156,'PLUMBING EST'!$B$7:$B$156,"H",'PLUMBING EST'!$C$7:$C$156,INPUTS!$B$61)+SUMIFS('HVAC EST'!$L$7:$L$156,'HVAC EST'!$B$7:$B$156,"H",'HVAC EST'!$C$7:$C$156,INPUTS!$B$61)</f>
        <v>0</v>
      </c>
      <c r="G36" s="29" t="n">
        <f aca="false">SUMIFS('SUBS &amp; GC'!$N$7:$N$31,'SUBS &amp; GC'!$D$7:$D$31,INPUTS!$B$61)</f>
        <v>0</v>
      </c>
      <c r="H36" s="29" t="n">
        <f aca="false">SUMIFS('SUBS &amp; GC'!$N$36:$N$65,'SUBS &amp; GC'!$D$36:$D$65,INPUTS!$B$61)</f>
        <v>0</v>
      </c>
      <c r="I36" s="19"/>
      <c r="J36" s="40" t="n">
        <f aca="false">SUM(D36:H36)</f>
        <v>0</v>
      </c>
      <c r="K36" s="21" t="n">
        <f aca="false">IFERROR(J36/$J$43,0)</f>
        <v>0</v>
      </c>
    </row>
    <row r="37" customFormat="false" ht="15" hidden="false" customHeight="false" outlineLevel="0" collapsed="false">
      <c r="B37" s="63" t="str">
        <f aca="false">INPUTS!$B$62</f>
        <v>05 Equipment &amp; Fixtures</v>
      </c>
      <c r="C37" s="14" t="n">
        <f aca="false">SUMIFS('PLUMBING EST'!$M$7:$M$156,'PLUMBING EST'!$B$7:$B$156,"H",'PLUMBING EST'!$C$7:$C$156,INPUTS!$B$62)+SUMIFS('HVAC EST'!$M$7:$M$156,'HVAC EST'!$B$7:$B$156,"H",'HVAC EST'!$C$7:$C$156,INPUTS!$B$62)</f>
        <v>0</v>
      </c>
      <c r="D37" s="29" t="n">
        <f aca="false">SUMIFS('PLUMBING EST'!$N$7:$N$156,'PLUMBING EST'!$B$7:$B$156,"H",'PLUMBING EST'!$C$7:$C$156,INPUTS!$B$62)+SUMIFS('HVAC EST'!$N$7:$N$156,'HVAC EST'!$B$7:$B$156,"H",'HVAC EST'!$C$7:$C$156,INPUTS!$B$62)</f>
        <v>0</v>
      </c>
      <c r="E37" s="29" t="n">
        <f aca="false">SUMIFS('PLUMBING EST'!$O$7:$O$156,'PLUMBING EST'!$B$7:$B$156,"H",'PLUMBING EST'!$C$7:$C$156,INPUTS!$B$62)+SUMIFS('HVAC EST'!$O$7:$O$156,'HVAC EST'!$B$7:$B$156,"H",'HVAC EST'!$C$7:$C$156,INPUTS!$B$62)</f>
        <v>0</v>
      </c>
      <c r="F37" s="29" t="n">
        <f aca="false">SUMIFS('PLUMBING EST'!$L$7:$L$156,'PLUMBING EST'!$B$7:$B$156,"H",'PLUMBING EST'!$C$7:$C$156,INPUTS!$B$62)+SUMIFS('HVAC EST'!$L$7:$L$156,'HVAC EST'!$B$7:$B$156,"H",'HVAC EST'!$C$7:$C$156,INPUTS!$B$62)</f>
        <v>0</v>
      </c>
      <c r="G37" s="29" t="n">
        <f aca="false">SUMIFS('SUBS &amp; GC'!$N$7:$N$31,'SUBS &amp; GC'!$D$7:$D$31,INPUTS!$B$62)</f>
        <v>0</v>
      </c>
      <c r="H37" s="29" t="n">
        <f aca="false">SUMIFS('SUBS &amp; GC'!$N$36:$N$65,'SUBS &amp; GC'!$D$36:$D$65,INPUTS!$B$62)</f>
        <v>0</v>
      </c>
      <c r="I37" s="19"/>
      <c r="J37" s="40" t="n">
        <f aca="false">SUM(D37:H37)</f>
        <v>0</v>
      </c>
      <c r="K37" s="21" t="n">
        <f aca="false">IFERROR(J37/$J$43,0)</f>
        <v>0</v>
      </c>
    </row>
    <row r="38" customFormat="false" ht="15" hidden="false" customHeight="false" outlineLevel="0" collapsed="false">
      <c r="B38" s="63" t="str">
        <f aca="false">INPUTS!$B$63</f>
        <v>06 Testing, Balancing &amp; Commissioning</v>
      </c>
      <c r="C38" s="14" t="n">
        <f aca="false">SUMIFS('PLUMBING EST'!$M$7:$M$156,'PLUMBING EST'!$B$7:$B$156,"H",'PLUMBING EST'!$C$7:$C$156,INPUTS!$B$63)+SUMIFS('HVAC EST'!$M$7:$M$156,'HVAC EST'!$B$7:$B$156,"H",'HVAC EST'!$C$7:$C$156,INPUTS!$B$63)</f>
        <v>0</v>
      </c>
      <c r="D38" s="29" t="n">
        <f aca="false">SUMIFS('PLUMBING EST'!$N$7:$N$156,'PLUMBING EST'!$B$7:$B$156,"H",'PLUMBING EST'!$C$7:$C$156,INPUTS!$B$63)+SUMIFS('HVAC EST'!$N$7:$N$156,'HVAC EST'!$B$7:$B$156,"H",'HVAC EST'!$C$7:$C$156,INPUTS!$B$63)</f>
        <v>0</v>
      </c>
      <c r="E38" s="29" t="n">
        <f aca="false">SUMIFS('PLUMBING EST'!$O$7:$O$156,'PLUMBING EST'!$B$7:$B$156,"H",'PLUMBING EST'!$C$7:$C$156,INPUTS!$B$63)+SUMIFS('HVAC EST'!$O$7:$O$156,'HVAC EST'!$B$7:$B$156,"H",'HVAC EST'!$C$7:$C$156,INPUTS!$B$63)</f>
        <v>0</v>
      </c>
      <c r="F38" s="29" t="n">
        <f aca="false">SUMIFS('PLUMBING EST'!$L$7:$L$156,'PLUMBING EST'!$B$7:$B$156,"H",'PLUMBING EST'!$C$7:$C$156,INPUTS!$B$63)+SUMIFS('HVAC EST'!$L$7:$L$156,'HVAC EST'!$B$7:$B$156,"H",'HVAC EST'!$C$7:$C$156,INPUTS!$B$63)</f>
        <v>0</v>
      </c>
      <c r="G38" s="29" t="n">
        <f aca="false">SUMIFS('SUBS &amp; GC'!$N$7:$N$31,'SUBS &amp; GC'!$D$7:$D$31,INPUTS!$B$63)</f>
        <v>0</v>
      </c>
      <c r="H38" s="29" t="n">
        <f aca="false">SUMIFS('SUBS &amp; GC'!$N$36:$N$65,'SUBS &amp; GC'!$D$36:$D$65,INPUTS!$B$63)</f>
        <v>0</v>
      </c>
      <c r="I38" s="19"/>
      <c r="J38" s="40" t="n">
        <f aca="false">SUM(D38:H38)</f>
        <v>0</v>
      </c>
      <c r="K38" s="21" t="n">
        <f aca="false">IFERROR(J38/$J$43,0)</f>
        <v>0</v>
      </c>
    </row>
    <row r="39" customFormat="false" ht="15" hidden="false" customHeight="false" outlineLevel="0" collapsed="false">
      <c r="B39" s="63" t="str">
        <f aca="false">INPUTS!$B$64</f>
        <v>07 Closeout &amp; Warranty</v>
      </c>
      <c r="C39" s="14" t="n">
        <f aca="false">SUMIFS('PLUMBING EST'!$M$7:$M$156,'PLUMBING EST'!$B$7:$B$156,"H",'PLUMBING EST'!$C$7:$C$156,INPUTS!$B$64)+SUMIFS('HVAC EST'!$M$7:$M$156,'HVAC EST'!$B$7:$B$156,"H",'HVAC EST'!$C$7:$C$156,INPUTS!$B$64)</f>
        <v>0</v>
      </c>
      <c r="D39" s="29" t="n">
        <f aca="false">SUMIFS('PLUMBING EST'!$N$7:$N$156,'PLUMBING EST'!$B$7:$B$156,"H",'PLUMBING EST'!$C$7:$C$156,INPUTS!$B$64)+SUMIFS('HVAC EST'!$N$7:$N$156,'HVAC EST'!$B$7:$B$156,"H",'HVAC EST'!$C$7:$C$156,INPUTS!$B$64)</f>
        <v>0</v>
      </c>
      <c r="E39" s="29" t="n">
        <f aca="false">SUMIFS('PLUMBING EST'!$O$7:$O$156,'PLUMBING EST'!$B$7:$B$156,"H",'PLUMBING EST'!$C$7:$C$156,INPUTS!$B$64)+SUMIFS('HVAC EST'!$O$7:$O$156,'HVAC EST'!$B$7:$B$156,"H",'HVAC EST'!$C$7:$C$156,INPUTS!$B$64)</f>
        <v>0</v>
      </c>
      <c r="F39" s="29" t="n">
        <f aca="false">SUMIFS('PLUMBING EST'!$L$7:$L$156,'PLUMBING EST'!$B$7:$B$156,"H",'PLUMBING EST'!$C$7:$C$156,INPUTS!$B$64)+SUMIFS('HVAC EST'!$L$7:$L$156,'HVAC EST'!$B$7:$B$156,"H",'HVAC EST'!$C$7:$C$156,INPUTS!$B$64)</f>
        <v>0</v>
      </c>
      <c r="G39" s="29" t="n">
        <f aca="false">SUMIFS('SUBS &amp; GC'!$N$7:$N$31,'SUBS &amp; GC'!$D$7:$D$31,INPUTS!$B$64)</f>
        <v>0</v>
      </c>
      <c r="H39" s="29" t="n">
        <f aca="false">SUMIFS('SUBS &amp; GC'!$N$36:$N$65,'SUBS &amp; GC'!$D$36:$D$65,INPUTS!$B$64)</f>
        <v>0</v>
      </c>
      <c r="I39" s="19"/>
      <c r="J39" s="40" t="n">
        <f aca="false">SUM(D39:H39)</f>
        <v>0</v>
      </c>
      <c r="K39" s="21" t="n">
        <f aca="false">IFERROR(J39/$J$43,0)</f>
        <v>0</v>
      </c>
    </row>
    <row r="40" customFormat="false" ht="15" hidden="false" customHeight="false" outlineLevel="0" collapsed="false">
      <c r="B40" s="63" t="str">
        <f aca="false">INPUTS!$B$65</f>
        <v>08 General Conditions</v>
      </c>
      <c r="C40" s="14" t="n">
        <f aca="false">SUMIFS('PLUMBING EST'!$M$7:$M$156,'PLUMBING EST'!$B$7:$B$156,"H",'PLUMBING EST'!$C$7:$C$156,INPUTS!$B$65)+SUMIFS('HVAC EST'!$M$7:$M$156,'HVAC EST'!$B$7:$B$156,"H",'HVAC EST'!$C$7:$C$156,INPUTS!$B$65)</f>
        <v>0</v>
      </c>
      <c r="D40" s="29" t="n">
        <f aca="false">SUMIFS('PLUMBING EST'!$N$7:$N$156,'PLUMBING EST'!$B$7:$B$156,"H",'PLUMBING EST'!$C$7:$C$156,INPUTS!$B$65)+SUMIFS('HVAC EST'!$N$7:$N$156,'HVAC EST'!$B$7:$B$156,"H",'HVAC EST'!$C$7:$C$156,INPUTS!$B$65)</f>
        <v>0</v>
      </c>
      <c r="E40" s="29" t="n">
        <f aca="false">SUMIFS('PLUMBING EST'!$O$7:$O$156,'PLUMBING EST'!$B$7:$B$156,"H",'PLUMBING EST'!$C$7:$C$156,INPUTS!$B$65)+SUMIFS('HVAC EST'!$O$7:$O$156,'HVAC EST'!$B$7:$B$156,"H",'HVAC EST'!$C$7:$C$156,INPUTS!$B$65)</f>
        <v>0</v>
      </c>
      <c r="F40" s="29" t="n">
        <f aca="false">SUMIFS('PLUMBING EST'!$L$7:$L$156,'PLUMBING EST'!$B$7:$B$156,"H",'PLUMBING EST'!$C$7:$C$156,INPUTS!$B$65)+SUMIFS('HVAC EST'!$L$7:$L$156,'HVAC EST'!$B$7:$B$156,"H",'HVAC EST'!$C$7:$C$156,INPUTS!$B$65)</f>
        <v>0</v>
      </c>
      <c r="G40" s="29" t="n">
        <f aca="false">SUMIFS('SUBS &amp; GC'!$N$7:$N$31,'SUBS &amp; GC'!$D$7:$D$31,INPUTS!$B$65)</f>
        <v>0</v>
      </c>
      <c r="H40" s="29" t="n">
        <f aca="false">SUMIFS('SUBS &amp; GC'!$N$36:$N$65,'SUBS &amp; GC'!$D$36:$D$65,INPUTS!$B$65)</f>
        <v>0</v>
      </c>
      <c r="I40" s="19"/>
      <c r="J40" s="40" t="n">
        <f aca="false">SUM(D40:H40)</f>
        <v>0</v>
      </c>
      <c r="K40" s="21" t="n">
        <f aca="false">IFERROR(J40/$J$43,0)</f>
        <v>0</v>
      </c>
    </row>
    <row r="41" customFormat="false" ht="15" hidden="false" customHeight="false" outlineLevel="0" collapsed="false">
      <c r="B41" s="19" t="s">
        <v>488</v>
      </c>
      <c r="F41" s="64" t="n">
        <f aca="false">'BID SUMMARY'!G7</f>
        <v>0</v>
      </c>
      <c r="J41" s="40" t="n">
        <f aca="false">F41</f>
        <v>0</v>
      </c>
      <c r="K41" s="21" t="n">
        <f aca="false">IFERROR(J41/$J$43,0)</f>
        <v>0</v>
      </c>
    </row>
    <row r="42" customFormat="false" ht="15" hidden="false" customHeight="false" outlineLevel="0" collapsed="false">
      <c r="B42" s="19" t="s">
        <v>160</v>
      </c>
      <c r="J42" s="75" t="n">
        <f aca="false">'BID SUMMARY'!J7</f>
        <v>0</v>
      </c>
      <c r="K42" s="21" t="n">
        <f aca="false">IFERROR(J42/$J$43,0)</f>
        <v>0</v>
      </c>
    </row>
    <row r="43" customFormat="false" ht="15" hidden="false" customHeight="false" outlineLevel="0" collapsed="false">
      <c r="B43" s="4" t="s">
        <v>489</v>
      </c>
      <c r="C43" s="23" t="n">
        <f aca="false">SUM(C33:C42)</f>
        <v>0</v>
      </c>
      <c r="D43" s="31" t="n">
        <f aca="false">SUM(D33:D42)</f>
        <v>0</v>
      </c>
      <c r="E43" s="31" t="n">
        <f aca="false">SUM(E33:E42)</f>
        <v>0</v>
      </c>
      <c r="F43" s="31" t="n">
        <f aca="false">SUM(F33:F42)</f>
        <v>0</v>
      </c>
      <c r="G43" s="31" t="n">
        <f aca="false">SUM(G33:G42)</f>
        <v>0</v>
      </c>
      <c r="H43" s="31" t="n">
        <f aca="false">SUM(H33:H42)</f>
        <v>0</v>
      </c>
      <c r="J43" s="50" t="n">
        <f aca="false">SUM(J33:J42)</f>
        <v>0</v>
      </c>
    </row>
    <row r="44" customFormat="false" ht="15" hidden="false" customHeight="false" outlineLevel="0" collapsed="false">
      <c r="B44" s="7" t="s">
        <v>490</v>
      </c>
      <c r="J44" s="45" t="n">
        <f aca="false">'BID SUMMARY'!O7</f>
        <v>0</v>
      </c>
    </row>
    <row r="45" customFormat="false" ht="15" hidden="false" customHeight="false" outlineLevel="0" collapsed="false">
      <c r="B45" s="4" t="s">
        <v>491</v>
      </c>
      <c r="J45" s="50" t="n">
        <f aca="false">J43+J44</f>
        <v>0</v>
      </c>
    </row>
    <row r="48" customFormat="false" ht="15" hidden="false" customHeight="false" outlineLevel="0" collapsed="false">
      <c r="B48" s="73" t="s">
        <v>493</v>
      </c>
      <c r="C48" s="74"/>
      <c r="D48" s="74"/>
      <c r="E48" s="74"/>
      <c r="F48" s="74"/>
      <c r="G48" s="74"/>
      <c r="H48" s="74"/>
      <c r="I48" s="74"/>
      <c r="J48" s="74"/>
    </row>
    <row r="49" customFormat="false" ht="30" hidden="false" customHeight="true" outlineLevel="0" collapsed="false">
      <c r="B49" s="18" t="s">
        <v>205</v>
      </c>
      <c r="C49" s="18" t="s">
        <v>170</v>
      </c>
      <c r="D49" s="18" t="s">
        <v>437</v>
      </c>
      <c r="E49" s="18" t="s">
        <v>216</v>
      </c>
      <c r="F49" s="18" t="s">
        <v>438</v>
      </c>
      <c r="G49" s="18" t="s">
        <v>439</v>
      </c>
      <c r="H49" s="18" t="s">
        <v>440</v>
      </c>
      <c r="I49" s="18"/>
      <c r="J49" s="18" t="s">
        <v>486</v>
      </c>
      <c r="K49" s="18" t="s">
        <v>487</v>
      </c>
    </row>
    <row r="50" customFormat="false" ht="15" hidden="false" customHeight="false" outlineLevel="0" collapsed="false">
      <c r="B50" s="63" t="str">
        <f aca="false">INPUTS!$B$58</f>
        <v>01 Mobilization &amp; Submittals</v>
      </c>
      <c r="C50" s="14" t="n">
        <f aca="false">SUMIFS('PLUMBING EST'!$M$7:$M$156,'PLUMBING EST'!$B$7:$B$156,"V",'PLUMBING EST'!$C$7:$C$156,INPUTS!$B$58)+SUMIFS('HVAC EST'!$M$7:$M$156,'HVAC EST'!$B$7:$B$156,"V",'HVAC EST'!$C$7:$C$156,INPUTS!$B$58)</f>
        <v>0</v>
      </c>
      <c r="D50" s="29" t="n">
        <f aca="false">SUMIFS('PLUMBING EST'!$N$7:$N$156,'PLUMBING EST'!$B$7:$B$156,"V",'PLUMBING EST'!$C$7:$C$156,INPUTS!$B$58)+SUMIFS('HVAC EST'!$N$7:$N$156,'HVAC EST'!$B$7:$B$156,"V",'HVAC EST'!$C$7:$C$156,INPUTS!$B$58)</f>
        <v>0</v>
      </c>
      <c r="E50" s="29" t="n">
        <f aca="false">SUMIFS('PLUMBING EST'!$O$7:$O$156,'PLUMBING EST'!$B$7:$B$156,"V",'PLUMBING EST'!$C$7:$C$156,INPUTS!$B$58)+SUMIFS('HVAC EST'!$O$7:$O$156,'HVAC EST'!$B$7:$B$156,"V",'HVAC EST'!$C$7:$C$156,INPUTS!$B$58)</f>
        <v>0</v>
      </c>
      <c r="F50" s="29" t="n">
        <f aca="false">SUMIFS('PLUMBING EST'!$L$7:$L$156,'PLUMBING EST'!$B$7:$B$156,"V",'PLUMBING EST'!$C$7:$C$156,INPUTS!$B$58)+SUMIFS('HVAC EST'!$L$7:$L$156,'HVAC EST'!$B$7:$B$156,"V",'HVAC EST'!$C$7:$C$156,INPUTS!$B$58)</f>
        <v>0</v>
      </c>
      <c r="G50" s="29" t="n">
        <f aca="false">SUMIFS('SUBS &amp; GC'!$O$7:$O$31,'SUBS &amp; GC'!$D$7:$D$31,INPUTS!$B$58)</f>
        <v>0</v>
      </c>
      <c r="H50" s="29" t="n">
        <f aca="false">SUMIFS('SUBS &amp; GC'!$O$36:$O$65,'SUBS &amp; GC'!$D$36:$D$65,INPUTS!$B$58)</f>
        <v>0</v>
      </c>
      <c r="I50" s="19"/>
      <c r="J50" s="40" t="n">
        <f aca="false">SUM(D50:H50)</f>
        <v>0</v>
      </c>
      <c r="K50" s="21" t="n">
        <f aca="false">IFERROR(J50/$J$60,0)</f>
        <v>0</v>
      </c>
    </row>
    <row r="51" customFormat="false" ht="15" hidden="false" customHeight="false" outlineLevel="0" collapsed="false">
      <c r="B51" s="63" t="str">
        <f aca="false">INPUTS!$B$59</f>
        <v>02 Underground</v>
      </c>
      <c r="C51" s="14" t="n">
        <f aca="false">SUMIFS('PLUMBING EST'!$M$7:$M$156,'PLUMBING EST'!$B$7:$B$156,"V",'PLUMBING EST'!$C$7:$C$156,INPUTS!$B$59)+SUMIFS('HVAC EST'!$M$7:$M$156,'HVAC EST'!$B$7:$B$156,"V",'HVAC EST'!$C$7:$C$156,INPUTS!$B$59)</f>
        <v>0</v>
      </c>
      <c r="D51" s="29" t="n">
        <f aca="false">SUMIFS('PLUMBING EST'!$N$7:$N$156,'PLUMBING EST'!$B$7:$B$156,"V",'PLUMBING EST'!$C$7:$C$156,INPUTS!$B$59)+SUMIFS('HVAC EST'!$N$7:$N$156,'HVAC EST'!$B$7:$B$156,"V",'HVAC EST'!$C$7:$C$156,INPUTS!$B$59)</f>
        <v>0</v>
      </c>
      <c r="E51" s="29" t="n">
        <f aca="false">SUMIFS('PLUMBING EST'!$O$7:$O$156,'PLUMBING EST'!$B$7:$B$156,"V",'PLUMBING EST'!$C$7:$C$156,INPUTS!$B$59)+SUMIFS('HVAC EST'!$O$7:$O$156,'HVAC EST'!$B$7:$B$156,"V",'HVAC EST'!$C$7:$C$156,INPUTS!$B$59)</f>
        <v>0</v>
      </c>
      <c r="F51" s="29" t="n">
        <f aca="false">SUMIFS('PLUMBING EST'!$L$7:$L$156,'PLUMBING EST'!$B$7:$B$156,"V",'PLUMBING EST'!$C$7:$C$156,INPUTS!$B$59)+SUMIFS('HVAC EST'!$L$7:$L$156,'HVAC EST'!$B$7:$B$156,"V",'HVAC EST'!$C$7:$C$156,INPUTS!$B$59)</f>
        <v>0</v>
      </c>
      <c r="G51" s="29" t="n">
        <f aca="false">SUMIFS('SUBS &amp; GC'!$O$7:$O$31,'SUBS &amp; GC'!$D$7:$D$31,INPUTS!$B$59)</f>
        <v>0</v>
      </c>
      <c r="H51" s="29" t="n">
        <f aca="false">SUMIFS('SUBS &amp; GC'!$O$36:$O$65,'SUBS &amp; GC'!$D$36:$D$65,INPUTS!$B$59)</f>
        <v>0</v>
      </c>
      <c r="I51" s="19"/>
      <c r="J51" s="40" t="n">
        <f aca="false">SUM(D51:H51)</f>
        <v>0</v>
      </c>
      <c r="K51" s="21" t="n">
        <f aca="false">IFERROR(J51/$J$60,0)</f>
        <v>0</v>
      </c>
    </row>
    <row r="52" customFormat="false" ht="15" hidden="false" customHeight="false" outlineLevel="0" collapsed="false">
      <c r="B52" s="63" t="str">
        <f aca="false">INPUTS!$B$60</f>
        <v>03 Rough-in</v>
      </c>
      <c r="C52" s="14" t="n">
        <f aca="false">SUMIFS('PLUMBING EST'!$M$7:$M$156,'PLUMBING EST'!$B$7:$B$156,"V",'PLUMBING EST'!$C$7:$C$156,INPUTS!$B$60)+SUMIFS('HVAC EST'!$M$7:$M$156,'HVAC EST'!$B$7:$B$156,"V",'HVAC EST'!$C$7:$C$156,INPUTS!$B$60)</f>
        <v>0</v>
      </c>
      <c r="D52" s="29" t="n">
        <f aca="false">SUMIFS('PLUMBING EST'!$N$7:$N$156,'PLUMBING EST'!$B$7:$B$156,"V",'PLUMBING EST'!$C$7:$C$156,INPUTS!$B$60)+SUMIFS('HVAC EST'!$N$7:$N$156,'HVAC EST'!$B$7:$B$156,"V",'HVAC EST'!$C$7:$C$156,INPUTS!$B$60)</f>
        <v>0</v>
      </c>
      <c r="E52" s="29" t="n">
        <f aca="false">SUMIFS('PLUMBING EST'!$O$7:$O$156,'PLUMBING EST'!$B$7:$B$156,"V",'PLUMBING EST'!$C$7:$C$156,INPUTS!$B$60)+SUMIFS('HVAC EST'!$O$7:$O$156,'HVAC EST'!$B$7:$B$156,"V",'HVAC EST'!$C$7:$C$156,INPUTS!$B$60)</f>
        <v>0</v>
      </c>
      <c r="F52" s="29" t="n">
        <f aca="false">SUMIFS('PLUMBING EST'!$L$7:$L$156,'PLUMBING EST'!$B$7:$B$156,"V",'PLUMBING EST'!$C$7:$C$156,INPUTS!$B$60)+SUMIFS('HVAC EST'!$L$7:$L$156,'HVAC EST'!$B$7:$B$156,"V",'HVAC EST'!$C$7:$C$156,INPUTS!$B$60)</f>
        <v>0</v>
      </c>
      <c r="G52" s="29" t="n">
        <f aca="false">SUMIFS('SUBS &amp; GC'!$O$7:$O$31,'SUBS &amp; GC'!$D$7:$D$31,INPUTS!$B$60)</f>
        <v>0</v>
      </c>
      <c r="H52" s="29" t="n">
        <f aca="false">SUMIFS('SUBS &amp; GC'!$O$36:$O$65,'SUBS &amp; GC'!$D$36:$D$65,INPUTS!$B$60)</f>
        <v>0</v>
      </c>
      <c r="I52" s="19"/>
      <c r="J52" s="40" t="n">
        <f aca="false">SUM(D52:H52)</f>
        <v>0</v>
      </c>
      <c r="K52" s="21" t="n">
        <f aca="false">IFERROR(J52/$J$60,0)</f>
        <v>0</v>
      </c>
    </row>
    <row r="53" customFormat="false" ht="15" hidden="false" customHeight="false" outlineLevel="0" collapsed="false">
      <c r="B53" s="63" t="str">
        <f aca="false">INPUTS!$B$61</f>
        <v>04 Finishing</v>
      </c>
      <c r="C53" s="14" t="n">
        <f aca="false">SUMIFS('PLUMBING EST'!$M$7:$M$156,'PLUMBING EST'!$B$7:$B$156,"V",'PLUMBING EST'!$C$7:$C$156,INPUTS!$B$61)+SUMIFS('HVAC EST'!$M$7:$M$156,'HVAC EST'!$B$7:$B$156,"V",'HVAC EST'!$C$7:$C$156,INPUTS!$B$61)</f>
        <v>0</v>
      </c>
      <c r="D53" s="29" t="n">
        <f aca="false">SUMIFS('PLUMBING EST'!$N$7:$N$156,'PLUMBING EST'!$B$7:$B$156,"V",'PLUMBING EST'!$C$7:$C$156,INPUTS!$B$61)+SUMIFS('HVAC EST'!$N$7:$N$156,'HVAC EST'!$B$7:$B$156,"V",'HVAC EST'!$C$7:$C$156,INPUTS!$B$61)</f>
        <v>0</v>
      </c>
      <c r="E53" s="29" t="n">
        <f aca="false">SUMIFS('PLUMBING EST'!$O$7:$O$156,'PLUMBING EST'!$B$7:$B$156,"V",'PLUMBING EST'!$C$7:$C$156,INPUTS!$B$61)+SUMIFS('HVAC EST'!$O$7:$O$156,'HVAC EST'!$B$7:$B$156,"V",'HVAC EST'!$C$7:$C$156,INPUTS!$B$61)</f>
        <v>0</v>
      </c>
      <c r="F53" s="29" t="n">
        <f aca="false">SUMIFS('PLUMBING EST'!$L$7:$L$156,'PLUMBING EST'!$B$7:$B$156,"V",'PLUMBING EST'!$C$7:$C$156,INPUTS!$B$61)+SUMIFS('HVAC EST'!$L$7:$L$156,'HVAC EST'!$B$7:$B$156,"V",'HVAC EST'!$C$7:$C$156,INPUTS!$B$61)</f>
        <v>0</v>
      </c>
      <c r="G53" s="29" t="n">
        <f aca="false">SUMIFS('SUBS &amp; GC'!$O$7:$O$31,'SUBS &amp; GC'!$D$7:$D$31,INPUTS!$B$61)</f>
        <v>0</v>
      </c>
      <c r="H53" s="29" t="n">
        <f aca="false">SUMIFS('SUBS &amp; GC'!$O$36:$O$65,'SUBS &amp; GC'!$D$36:$D$65,INPUTS!$B$61)</f>
        <v>0</v>
      </c>
      <c r="I53" s="19"/>
      <c r="J53" s="40" t="n">
        <f aca="false">SUM(D53:H53)</f>
        <v>0</v>
      </c>
      <c r="K53" s="21" t="n">
        <f aca="false">IFERROR(J53/$J$60,0)</f>
        <v>0</v>
      </c>
    </row>
    <row r="54" customFormat="false" ht="15" hidden="false" customHeight="false" outlineLevel="0" collapsed="false">
      <c r="B54" s="63" t="str">
        <f aca="false">INPUTS!$B$62</f>
        <v>05 Equipment &amp; Fixtures</v>
      </c>
      <c r="C54" s="14" t="n">
        <f aca="false">SUMIFS('PLUMBING EST'!$M$7:$M$156,'PLUMBING EST'!$B$7:$B$156,"V",'PLUMBING EST'!$C$7:$C$156,INPUTS!$B$62)+SUMIFS('HVAC EST'!$M$7:$M$156,'HVAC EST'!$B$7:$B$156,"V",'HVAC EST'!$C$7:$C$156,INPUTS!$B$62)</f>
        <v>0</v>
      </c>
      <c r="D54" s="29" t="n">
        <f aca="false">SUMIFS('PLUMBING EST'!$N$7:$N$156,'PLUMBING EST'!$B$7:$B$156,"V",'PLUMBING EST'!$C$7:$C$156,INPUTS!$B$62)+SUMIFS('HVAC EST'!$N$7:$N$156,'HVAC EST'!$B$7:$B$156,"V",'HVAC EST'!$C$7:$C$156,INPUTS!$B$62)</f>
        <v>0</v>
      </c>
      <c r="E54" s="29" t="n">
        <f aca="false">SUMIFS('PLUMBING EST'!$O$7:$O$156,'PLUMBING EST'!$B$7:$B$156,"V",'PLUMBING EST'!$C$7:$C$156,INPUTS!$B$62)+SUMIFS('HVAC EST'!$O$7:$O$156,'HVAC EST'!$B$7:$B$156,"V",'HVAC EST'!$C$7:$C$156,INPUTS!$B$62)</f>
        <v>0</v>
      </c>
      <c r="F54" s="29" t="n">
        <f aca="false">SUMIFS('PLUMBING EST'!$L$7:$L$156,'PLUMBING EST'!$B$7:$B$156,"V",'PLUMBING EST'!$C$7:$C$156,INPUTS!$B$62)+SUMIFS('HVAC EST'!$L$7:$L$156,'HVAC EST'!$B$7:$B$156,"V",'HVAC EST'!$C$7:$C$156,INPUTS!$B$62)</f>
        <v>0</v>
      </c>
      <c r="G54" s="29" t="n">
        <f aca="false">SUMIFS('SUBS &amp; GC'!$O$7:$O$31,'SUBS &amp; GC'!$D$7:$D$31,INPUTS!$B$62)</f>
        <v>0</v>
      </c>
      <c r="H54" s="29" t="n">
        <f aca="false">SUMIFS('SUBS &amp; GC'!$O$36:$O$65,'SUBS &amp; GC'!$D$36:$D$65,INPUTS!$B$62)</f>
        <v>0</v>
      </c>
      <c r="I54" s="19"/>
      <c r="J54" s="40" t="n">
        <f aca="false">SUM(D54:H54)</f>
        <v>0</v>
      </c>
      <c r="K54" s="21" t="n">
        <f aca="false">IFERROR(J54/$J$60,0)</f>
        <v>0</v>
      </c>
    </row>
    <row r="55" customFormat="false" ht="15" hidden="false" customHeight="false" outlineLevel="0" collapsed="false">
      <c r="B55" s="63" t="str">
        <f aca="false">INPUTS!$B$63</f>
        <v>06 Testing, Balancing &amp; Commissioning</v>
      </c>
      <c r="C55" s="14" t="n">
        <f aca="false">SUMIFS('PLUMBING EST'!$M$7:$M$156,'PLUMBING EST'!$B$7:$B$156,"V",'PLUMBING EST'!$C$7:$C$156,INPUTS!$B$63)+SUMIFS('HVAC EST'!$M$7:$M$156,'HVAC EST'!$B$7:$B$156,"V",'HVAC EST'!$C$7:$C$156,INPUTS!$B$63)</f>
        <v>0</v>
      </c>
      <c r="D55" s="29" t="n">
        <f aca="false">SUMIFS('PLUMBING EST'!$N$7:$N$156,'PLUMBING EST'!$B$7:$B$156,"V",'PLUMBING EST'!$C$7:$C$156,INPUTS!$B$63)+SUMIFS('HVAC EST'!$N$7:$N$156,'HVAC EST'!$B$7:$B$156,"V",'HVAC EST'!$C$7:$C$156,INPUTS!$B$63)</f>
        <v>0</v>
      </c>
      <c r="E55" s="29" t="n">
        <f aca="false">SUMIFS('PLUMBING EST'!$O$7:$O$156,'PLUMBING EST'!$B$7:$B$156,"V",'PLUMBING EST'!$C$7:$C$156,INPUTS!$B$63)+SUMIFS('HVAC EST'!$O$7:$O$156,'HVAC EST'!$B$7:$B$156,"V",'HVAC EST'!$C$7:$C$156,INPUTS!$B$63)</f>
        <v>0</v>
      </c>
      <c r="F55" s="29" t="n">
        <f aca="false">SUMIFS('PLUMBING EST'!$L$7:$L$156,'PLUMBING EST'!$B$7:$B$156,"V",'PLUMBING EST'!$C$7:$C$156,INPUTS!$B$63)+SUMIFS('HVAC EST'!$L$7:$L$156,'HVAC EST'!$B$7:$B$156,"V",'HVAC EST'!$C$7:$C$156,INPUTS!$B$63)</f>
        <v>0</v>
      </c>
      <c r="G55" s="29" t="n">
        <f aca="false">SUMIFS('SUBS &amp; GC'!$O$7:$O$31,'SUBS &amp; GC'!$D$7:$D$31,INPUTS!$B$63)</f>
        <v>0</v>
      </c>
      <c r="H55" s="29" t="n">
        <f aca="false">SUMIFS('SUBS &amp; GC'!$O$36:$O$65,'SUBS &amp; GC'!$D$36:$D$65,INPUTS!$B$63)</f>
        <v>0</v>
      </c>
      <c r="I55" s="19"/>
      <c r="J55" s="40" t="n">
        <f aca="false">SUM(D55:H55)</f>
        <v>0</v>
      </c>
      <c r="K55" s="21" t="n">
        <f aca="false">IFERROR(J55/$J$60,0)</f>
        <v>0</v>
      </c>
    </row>
    <row r="56" customFormat="false" ht="15" hidden="false" customHeight="false" outlineLevel="0" collapsed="false">
      <c r="B56" s="63" t="str">
        <f aca="false">INPUTS!$B$64</f>
        <v>07 Closeout &amp; Warranty</v>
      </c>
      <c r="C56" s="14" t="n">
        <f aca="false">SUMIFS('PLUMBING EST'!$M$7:$M$156,'PLUMBING EST'!$B$7:$B$156,"V",'PLUMBING EST'!$C$7:$C$156,INPUTS!$B$64)+SUMIFS('HVAC EST'!$M$7:$M$156,'HVAC EST'!$B$7:$B$156,"V",'HVAC EST'!$C$7:$C$156,INPUTS!$B$64)</f>
        <v>0</v>
      </c>
      <c r="D56" s="29" t="n">
        <f aca="false">SUMIFS('PLUMBING EST'!$N$7:$N$156,'PLUMBING EST'!$B$7:$B$156,"V",'PLUMBING EST'!$C$7:$C$156,INPUTS!$B$64)+SUMIFS('HVAC EST'!$N$7:$N$156,'HVAC EST'!$B$7:$B$156,"V",'HVAC EST'!$C$7:$C$156,INPUTS!$B$64)</f>
        <v>0</v>
      </c>
      <c r="E56" s="29" t="n">
        <f aca="false">SUMIFS('PLUMBING EST'!$O$7:$O$156,'PLUMBING EST'!$B$7:$B$156,"V",'PLUMBING EST'!$C$7:$C$156,INPUTS!$B$64)+SUMIFS('HVAC EST'!$O$7:$O$156,'HVAC EST'!$B$7:$B$156,"V",'HVAC EST'!$C$7:$C$156,INPUTS!$B$64)</f>
        <v>0</v>
      </c>
      <c r="F56" s="29" t="n">
        <f aca="false">SUMIFS('PLUMBING EST'!$L$7:$L$156,'PLUMBING EST'!$B$7:$B$156,"V",'PLUMBING EST'!$C$7:$C$156,INPUTS!$B$64)+SUMIFS('HVAC EST'!$L$7:$L$156,'HVAC EST'!$B$7:$B$156,"V",'HVAC EST'!$C$7:$C$156,INPUTS!$B$64)</f>
        <v>0</v>
      </c>
      <c r="G56" s="29" t="n">
        <f aca="false">SUMIFS('SUBS &amp; GC'!$O$7:$O$31,'SUBS &amp; GC'!$D$7:$D$31,INPUTS!$B$64)</f>
        <v>0</v>
      </c>
      <c r="H56" s="29" t="n">
        <f aca="false">SUMIFS('SUBS &amp; GC'!$O$36:$O$65,'SUBS &amp; GC'!$D$36:$D$65,INPUTS!$B$64)</f>
        <v>0</v>
      </c>
      <c r="I56" s="19"/>
      <c r="J56" s="40" t="n">
        <f aca="false">SUM(D56:H56)</f>
        <v>0</v>
      </c>
      <c r="K56" s="21" t="n">
        <f aca="false">IFERROR(J56/$J$60,0)</f>
        <v>0</v>
      </c>
    </row>
    <row r="57" customFormat="false" ht="15" hidden="false" customHeight="false" outlineLevel="0" collapsed="false">
      <c r="B57" s="63" t="str">
        <f aca="false">INPUTS!$B$65</f>
        <v>08 General Conditions</v>
      </c>
      <c r="C57" s="14" t="n">
        <f aca="false">SUMIFS('PLUMBING EST'!$M$7:$M$156,'PLUMBING EST'!$B$7:$B$156,"V",'PLUMBING EST'!$C$7:$C$156,INPUTS!$B$65)+SUMIFS('HVAC EST'!$M$7:$M$156,'HVAC EST'!$B$7:$B$156,"V",'HVAC EST'!$C$7:$C$156,INPUTS!$B$65)</f>
        <v>0</v>
      </c>
      <c r="D57" s="29" t="n">
        <f aca="false">SUMIFS('PLUMBING EST'!$N$7:$N$156,'PLUMBING EST'!$B$7:$B$156,"V",'PLUMBING EST'!$C$7:$C$156,INPUTS!$B$65)+SUMIFS('HVAC EST'!$N$7:$N$156,'HVAC EST'!$B$7:$B$156,"V",'HVAC EST'!$C$7:$C$156,INPUTS!$B$65)</f>
        <v>0</v>
      </c>
      <c r="E57" s="29" t="n">
        <f aca="false">SUMIFS('PLUMBING EST'!$O$7:$O$156,'PLUMBING EST'!$B$7:$B$156,"V",'PLUMBING EST'!$C$7:$C$156,INPUTS!$B$65)+SUMIFS('HVAC EST'!$O$7:$O$156,'HVAC EST'!$B$7:$B$156,"V",'HVAC EST'!$C$7:$C$156,INPUTS!$B$65)</f>
        <v>0</v>
      </c>
      <c r="F57" s="29" t="n">
        <f aca="false">SUMIFS('PLUMBING EST'!$L$7:$L$156,'PLUMBING EST'!$B$7:$B$156,"V",'PLUMBING EST'!$C$7:$C$156,INPUTS!$B$65)+SUMIFS('HVAC EST'!$L$7:$L$156,'HVAC EST'!$B$7:$B$156,"V",'HVAC EST'!$C$7:$C$156,INPUTS!$B$65)</f>
        <v>0</v>
      </c>
      <c r="G57" s="29" t="n">
        <f aca="false">SUMIFS('SUBS &amp; GC'!$O$7:$O$31,'SUBS &amp; GC'!$D$7:$D$31,INPUTS!$B$65)</f>
        <v>0</v>
      </c>
      <c r="H57" s="29" t="n">
        <f aca="false">SUMIFS('SUBS &amp; GC'!$O$36:$O$65,'SUBS &amp; GC'!$D$36:$D$65,INPUTS!$B$65)</f>
        <v>0</v>
      </c>
      <c r="I57" s="19"/>
      <c r="J57" s="40" t="n">
        <f aca="false">SUM(D57:H57)</f>
        <v>0</v>
      </c>
      <c r="K57" s="21" t="n">
        <f aca="false">IFERROR(J57/$J$60,0)</f>
        <v>0</v>
      </c>
    </row>
    <row r="58" customFormat="false" ht="15" hidden="false" customHeight="false" outlineLevel="0" collapsed="false">
      <c r="B58" s="19" t="s">
        <v>488</v>
      </c>
      <c r="F58" s="64" t="n">
        <f aca="false">'BID SUMMARY'!G8</f>
        <v>0</v>
      </c>
      <c r="J58" s="40" t="n">
        <f aca="false">F58</f>
        <v>0</v>
      </c>
      <c r="K58" s="21" t="n">
        <f aca="false">IFERROR(J58/$J$60,0)</f>
        <v>0</v>
      </c>
    </row>
    <row r="59" customFormat="false" ht="15" hidden="false" customHeight="false" outlineLevel="0" collapsed="false">
      <c r="B59" s="19" t="s">
        <v>160</v>
      </c>
      <c r="J59" s="75" t="n">
        <f aca="false">'BID SUMMARY'!J8</f>
        <v>0</v>
      </c>
      <c r="K59" s="21" t="n">
        <f aca="false">IFERROR(J59/$J$60,0)</f>
        <v>0</v>
      </c>
    </row>
    <row r="60" customFormat="false" ht="15" hidden="false" customHeight="false" outlineLevel="0" collapsed="false">
      <c r="B60" s="4" t="s">
        <v>489</v>
      </c>
      <c r="C60" s="23" t="n">
        <f aca="false">SUM(C50:C59)</f>
        <v>0</v>
      </c>
      <c r="D60" s="31" t="n">
        <f aca="false">SUM(D50:D59)</f>
        <v>0</v>
      </c>
      <c r="E60" s="31" t="n">
        <f aca="false">SUM(E50:E59)</f>
        <v>0</v>
      </c>
      <c r="F60" s="31" t="n">
        <f aca="false">SUM(F50:F59)</f>
        <v>0</v>
      </c>
      <c r="G60" s="31" t="n">
        <f aca="false">SUM(G50:G59)</f>
        <v>0</v>
      </c>
      <c r="H60" s="31" t="n">
        <f aca="false">SUM(H50:H59)</f>
        <v>0</v>
      </c>
      <c r="J60" s="50" t="n">
        <f aca="false">SUM(J50:J59)</f>
        <v>0</v>
      </c>
    </row>
    <row r="61" customFormat="false" ht="15" hidden="false" customHeight="false" outlineLevel="0" collapsed="false">
      <c r="B61" s="7" t="s">
        <v>490</v>
      </c>
      <c r="J61" s="45" t="n">
        <f aca="false">'BID SUMMARY'!O8</f>
        <v>0</v>
      </c>
    </row>
    <row r="62" customFormat="false" ht="15" hidden="false" customHeight="false" outlineLevel="0" collapsed="false">
      <c r="B62" s="4" t="s">
        <v>491</v>
      </c>
      <c r="J62" s="50" t="n">
        <f aca="false">J60+J61</f>
        <v>0</v>
      </c>
    </row>
    <row r="65" customFormat="false" ht="15" hidden="false" customHeight="false" outlineLevel="0" collapsed="false">
      <c r="B65" s="73" t="s">
        <v>494</v>
      </c>
      <c r="C65" s="74"/>
      <c r="D65" s="74"/>
      <c r="E65" s="74"/>
      <c r="F65" s="74"/>
      <c r="G65" s="74"/>
      <c r="H65" s="74"/>
      <c r="I65" s="74"/>
      <c r="J65" s="74"/>
    </row>
    <row r="66" customFormat="false" ht="30" hidden="false" customHeight="true" outlineLevel="0" collapsed="false">
      <c r="B66" s="18" t="s">
        <v>205</v>
      </c>
      <c r="C66" s="18" t="s">
        <v>170</v>
      </c>
      <c r="D66" s="18" t="s">
        <v>437</v>
      </c>
      <c r="E66" s="18" t="s">
        <v>216</v>
      </c>
      <c r="F66" s="18" t="s">
        <v>438</v>
      </c>
      <c r="G66" s="18" t="s">
        <v>439</v>
      </c>
      <c r="H66" s="18" t="s">
        <v>440</v>
      </c>
      <c r="I66" s="18"/>
      <c r="J66" s="18" t="s">
        <v>486</v>
      </c>
      <c r="K66" s="18" t="s">
        <v>487</v>
      </c>
    </row>
    <row r="67" customFormat="false" ht="15" hidden="false" customHeight="false" outlineLevel="0" collapsed="false">
      <c r="B67" s="63" t="str">
        <f aca="false">INPUTS!$B$58</f>
        <v>01 Mobilization &amp; Submittals</v>
      </c>
      <c r="C67" s="14" t="n">
        <f aca="false">SUMIFS('PLUMBING EST'!$M$7:$M$156,'PLUMBING EST'!$B$7:$B$156,"AC",'PLUMBING EST'!$C$7:$C$156,INPUTS!$B$58)+SUMIFS('HVAC EST'!$M$7:$M$156,'HVAC EST'!$B$7:$B$156,"AC",'HVAC EST'!$C$7:$C$156,INPUTS!$B$58)</f>
        <v>0</v>
      </c>
      <c r="D67" s="29" t="n">
        <f aca="false">SUMIFS('PLUMBING EST'!$N$7:$N$156,'PLUMBING EST'!$B$7:$B$156,"AC",'PLUMBING EST'!$C$7:$C$156,INPUTS!$B$58)+SUMIFS('HVAC EST'!$N$7:$N$156,'HVAC EST'!$B$7:$B$156,"AC",'HVAC EST'!$C$7:$C$156,INPUTS!$B$58)</f>
        <v>0</v>
      </c>
      <c r="E67" s="29" t="n">
        <f aca="false">SUMIFS('PLUMBING EST'!$O$7:$O$156,'PLUMBING EST'!$B$7:$B$156,"AC",'PLUMBING EST'!$C$7:$C$156,INPUTS!$B$58)+SUMIFS('HVAC EST'!$O$7:$O$156,'HVAC EST'!$B$7:$B$156,"AC",'HVAC EST'!$C$7:$C$156,INPUTS!$B$58)</f>
        <v>0</v>
      </c>
      <c r="F67" s="29" t="n">
        <f aca="false">SUMIFS('PLUMBING EST'!$L$7:$L$156,'PLUMBING EST'!$B$7:$B$156,"AC",'PLUMBING EST'!$C$7:$C$156,INPUTS!$B$58)+SUMIFS('HVAC EST'!$L$7:$L$156,'HVAC EST'!$B$7:$B$156,"AC",'HVAC EST'!$C$7:$C$156,INPUTS!$B$58)</f>
        <v>0</v>
      </c>
      <c r="G67" s="29" t="n">
        <f aca="false">SUMIFS('SUBS &amp; GC'!$P$7:$P$31,'SUBS &amp; GC'!$D$7:$D$31,INPUTS!$B$58)</f>
        <v>0</v>
      </c>
      <c r="H67" s="29" t="n">
        <f aca="false">SUMIFS('SUBS &amp; GC'!$P$36:$P$65,'SUBS &amp; GC'!$D$36:$D$65,INPUTS!$B$58)</f>
        <v>0</v>
      </c>
      <c r="I67" s="19"/>
      <c r="J67" s="40" t="n">
        <f aca="false">SUM(D67:H67)</f>
        <v>0</v>
      </c>
      <c r="K67" s="21" t="n">
        <f aca="false">IFERROR(J67/$J$77,0)</f>
        <v>0</v>
      </c>
    </row>
    <row r="68" customFormat="false" ht="15" hidden="false" customHeight="false" outlineLevel="0" collapsed="false">
      <c r="B68" s="63" t="str">
        <f aca="false">INPUTS!$B$59</f>
        <v>02 Underground</v>
      </c>
      <c r="C68" s="14" t="n">
        <f aca="false">SUMIFS('PLUMBING EST'!$M$7:$M$156,'PLUMBING EST'!$B$7:$B$156,"AC",'PLUMBING EST'!$C$7:$C$156,INPUTS!$B$59)+SUMIFS('HVAC EST'!$M$7:$M$156,'HVAC EST'!$B$7:$B$156,"AC",'HVAC EST'!$C$7:$C$156,INPUTS!$B$59)</f>
        <v>0</v>
      </c>
      <c r="D68" s="29" t="n">
        <f aca="false">SUMIFS('PLUMBING EST'!$N$7:$N$156,'PLUMBING EST'!$B$7:$B$156,"AC",'PLUMBING EST'!$C$7:$C$156,INPUTS!$B$59)+SUMIFS('HVAC EST'!$N$7:$N$156,'HVAC EST'!$B$7:$B$156,"AC",'HVAC EST'!$C$7:$C$156,INPUTS!$B$59)</f>
        <v>0</v>
      </c>
      <c r="E68" s="29" t="n">
        <f aca="false">SUMIFS('PLUMBING EST'!$O$7:$O$156,'PLUMBING EST'!$B$7:$B$156,"AC",'PLUMBING EST'!$C$7:$C$156,INPUTS!$B$59)+SUMIFS('HVAC EST'!$O$7:$O$156,'HVAC EST'!$B$7:$B$156,"AC",'HVAC EST'!$C$7:$C$156,INPUTS!$B$59)</f>
        <v>0</v>
      </c>
      <c r="F68" s="29" t="n">
        <f aca="false">SUMIFS('PLUMBING EST'!$L$7:$L$156,'PLUMBING EST'!$B$7:$B$156,"AC",'PLUMBING EST'!$C$7:$C$156,INPUTS!$B$59)+SUMIFS('HVAC EST'!$L$7:$L$156,'HVAC EST'!$B$7:$B$156,"AC",'HVAC EST'!$C$7:$C$156,INPUTS!$B$59)</f>
        <v>0</v>
      </c>
      <c r="G68" s="29" t="n">
        <f aca="false">SUMIFS('SUBS &amp; GC'!$P$7:$P$31,'SUBS &amp; GC'!$D$7:$D$31,INPUTS!$B$59)</f>
        <v>0</v>
      </c>
      <c r="H68" s="29" t="n">
        <f aca="false">SUMIFS('SUBS &amp; GC'!$P$36:$P$65,'SUBS &amp; GC'!$D$36:$D$65,INPUTS!$B$59)</f>
        <v>0</v>
      </c>
      <c r="I68" s="19"/>
      <c r="J68" s="40" t="n">
        <f aca="false">SUM(D68:H68)</f>
        <v>0</v>
      </c>
      <c r="K68" s="21" t="n">
        <f aca="false">IFERROR(J68/$J$77,0)</f>
        <v>0</v>
      </c>
    </row>
    <row r="69" customFormat="false" ht="15" hidden="false" customHeight="false" outlineLevel="0" collapsed="false">
      <c r="B69" s="63" t="str">
        <f aca="false">INPUTS!$B$60</f>
        <v>03 Rough-in</v>
      </c>
      <c r="C69" s="14" t="n">
        <f aca="false">SUMIFS('PLUMBING EST'!$M$7:$M$156,'PLUMBING EST'!$B$7:$B$156,"AC",'PLUMBING EST'!$C$7:$C$156,INPUTS!$B$60)+SUMIFS('HVAC EST'!$M$7:$M$156,'HVAC EST'!$B$7:$B$156,"AC",'HVAC EST'!$C$7:$C$156,INPUTS!$B$60)</f>
        <v>0</v>
      </c>
      <c r="D69" s="29" t="n">
        <f aca="false">SUMIFS('PLUMBING EST'!$N$7:$N$156,'PLUMBING EST'!$B$7:$B$156,"AC",'PLUMBING EST'!$C$7:$C$156,INPUTS!$B$60)+SUMIFS('HVAC EST'!$N$7:$N$156,'HVAC EST'!$B$7:$B$156,"AC",'HVAC EST'!$C$7:$C$156,INPUTS!$B$60)</f>
        <v>0</v>
      </c>
      <c r="E69" s="29" t="n">
        <f aca="false">SUMIFS('PLUMBING EST'!$O$7:$O$156,'PLUMBING EST'!$B$7:$B$156,"AC",'PLUMBING EST'!$C$7:$C$156,INPUTS!$B$60)+SUMIFS('HVAC EST'!$O$7:$O$156,'HVAC EST'!$B$7:$B$156,"AC",'HVAC EST'!$C$7:$C$156,INPUTS!$B$60)</f>
        <v>0</v>
      </c>
      <c r="F69" s="29" t="n">
        <f aca="false">SUMIFS('PLUMBING EST'!$L$7:$L$156,'PLUMBING EST'!$B$7:$B$156,"AC",'PLUMBING EST'!$C$7:$C$156,INPUTS!$B$60)+SUMIFS('HVAC EST'!$L$7:$L$156,'HVAC EST'!$B$7:$B$156,"AC",'HVAC EST'!$C$7:$C$156,INPUTS!$B$60)</f>
        <v>0</v>
      </c>
      <c r="G69" s="29" t="n">
        <f aca="false">SUMIFS('SUBS &amp; GC'!$P$7:$P$31,'SUBS &amp; GC'!$D$7:$D$31,INPUTS!$B$60)</f>
        <v>0</v>
      </c>
      <c r="H69" s="29" t="n">
        <f aca="false">SUMIFS('SUBS &amp; GC'!$P$36:$P$65,'SUBS &amp; GC'!$D$36:$D$65,INPUTS!$B$60)</f>
        <v>0</v>
      </c>
      <c r="I69" s="19"/>
      <c r="J69" s="40" t="n">
        <f aca="false">SUM(D69:H69)</f>
        <v>0</v>
      </c>
      <c r="K69" s="21" t="n">
        <f aca="false">IFERROR(J69/$J$77,0)</f>
        <v>0</v>
      </c>
    </row>
    <row r="70" customFormat="false" ht="15" hidden="false" customHeight="false" outlineLevel="0" collapsed="false">
      <c r="B70" s="63" t="str">
        <f aca="false">INPUTS!$B$61</f>
        <v>04 Finishing</v>
      </c>
      <c r="C70" s="14" t="n">
        <f aca="false">SUMIFS('PLUMBING EST'!$M$7:$M$156,'PLUMBING EST'!$B$7:$B$156,"AC",'PLUMBING EST'!$C$7:$C$156,INPUTS!$B$61)+SUMIFS('HVAC EST'!$M$7:$M$156,'HVAC EST'!$B$7:$B$156,"AC",'HVAC EST'!$C$7:$C$156,INPUTS!$B$61)</f>
        <v>0</v>
      </c>
      <c r="D70" s="29" t="n">
        <f aca="false">SUMIFS('PLUMBING EST'!$N$7:$N$156,'PLUMBING EST'!$B$7:$B$156,"AC",'PLUMBING EST'!$C$7:$C$156,INPUTS!$B$61)+SUMIFS('HVAC EST'!$N$7:$N$156,'HVAC EST'!$B$7:$B$156,"AC",'HVAC EST'!$C$7:$C$156,INPUTS!$B$61)</f>
        <v>0</v>
      </c>
      <c r="E70" s="29" t="n">
        <f aca="false">SUMIFS('PLUMBING EST'!$O$7:$O$156,'PLUMBING EST'!$B$7:$B$156,"AC",'PLUMBING EST'!$C$7:$C$156,INPUTS!$B$61)+SUMIFS('HVAC EST'!$O$7:$O$156,'HVAC EST'!$B$7:$B$156,"AC",'HVAC EST'!$C$7:$C$156,INPUTS!$B$61)</f>
        <v>0</v>
      </c>
      <c r="F70" s="29" t="n">
        <f aca="false">SUMIFS('PLUMBING EST'!$L$7:$L$156,'PLUMBING EST'!$B$7:$B$156,"AC",'PLUMBING EST'!$C$7:$C$156,INPUTS!$B$61)+SUMIFS('HVAC EST'!$L$7:$L$156,'HVAC EST'!$B$7:$B$156,"AC",'HVAC EST'!$C$7:$C$156,INPUTS!$B$61)</f>
        <v>0</v>
      </c>
      <c r="G70" s="29" t="n">
        <f aca="false">SUMIFS('SUBS &amp; GC'!$P$7:$P$31,'SUBS &amp; GC'!$D$7:$D$31,INPUTS!$B$61)</f>
        <v>0</v>
      </c>
      <c r="H70" s="29" t="n">
        <f aca="false">SUMIFS('SUBS &amp; GC'!$P$36:$P$65,'SUBS &amp; GC'!$D$36:$D$65,INPUTS!$B$61)</f>
        <v>0</v>
      </c>
      <c r="I70" s="19"/>
      <c r="J70" s="40" t="n">
        <f aca="false">SUM(D70:H70)</f>
        <v>0</v>
      </c>
      <c r="K70" s="21" t="n">
        <f aca="false">IFERROR(J70/$J$77,0)</f>
        <v>0</v>
      </c>
    </row>
    <row r="71" customFormat="false" ht="15" hidden="false" customHeight="false" outlineLevel="0" collapsed="false">
      <c r="B71" s="63" t="str">
        <f aca="false">INPUTS!$B$62</f>
        <v>05 Equipment &amp; Fixtures</v>
      </c>
      <c r="C71" s="14" t="n">
        <f aca="false">SUMIFS('PLUMBING EST'!$M$7:$M$156,'PLUMBING EST'!$B$7:$B$156,"AC",'PLUMBING EST'!$C$7:$C$156,INPUTS!$B$62)+SUMIFS('HVAC EST'!$M$7:$M$156,'HVAC EST'!$B$7:$B$156,"AC",'HVAC EST'!$C$7:$C$156,INPUTS!$B$62)</f>
        <v>0</v>
      </c>
      <c r="D71" s="29" t="n">
        <f aca="false">SUMIFS('PLUMBING EST'!$N$7:$N$156,'PLUMBING EST'!$B$7:$B$156,"AC",'PLUMBING EST'!$C$7:$C$156,INPUTS!$B$62)+SUMIFS('HVAC EST'!$N$7:$N$156,'HVAC EST'!$B$7:$B$156,"AC",'HVAC EST'!$C$7:$C$156,INPUTS!$B$62)</f>
        <v>0</v>
      </c>
      <c r="E71" s="29" t="n">
        <f aca="false">SUMIFS('PLUMBING EST'!$O$7:$O$156,'PLUMBING EST'!$B$7:$B$156,"AC",'PLUMBING EST'!$C$7:$C$156,INPUTS!$B$62)+SUMIFS('HVAC EST'!$O$7:$O$156,'HVAC EST'!$B$7:$B$156,"AC",'HVAC EST'!$C$7:$C$156,INPUTS!$B$62)</f>
        <v>0</v>
      </c>
      <c r="F71" s="29" t="n">
        <f aca="false">SUMIFS('PLUMBING EST'!$L$7:$L$156,'PLUMBING EST'!$B$7:$B$156,"AC",'PLUMBING EST'!$C$7:$C$156,INPUTS!$B$62)+SUMIFS('HVAC EST'!$L$7:$L$156,'HVAC EST'!$B$7:$B$156,"AC",'HVAC EST'!$C$7:$C$156,INPUTS!$B$62)</f>
        <v>0</v>
      </c>
      <c r="G71" s="29" t="n">
        <f aca="false">SUMIFS('SUBS &amp; GC'!$P$7:$P$31,'SUBS &amp; GC'!$D$7:$D$31,INPUTS!$B$62)</f>
        <v>0</v>
      </c>
      <c r="H71" s="29" t="n">
        <f aca="false">SUMIFS('SUBS &amp; GC'!$P$36:$P$65,'SUBS &amp; GC'!$D$36:$D$65,INPUTS!$B$62)</f>
        <v>0</v>
      </c>
      <c r="I71" s="19"/>
      <c r="J71" s="40" t="n">
        <f aca="false">SUM(D71:H71)</f>
        <v>0</v>
      </c>
      <c r="K71" s="21" t="n">
        <f aca="false">IFERROR(J71/$J$77,0)</f>
        <v>0</v>
      </c>
    </row>
    <row r="72" customFormat="false" ht="15" hidden="false" customHeight="false" outlineLevel="0" collapsed="false">
      <c r="B72" s="63" t="str">
        <f aca="false">INPUTS!$B$63</f>
        <v>06 Testing, Balancing &amp; Commissioning</v>
      </c>
      <c r="C72" s="14" t="n">
        <f aca="false">SUMIFS('PLUMBING EST'!$M$7:$M$156,'PLUMBING EST'!$B$7:$B$156,"AC",'PLUMBING EST'!$C$7:$C$156,INPUTS!$B$63)+SUMIFS('HVAC EST'!$M$7:$M$156,'HVAC EST'!$B$7:$B$156,"AC",'HVAC EST'!$C$7:$C$156,INPUTS!$B$63)</f>
        <v>0</v>
      </c>
      <c r="D72" s="29" t="n">
        <f aca="false">SUMIFS('PLUMBING EST'!$N$7:$N$156,'PLUMBING EST'!$B$7:$B$156,"AC",'PLUMBING EST'!$C$7:$C$156,INPUTS!$B$63)+SUMIFS('HVAC EST'!$N$7:$N$156,'HVAC EST'!$B$7:$B$156,"AC",'HVAC EST'!$C$7:$C$156,INPUTS!$B$63)</f>
        <v>0</v>
      </c>
      <c r="E72" s="29" t="n">
        <f aca="false">SUMIFS('PLUMBING EST'!$O$7:$O$156,'PLUMBING EST'!$B$7:$B$156,"AC",'PLUMBING EST'!$C$7:$C$156,INPUTS!$B$63)+SUMIFS('HVAC EST'!$O$7:$O$156,'HVAC EST'!$B$7:$B$156,"AC",'HVAC EST'!$C$7:$C$156,INPUTS!$B$63)</f>
        <v>0</v>
      </c>
      <c r="F72" s="29" t="n">
        <f aca="false">SUMIFS('PLUMBING EST'!$L$7:$L$156,'PLUMBING EST'!$B$7:$B$156,"AC",'PLUMBING EST'!$C$7:$C$156,INPUTS!$B$63)+SUMIFS('HVAC EST'!$L$7:$L$156,'HVAC EST'!$B$7:$B$156,"AC",'HVAC EST'!$C$7:$C$156,INPUTS!$B$63)</f>
        <v>0</v>
      </c>
      <c r="G72" s="29" t="n">
        <f aca="false">SUMIFS('SUBS &amp; GC'!$P$7:$P$31,'SUBS &amp; GC'!$D$7:$D$31,INPUTS!$B$63)</f>
        <v>0</v>
      </c>
      <c r="H72" s="29" t="n">
        <f aca="false">SUMIFS('SUBS &amp; GC'!$P$36:$P$65,'SUBS &amp; GC'!$D$36:$D$65,INPUTS!$B$63)</f>
        <v>0</v>
      </c>
      <c r="I72" s="19"/>
      <c r="J72" s="40" t="n">
        <f aca="false">SUM(D72:H72)</f>
        <v>0</v>
      </c>
      <c r="K72" s="21" t="n">
        <f aca="false">IFERROR(J72/$J$77,0)</f>
        <v>0</v>
      </c>
    </row>
    <row r="73" customFormat="false" ht="15" hidden="false" customHeight="false" outlineLevel="0" collapsed="false">
      <c r="B73" s="63" t="str">
        <f aca="false">INPUTS!$B$64</f>
        <v>07 Closeout &amp; Warranty</v>
      </c>
      <c r="C73" s="14" t="n">
        <f aca="false">SUMIFS('PLUMBING EST'!$M$7:$M$156,'PLUMBING EST'!$B$7:$B$156,"AC",'PLUMBING EST'!$C$7:$C$156,INPUTS!$B$64)+SUMIFS('HVAC EST'!$M$7:$M$156,'HVAC EST'!$B$7:$B$156,"AC",'HVAC EST'!$C$7:$C$156,INPUTS!$B$64)</f>
        <v>0</v>
      </c>
      <c r="D73" s="29" t="n">
        <f aca="false">SUMIFS('PLUMBING EST'!$N$7:$N$156,'PLUMBING EST'!$B$7:$B$156,"AC",'PLUMBING EST'!$C$7:$C$156,INPUTS!$B$64)+SUMIFS('HVAC EST'!$N$7:$N$156,'HVAC EST'!$B$7:$B$156,"AC",'HVAC EST'!$C$7:$C$156,INPUTS!$B$64)</f>
        <v>0</v>
      </c>
      <c r="E73" s="29" t="n">
        <f aca="false">SUMIFS('PLUMBING EST'!$O$7:$O$156,'PLUMBING EST'!$B$7:$B$156,"AC",'PLUMBING EST'!$C$7:$C$156,INPUTS!$B$64)+SUMIFS('HVAC EST'!$O$7:$O$156,'HVAC EST'!$B$7:$B$156,"AC",'HVAC EST'!$C$7:$C$156,INPUTS!$B$64)</f>
        <v>0</v>
      </c>
      <c r="F73" s="29" t="n">
        <f aca="false">SUMIFS('PLUMBING EST'!$L$7:$L$156,'PLUMBING EST'!$B$7:$B$156,"AC",'PLUMBING EST'!$C$7:$C$156,INPUTS!$B$64)+SUMIFS('HVAC EST'!$L$7:$L$156,'HVAC EST'!$B$7:$B$156,"AC",'HVAC EST'!$C$7:$C$156,INPUTS!$B$64)</f>
        <v>0</v>
      </c>
      <c r="G73" s="29" t="n">
        <f aca="false">SUMIFS('SUBS &amp; GC'!$P$7:$P$31,'SUBS &amp; GC'!$D$7:$D$31,INPUTS!$B$64)</f>
        <v>0</v>
      </c>
      <c r="H73" s="29" t="n">
        <f aca="false">SUMIFS('SUBS &amp; GC'!$P$36:$P$65,'SUBS &amp; GC'!$D$36:$D$65,INPUTS!$B$64)</f>
        <v>0</v>
      </c>
      <c r="I73" s="19"/>
      <c r="J73" s="40" t="n">
        <f aca="false">SUM(D73:H73)</f>
        <v>0</v>
      </c>
      <c r="K73" s="21" t="n">
        <f aca="false">IFERROR(J73/$J$77,0)</f>
        <v>0</v>
      </c>
    </row>
    <row r="74" customFormat="false" ht="15" hidden="false" customHeight="false" outlineLevel="0" collapsed="false">
      <c r="B74" s="63" t="str">
        <f aca="false">INPUTS!$B$65</f>
        <v>08 General Conditions</v>
      </c>
      <c r="C74" s="14" t="n">
        <f aca="false">SUMIFS('PLUMBING EST'!$M$7:$M$156,'PLUMBING EST'!$B$7:$B$156,"AC",'PLUMBING EST'!$C$7:$C$156,INPUTS!$B$65)+SUMIFS('HVAC EST'!$M$7:$M$156,'HVAC EST'!$B$7:$B$156,"AC",'HVAC EST'!$C$7:$C$156,INPUTS!$B$65)</f>
        <v>0</v>
      </c>
      <c r="D74" s="29" t="n">
        <f aca="false">SUMIFS('PLUMBING EST'!$N$7:$N$156,'PLUMBING EST'!$B$7:$B$156,"AC",'PLUMBING EST'!$C$7:$C$156,INPUTS!$B$65)+SUMIFS('HVAC EST'!$N$7:$N$156,'HVAC EST'!$B$7:$B$156,"AC",'HVAC EST'!$C$7:$C$156,INPUTS!$B$65)</f>
        <v>0</v>
      </c>
      <c r="E74" s="29" t="n">
        <f aca="false">SUMIFS('PLUMBING EST'!$O$7:$O$156,'PLUMBING EST'!$B$7:$B$156,"AC",'PLUMBING EST'!$C$7:$C$156,INPUTS!$B$65)+SUMIFS('HVAC EST'!$O$7:$O$156,'HVAC EST'!$B$7:$B$156,"AC",'HVAC EST'!$C$7:$C$156,INPUTS!$B$65)</f>
        <v>0</v>
      </c>
      <c r="F74" s="29" t="n">
        <f aca="false">SUMIFS('PLUMBING EST'!$L$7:$L$156,'PLUMBING EST'!$B$7:$B$156,"AC",'PLUMBING EST'!$C$7:$C$156,INPUTS!$B$65)+SUMIFS('HVAC EST'!$L$7:$L$156,'HVAC EST'!$B$7:$B$156,"AC",'HVAC EST'!$C$7:$C$156,INPUTS!$B$65)</f>
        <v>0</v>
      </c>
      <c r="G74" s="29" t="n">
        <f aca="false">SUMIFS('SUBS &amp; GC'!$P$7:$P$31,'SUBS &amp; GC'!$D$7:$D$31,INPUTS!$B$65)</f>
        <v>0</v>
      </c>
      <c r="H74" s="29" t="n">
        <f aca="false">SUMIFS('SUBS &amp; GC'!$P$36:$P$65,'SUBS &amp; GC'!$D$36:$D$65,INPUTS!$B$65)</f>
        <v>0</v>
      </c>
      <c r="I74" s="19"/>
      <c r="J74" s="40" t="n">
        <f aca="false">SUM(D74:H74)</f>
        <v>0</v>
      </c>
      <c r="K74" s="21" t="n">
        <f aca="false">IFERROR(J74/$J$77,0)</f>
        <v>0</v>
      </c>
    </row>
    <row r="75" customFormat="false" ht="15" hidden="false" customHeight="false" outlineLevel="0" collapsed="false">
      <c r="B75" s="19" t="s">
        <v>488</v>
      </c>
      <c r="F75" s="64" t="n">
        <f aca="false">'BID SUMMARY'!G9</f>
        <v>0</v>
      </c>
      <c r="J75" s="40" t="n">
        <f aca="false">F75</f>
        <v>0</v>
      </c>
      <c r="K75" s="21" t="n">
        <f aca="false">IFERROR(J75/$J$77,0)</f>
        <v>0</v>
      </c>
    </row>
    <row r="76" customFormat="false" ht="15" hidden="false" customHeight="false" outlineLevel="0" collapsed="false">
      <c r="B76" s="19" t="s">
        <v>160</v>
      </c>
      <c r="J76" s="75" t="n">
        <f aca="false">'BID SUMMARY'!J9</f>
        <v>0</v>
      </c>
      <c r="K76" s="21" t="n">
        <f aca="false">IFERROR(J76/$J$77,0)</f>
        <v>0</v>
      </c>
    </row>
    <row r="77" customFormat="false" ht="15" hidden="false" customHeight="false" outlineLevel="0" collapsed="false">
      <c r="B77" s="4" t="s">
        <v>489</v>
      </c>
      <c r="C77" s="23" t="n">
        <f aca="false">SUM(C67:C76)</f>
        <v>0</v>
      </c>
      <c r="D77" s="31" t="n">
        <f aca="false">SUM(D67:D76)</f>
        <v>0</v>
      </c>
      <c r="E77" s="31" t="n">
        <f aca="false">SUM(E67:E76)</f>
        <v>0</v>
      </c>
      <c r="F77" s="31" t="n">
        <f aca="false">SUM(F67:F76)</f>
        <v>0</v>
      </c>
      <c r="G77" s="31" t="n">
        <f aca="false">SUM(G67:G76)</f>
        <v>0</v>
      </c>
      <c r="H77" s="31" t="n">
        <f aca="false">SUM(H67:H76)</f>
        <v>0</v>
      </c>
      <c r="J77" s="50" t="n">
        <f aca="false">SUM(J67:J76)</f>
        <v>0</v>
      </c>
    </row>
    <row r="78" customFormat="false" ht="15" hidden="false" customHeight="false" outlineLevel="0" collapsed="false">
      <c r="B78" s="7" t="s">
        <v>490</v>
      </c>
      <c r="J78" s="45" t="n">
        <f aca="false">'BID SUMMARY'!O9</f>
        <v>0</v>
      </c>
    </row>
    <row r="79" customFormat="false" ht="15" hidden="false" customHeight="false" outlineLevel="0" collapsed="false">
      <c r="B79" s="4" t="s">
        <v>491</v>
      </c>
      <c r="J79" s="50" t="n">
        <f aca="false">J77+J78</f>
        <v>0</v>
      </c>
    </row>
  </sheetData>
  <conditionalFormatting sqref="K1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495</v>
      </c>
    </row>
    <row r="2" customFormat="false" ht="15" hidden="false" customHeight="false" outlineLevel="0" collapsed="false">
      <c r="A2" s="9" t="str">
        <f aca="false">IF(INPUTS!C4="","",INPUTS!C4)&amp;"   "&amp;INPUTS!C11&amp;", "&amp;INPUTS!C12&amp;"   GC: "&amp;INPUTS!C8</f>
        <v>   2650 East 41st Ave, Vancouver   GC: </v>
      </c>
    </row>
    <row r="4" customFormat="false" ht="15" hidden="false" customHeight="false" outlineLevel="0" collapsed="false">
      <c r="B4" s="4" t="s">
        <v>496</v>
      </c>
      <c r="C4" s="76" t="n">
        <f aca="false">'BID SUMMARY'!N10</f>
        <v>488800</v>
      </c>
    </row>
    <row r="5" customFormat="false" ht="15" hidden="false" customHeight="false" outlineLevel="0" collapsed="false">
      <c r="B5" s="4" t="s">
        <v>497</v>
      </c>
      <c r="C5" s="70" t="n">
        <f aca="false">C153</f>
        <v>488800</v>
      </c>
      <c r="D5" s="25" t="str">
        <f aca="false">IF(ABS(C5-C4)&lt;1,"OK","CHECK")</f>
        <v>OK</v>
      </c>
    </row>
    <row r="6" customFormat="false" ht="15" hidden="false" customHeight="false" outlineLevel="0" collapsed="false">
      <c r="B6" s="2" t="s">
        <v>498</v>
      </c>
    </row>
    <row r="8" customFormat="false" ht="30" hidden="false" customHeight="true" outlineLevel="0" collapsed="false">
      <c r="A8" s="18" t="s">
        <v>499</v>
      </c>
      <c r="B8" s="18" t="s">
        <v>206</v>
      </c>
      <c r="C8" s="18" t="s">
        <v>500</v>
      </c>
      <c r="D8" s="18" t="s">
        <v>461</v>
      </c>
      <c r="E8" s="18" t="s">
        <v>501</v>
      </c>
      <c r="F8" s="18" t="s">
        <v>502</v>
      </c>
      <c r="G8" s="18" t="s">
        <v>503</v>
      </c>
      <c r="H8" s="18" t="s">
        <v>504</v>
      </c>
      <c r="I8" s="18"/>
      <c r="J8" s="18" t="s">
        <v>505</v>
      </c>
    </row>
    <row r="9" customFormat="false" ht="15" hidden="false" customHeight="false" outlineLevel="0" collapsed="false">
      <c r="A9" s="77" t="s">
        <v>94</v>
      </c>
      <c r="B9" s="77" t="s">
        <v>506</v>
      </c>
      <c r="C9" s="78" t="n">
        <f aca="false">SUM(C10:C43)</f>
        <v>488800</v>
      </c>
      <c r="D9" s="79" t="n">
        <f aca="false">IFERROR(C9/$C$4,0)</f>
        <v>1</v>
      </c>
      <c r="E9" s="78" t="n">
        <f aca="false">SUM(E10:E43)</f>
        <v>0</v>
      </c>
      <c r="G9" s="78" t="n">
        <f aca="false">SUM(G10:G43)</f>
        <v>488800</v>
      </c>
      <c r="H9" s="78" t="n">
        <f aca="false">SUM(H10:H43)</f>
        <v>0</v>
      </c>
      <c r="J9" s="80" t="n">
        <f aca="false">IFERROR('BID SUMMARY'!N6/(BUDGET!$J$16+BUDGET!$J$17+BUDGET!$J$18+BUDGET!$J$19+BUDGET!$J$20+BUDGET!$J$21+BUDGET!$J$22+BUDGET!$J$23),0)</f>
        <v>1.18260843645955</v>
      </c>
    </row>
    <row r="10" customFormat="false" ht="15" hidden="false" customHeight="false" outlineLevel="0" collapsed="false">
      <c r="A10" s="19" t="s">
        <v>507</v>
      </c>
      <c r="B10" s="19" t="str">
        <f aca="false">"P - "&amp;MID(INPUTS!$B$58,4,60)</f>
        <v>P - Mobilization &amp; Submittals</v>
      </c>
      <c r="C10" s="29" t="n">
        <f aca="false">BUDGET!$J$16*$J$9</f>
        <v>0</v>
      </c>
      <c r="D10" s="21" t="n">
        <f aca="false">IFERROR(C10/$C$4,0)</f>
        <v>0</v>
      </c>
      <c r="E10" s="47"/>
      <c r="F10" s="21" t="n">
        <f aca="false">IFERROR(E10/C10,0)</f>
        <v>0</v>
      </c>
      <c r="G10" s="29" t="n">
        <f aca="false">C10-E10</f>
        <v>0</v>
      </c>
      <c r="H10" s="29" t="n">
        <f aca="false">E10*INPUTS!$C$29</f>
        <v>0</v>
      </c>
    </row>
    <row r="11" customFormat="false" ht="15" hidden="false" customHeight="false" outlineLevel="0" collapsed="false">
      <c r="A11" s="19" t="s">
        <v>112</v>
      </c>
      <c r="B11" s="19" t="str">
        <f aca="false">"P - "&amp;MID(INPUTS!$B$59,4,60)</f>
        <v>P - Underground</v>
      </c>
      <c r="C11" s="29" t="n">
        <f aca="false">BUDGET!$J$17*$J$9</f>
        <v>0</v>
      </c>
      <c r="D11" s="21" t="n">
        <f aca="false">IFERROR(C11/$C$4,0)</f>
        <v>0</v>
      </c>
      <c r="E11" s="47"/>
      <c r="F11" s="21" t="n">
        <f aca="false">IFERROR(E11/C11,0)</f>
        <v>0</v>
      </c>
      <c r="G11" s="29" t="n">
        <f aca="false">C11-E11</f>
        <v>0</v>
      </c>
      <c r="H11" s="29" t="n">
        <f aca="false">E11*INPUTS!$C$29</f>
        <v>0</v>
      </c>
    </row>
    <row r="12" customFormat="false" ht="15" hidden="false" customHeight="false" outlineLevel="0" collapsed="false">
      <c r="A12" s="19" t="s">
        <v>508</v>
      </c>
      <c r="B12" s="19" t="str">
        <f aca="false">"P - "&amp;INPUTS!$B$40&amp;" Rough-in"</f>
        <v>P - U/G Rough-in</v>
      </c>
      <c r="C12" s="29" t="n">
        <f aca="false">BUDGET!$J$18*INPUTS!$E$40*$J$9</f>
        <v>0</v>
      </c>
      <c r="D12" s="21" t="n">
        <f aca="false">IFERROR(C12/$C$4,0)</f>
        <v>0</v>
      </c>
      <c r="E12" s="47"/>
      <c r="F12" s="21" t="n">
        <f aca="false">IFERROR(E12/C12,0)</f>
        <v>0</v>
      </c>
      <c r="G12" s="29" t="n">
        <f aca="false">C12-E12</f>
        <v>0</v>
      </c>
      <c r="H12" s="29" t="n">
        <f aca="false">E12*INPUTS!$C$29</f>
        <v>0</v>
      </c>
    </row>
    <row r="13" customFormat="false" ht="15" hidden="false" customHeight="false" outlineLevel="0" collapsed="false">
      <c r="A13" s="19" t="s">
        <v>509</v>
      </c>
      <c r="B13" s="19" t="str">
        <f aca="false">"P - "&amp;INPUTS!$B$41&amp;" Rough-in"</f>
        <v>P - P-02 Rough-in</v>
      </c>
      <c r="C13" s="29" t="n">
        <f aca="false">BUDGET!$J$18*INPUTS!$E$41*$J$9</f>
        <v>0</v>
      </c>
      <c r="D13" s="21" t="n">
        <f aca="false">IFERROR(C13/$C$4,0)</f>
        <v>0</v>
      </c>
      <c r="E13" s="47"/>
      <c r="F13" s="21" t="n">
        <f aca="false">IFERROR(E13/C13,0)</f>
        <v>0</v>
      </c>
      <c r="G13" s="29" t="n">
        <f aca="false">C13-E13</f>
        <v>0</v>
      </c>
      <c r="H13" s="29" t="n">
        <f aca="false">E13*INPUTS!$C$29</f>
        <v>0</v>
      </c>
    </row>
    <row r="14" customFormat="false" ht="15" hidden="false" customHeight="false" outlineLevel="0" collapsed="false">
      <c r="A14" s="19" t="s">
        <v>510</v>
      </c>
      <c r="B14" s="19" t="str">
        <f aca="false">"P - "&amp;INPUTS!$B$42&amp;" Rough-in"</f>
        <v>P - PRKG Rough-in</v>
      </c>
      <c r="C14" s="29" t="n">
        <f aca="false">BUDGET!$J$18*INPUTS!$E$42*$J$9</f>
        <v>0</v>
      </c>
      <c r="D14" s="21" t="n">
        <f aca="false">IFERROR(C14/$C$4,0)</f>
        <v>0</v>
      </c>
      <c r="E14" s="47"/>
      <c r="F14" s="21" t="n">
        <f aca="false">IFERROR(E14/C14,0)</f>
        <v>0</v>
      </c>
      <c r="G14" s="29" t="n">
        <f aca="false">C14-E14</f>
        <v>0</v>
      </c>
      <c r="H14" s="29" t="n">
        <f aca="false">E14*INPUTS!$C$29</f>
        <v>0</v>
      </c>
    </row>
    <row r="15" customFormat="false" ht="15" hidden="false" customHeight="false" outlineLevel="0" collapsed="false">
      <c r="A15" s="19" t="s">
        <v>511</v>
      </c>
      <c r="B15" s="19" t="str">
        <f aca="false">"P - "&amp;INPUTS!$B$43&amp;" Rough-in"</f>
        <v>P - L-01 Rough-in</v>
      </c>
      <c r="C15" s="29" t="n">
        <f aca="false">BUDGET!$J$18*INPUTS!$E$43*$J$9</f>
        <v>53840.0939389818</v>
      </c>
      <c r="D15" s="21" t="n">
        <f aca="false">IFERROR(C15/$C$4,0)</f>
        <v>0.110147491691861</v>
      </c>
      <c r="E15" s="47"/>
      <c r="F15" s="21" t="n">
        <f aca="false">IFERROR(E15/C15,0)</f>
        <v>0</v>
      </c>
      <c r="G15" s="29" t="n">
        <f aca="false">C15-E15</f>
        <v>53840.0939389818</v>
      </c>
      <c r="H15" s="29" t="n">
        <f aca="false">E15*INPUTS!$C$29</f>
        <v>0</v>
      </c>
    </row>
    <row r="16" customFormat="false" ht="15" hidden="false" customHeight="false" outlineLevel="0" collapsed="false">
      <c r="A16" s="19" t="s">
        <v>512</v>
      </c>
      <c r="B16" s="19" t="str">
        <f aca="false">"P - "&amp;INPUTS!$B$44&amp;" Rough-in"</f>
        <v>P - L-02 Rough-in</v>
      </c>
      <c r="C16" s="29" t="n">
        <f aca="false">BUDGET!$J$18*INPUTS!$E$44*$J$9</f>
        <v>56083.4311864393</v>
      </c>
      <c r="D16" s="21" t="n">
        <f aca="false">IFERROR(C16/$C$4,0)</f>
        <v>0.114736970512355</v>
      </c>
      <c r="E16" s="47"/>
      <c r="F16" s="21" t="n">
        <f aca="false">IFERROR(E16/C16,0)</f>
        <v>0</v>
      </c>
      <c r="G16" s="29" t="n">
        <f aca="false">C16-E16</f>
        <v>56083.4311864393</v>
      </c>
      <c r="H16" s="29" t="n">
        <f aca="false">E16*INPUTS!$C$29</f>
        <v>0</v>
      </c>
    </row>
    <row r="17" customFormat="false" ht="15" hidden="false" customHeight="false" outlineLevel="0" collapsed="false">
      <c r="A17" s="19" t="s">
        <v>513</v>
      </c>
      <c r="B17" s="19" t="str">
        <f aca="false">"P - "&amp;INPUTS!$B$45&amp;" Rough-in"</f>
        <v>P - L-03 Rough-in</v>
      </c>
      <c r="C17" s="29" t="n">
        <f aca="false">BUDGET!$J$18*INPUTS!$E$45*$J$9</f>
        <v>56083.4311864393</v>
      </c>
      <c r="D17" s="21" t="n">
        <f aca="false">IFERROR(C17/$C$4,0)</f>
        <v>0.114736970512355</v>
      </c>
      <c r="E17" s="47"/>
      <c r="F17" s="21" t="n">
        <f aca="false">IFERROR(E17/C17,0)</f>
        <v>0</v>
      </c>
      <c r="G17" s="29" t="n">
        <f aca="false">C17-E17</f>
        <v>56083.4311864393</v>
      </c>
      <c r="H17" s="29" t="n">
        <f aca="false">E17*INPUTS!$C$29</f>
        <v>0</v>
      </c>
    </row>
    <row r="18" customFormat="false" ht="15" hidden="false" customHeight="false" outlineLevel="0" collapsed="false">
      <c r="A18" s="19" t="s">
        <v>514</v>
      </c>
      <c r="B18" s="19" t="str">
        <f aca="false">"P - "&amp;INPUTS!$B$46&amp;" Rough-in"</f>
        <v>P - L-04 Rough-in</v>
      </c>
      <c r="C18" s="29" t="n">
        <f aca="false">BUDGET!$J$18*INPUTS!$E$46*$J$9</f>
        <v>56083.4311864393</v>
      </c>
      <c r="D18" s="21" t="n">
        <f aca="false">IFERROR(C18/$C$4,0)</f>
        <v>0.114736970512355</v>
      </c>
      <c r="E18" s="47"/>
      <c r="F18" s="21" t="n">
        <f aca="false">IFERROR(E18/C18,0)</f>
        <v>0</v>
      </c>
      <c r="G18" s="29" t="n">
        <f aca="false">C18-E18</f>
        <v>56083.4311864393</v>
      </c>
      <c r="H18" s="29" t="n">
        <f aca="false">E18*INPUTS!$C$29</f>
        <v>0</v>
      </c>
    </row>
    <row r="19" customFormat="false" ht="15" hidden="false" customHeight="false" outlineLevel="0" collapsed="false">
      <c r="A19" s="19" t="s">
        <v>515</v>
      </c>
      <c r="B19" s="19" t="str">
        <f aca="false">"P - "&amp;INPUTS!$B$47&amp;" Rough-in"</f>
        <v>P - L-05 Rough-in</v>
      </c>
      <c r="C19" s="29" t="n">
        <f aca="false">BUDGET!$J$18*INPUTS!$E$47*$J$9</f>
        <v>53840.0939389818</v>
      </c>
      <c r="D19" s="21" t="n">
        <f aca="false">IFERROR(C19/$C$4,0)</f>
        <v>0.110147491691861</v>
      </c>
      <c r="E19" s="47"/>
      <c r="F19" s="21" t="n">
        <f aca="false">IFERROR(E19/C19,0)</f>
        <v>0</v>
      </c>
      <c r="G19" s="29" t="n">
        <f aca="false">C19-E19</f>
        <v>53840.0939389818</v>
      </c>
      <c r="H19" s="29" t="n">
        <f aca="false">E19*INPUTS!$C$29</f>
        <v>0</v>
      </c>
    </row>
    <row r="20" customFormat="false" ht="15" hidden="false" customHeight="false" outlineLevel="0" collapsed="false">
      <c r="A20" s="19" t="s">
        <v>516</v>
      </c>
      <c r="B20" s="19" t="str">
        <f aca="false">"P - "&amp;INPUTS!$B$48&amp;" Rough-in"</f>
        <v>P - L-06 Rough-in</v>
      </c>
      <c r="C20" s="29" t="n">
        <f aca="false">BUDGET!$J$18*INPUTS!$E$48*$J$9</f>
        <v>0</v>
      </c>
      <c r="D20" s="21" t="n">
        <f aca="false">IFERROR(C20/$C$4,0)</f>
        <v>0</v>
      </c>
      <c r="E20" s="47"/>
      <c r="F20" s="21" t="n">
        <f aca="false">IFERROR(E20/C20,0)</f>
        <v>0</v>
      </c>
      <c r="G20" s="29" t="n">
        <f aca="false">C20-E20</f>
        <v>0</v>
      </c>
      <c r="H20" s="29" t="n">
        <f aca="false">E20*INPUTS!$C$29</f>
        <v>0</v>
      </c>
    </row>
    <row r="21" customFormat="false" ht="15" hidden="false" customHeight="false" outlineLevel="0" collapsed="false">
      <c r="A21" s="19" t="s">
        <v>517</v>
      </c>
      <c r="B21" s="19" t="str">
        <f aca="false">"P - "&amp;INPUTS!$B$49&amp;" Rough-in"</f>
        <v>P - L-07 Rough-in</v>
      </c>
      <c r="C21" s="29" t="n">
        <f aca="false">BUDGET!$J$18*INPUTS!$E$49*$J$9</f>
        <v>0</v>
      </c>
      <c r="D21" s="21" t="n">
        <f aca="false">IFERROR(C21/$C$4,0)</f>
        <v>0</v>
      </c>
      <c r="E21" s="47"/>
      <c r="F21" s="21" t="n">
        <f aca="false">IFERROR(E21/C21,0)</f>
        <v>0</v>
      </c>
      <c r="G21" s="29" t="n">
        <f aca="false">C21-E21</f>
        <v>0</v>
      </c>
      <c r="H21" s="29" t="n">
        <f aca="false">E21*INPUTS!$C$29</f>
        <v>0</v>
      </c>
    </row>
    <row r="22" customFormat="false" ht="15" hidden="false" customHeight="false" outlineLevel="0" collapsed="false">
      <c r="A22" s="19" t="s">
        <v>518</v>
      </c>
      <c r="B22" s="19" t="str">
        <f aca="false">"P - "&amp;INPUTS!$B$50&amp;" Rough-in"</f>
        <v>P - L-08 Rough-in</v>
      </c>
      <c r="C22" s="29" t="n">
        <f aca="false">BUDGET!$J$18*INPUTS!$E$50*$J$9</f>
        <v>0</v>
      </c>
      <c r="D22" s="21" t="n">
        <f aca="false">IFERROR(C22/$C$4,0)</f>
        <v>0</v>
      </c>
      <c r="E22" s="47"/>
      <c r="F22" s="21" t="n">
        <f aca="false">IFERROR(E22/C22,0)</f>
        <v>0</v>
      </c>
      <c r="G22" s="29" t="n">
        <f aca="false">C22-E22</f>
        <v>0</v>
      </c>
      <c r="H22" s="29" t="n">
        <f aca="false">E22*INPUTS!$C$29</f>
        <v>0</v>
      </c>
    </row>
    <row r="23" customFormat="false" ht="15" hidden="false" customHeight="false" outlineLevel="0" collapsed="false">
      <c r="A23" s="19" t="s">
        <v>519</v>
      </c>
      <c r="B23" s="19" t="str">
        <f aca="false">"P - "&amp;INPUTS!$B$51&amp;" Rough-in"</f>
        <v>P - L-09 Rough-in</v>
      </c>
      <c r="C23" s="29" t="n">
        <f aca="false">BUDGET!$J$18*INPUTS!$E$51*$J$9</f>
        <v>0</v>
      </c>
      <c r="D23" s="21" t="n">
        <f aca="false">IFERROR(C23/$C$4,0)</f>
        <v>0</v>
      </c>
      <c r="E23" s="47"/>
      <c r="F23" s="21" t="n">
        <f aca="false">IFERROR(E23/C23,0)</f>
        <v>0</v>
      </c>
      <c r="G23" s="29" t="n">
        <f aca="false">C23-E23</f>
        <v>0</v>
      </c>
      <c r="H23" s="29" t="n">
        <f aca="false">E23*INPUTS!$C$29</f>
        <v>0</v>
      </c>
    </row>
    <row r="24" customFormat="false" ht="15" hidden="false" customHeight="false" outlineLevel="0" collapsed="false">
      <c r="A24" s="19" t="s">
        <v>520</v>
      </c>
      <c r="B24" s="19" t="str">
        <f aca="false">"P - "&amp;INPUTS!$B$52&amp;" Rough-in"</f>
        <v>P - L-10 Rough-in</v>
      </c>
      <c r="C24" s="29" t="n">
        <f aca="false">BUDGET!$J$18*INPUTS!$E$52*$J$9</f>
        <v>0</v>
      </c>
      <c r="D24" s="21" t="n">
        <f aca="false">IFERROR(C24/$C$4,0)</f>
        <v>0</v>
      </c>
      <c r="E24" s="47"/>
      <c r="F24" s="21" t="n">
        <f aca="false">IFERROR(E24/C24,0)</f>
        <v>0</v>
      </c>
      <c r="G24" s="29" t="n">
        <f aca="false">C24-E24</f>
        <v>0</v>
      </c>
      <c r="H24" s="29" t="n">
        <f aca="false">E24*INPUTS!$C$29</f>
        <v>0</v>
      </c>
    </row>
    <row r="25" customFormat="false" ht="15" hidden="false" customHeight="false" outlineLevel="0" collapsed="false">
      <c r="A25" s="19" t="s">
        <v>521</v>
      </c>
      <c r="B25" s="19" t="str">
        <f aca="false">"P - "&amp;INPUTS!$B$53&amp;" Rough-in"</f>
        <v>P - ROOF Rough-in</v>
      </c>
      <c r="C25" s="29" t="n">
        <f aca="false">BUDGET!$J$18*INPUTS!$E$53*$J$9</f>
        <v>0</v>
      </c>
      <c r="D25" s="21" t="n">
        <f aca="false">IFERROR(C25/$C$4,0)</f>
        <v>0</v>
      </c>
      <c r="E25" s="47"/>
      <c r="F25" s="21" t="n">
        <f aca="false">IFERROR(E25/C25,0)</f>
        <v>0</v>
      </c>
      <c r="G25" s="29" t="n">
        <f aca="false">C25-E25</f>
        <v>0</v>
      </c>
      <c r="H25" s="29" t="n">
        <f aca="false">E25*INPUTS!$C$29</f>
        <v>0</v>
      </c>
    </row>
    <row r="26" customFormat="false" ht="15" hidden="false" customHeight="false" outlineLevel="0" collapsed="false">
      <c r="A26" s="19" t="s">
        <v>522</v>
      </c>
      <c r="B26" s="19" t="str">
        <f aca="false">"P - "&amp;INPUTS!$B$40&amp;" Finishing"</f>
        <v>P - U/G Finishing</v>
      </c>
      <c r="C26" s="29" t="n">
        <f aca="false">BUDGET!$J$19*INPUTS!$E$40*$J$9</f>
        <v>0</v>
      </c>
      <c r="D26" s="21" t="n">
        <f aca="false">IFERROR(C26/$C$4,0)</f>
        <v>0</v>
      </c>
      <c r="E26" s="47"/>
      <c r="F26" s="21" t="n">
        <f aca="false">IFERROR(E26/C26,0)</f>
        <v>0</v>
      </c>
      <c r="G26" s="29" t="n">
        <f aca="false">C26-E26</f>
        <v>0</v>
      </c>
      <c r="H26" s="29" t="n">
        <f aca="false">E26*INPUTS!$C$29</f>
        <v>0</v>
      </c>
    </row>
    <row r="27" customFormat="false" ht="15" hidden="false" customHeight="false" outlineLevel="0" collapsed="false">
      <c r="A27" s="19" t="s">
        <v>523</v>
      </c>
      <c r="B27" s="19" t="str">
        <f aca="false">"P - "&amp;INPUTS!$B$41&amp;" Finishing"</f>
        <v>P - P-02 Finishing</v>
      </c>
      <c r="C27" s="29" t="n">
        <f aca="false">BUDGET!$J$19*INPUTS!$E$41*$J$9</f>
        <v>0</v>
      </c>
      <c r="D27" s="21" t="n">
        <f aca="false">IFERROR(C27/$C$4,0)</f>
        <v>0</v>
      </c>
      <c r="E27" s="47"/>
      <c r="F27" s="21" t="n">
        <f aca="false">IFERROR(E27/C27,0)</f>
        <v>0</v>
      </c>
      <c r="G27" s="29" t="n">
        <f aca="false">C27-E27</f>
        <v>0</v>
      </c>
      <c r="H27" s="29" t="n">
        <f aca="false">E27*INPUTS!$C$29</f>
        <v>0</v>
      </c>
    </row>
    <row r="28" customFormat="false" ht="15" hidden="false" customHeight="false" outlineLevel="0" collapsed="false">
      <c r="A28" s="19" t="s">
        <v>524</v>
      </c>
      <c r="B28" s="19" t="str">
        <f aca="false">"P - "&amp;INPUTS!$B$42&amp;" Finishing"</f>
        <v>P - PRKG Finishing</v>
      </c>
      <c r="C28" s="29" t="n">
        <f aca="false">BUDGET!$J$19*INPUTS!$E$42*$J$9</f>
        <v>0</v>
      </c>
      <c r="D28" s="21" t="n">
        <f aca="false">IFERROR(C28/$C$4,0)</f>
        <v>0</v>
      </c>
      <c r="E28" s="47"/>
      <c r="F28" s="21" t="n">
        <f aca="false">IFERROR(E28/C28,0)</f>
        <v>0</v>
      </c>
      <c r="G28" s="29" t="n">
        <f aca="false">C28-E28</f>
        <v>0</v>
      </c>
      <c r="H28" s="29" t="n">
        <f aca="false">E28*INPUTS!$C$29</f>
        <v>0</v>
      </c>
    </row>
    <row r="29" customFormat="false" ht="15" hidden="false" customHeight="false" outlineLevel="0" collapsed="false">
      <c r="A29" s="19" t="s">
        <v>525</v>
      </c>
      <c r="B29" s="19" t="str">
        <f aca="false">"P - "&amp;INPUTS!$B$43&amp;" Finishing"</f>
        <v>P - L-01 Finishing</v>
      </c>
      <c r="C29" s="29" t="n">
        <f aca="false">BUDGET!$J$19*INPUTS!$E$43*$J$9</f>
        <v>0</v>
      </c>
      <c r="D29" s="21" t="n">
        <f aca="false">IFERROR(C29/$C$4,0)</f>
        <v>0</v>
      </c>
      <c r="E29" s="47"/>
      <c r="F29" s="21" t="n">
        <f aca="false">IFERROR(E29/C29,0)</f>
        <v>0</v>
      </c>
      <c r="G29" s="29" t="n">
        <f aca="false">C29-E29</f>
        <v>0</v>
      </c>
      <c r="H29" s="29" t="n">
        <f aca="false">E29*INPUTS!$C$29</f>
        <v>0</v>
      </c>
    </row>
    <row r="30" customFormat="false" ht="15" hidden="false" customHeight="false" outlineLevel="0" collapsed="false">
      <c r="A30" s="19" t="s">
        <v>526</v>
      </c>
      <c r="B30" s="19" t="str">
        <f aca="false">"P - "&amp;INPUTS!$B$44&amp;" Finishing"</f>
        <v>P - L-02 Finishing</v>
      </c>
      <c r="C30" s="29" t="n">
        <f aca="false">BUDGET!$J$19*INPUTS!$E$44*$J$9</f>
        <v>0</v>
      </c>
      <c r="D30" s="21" t="n">
        <f aca="false">IFERROR(C30/$C$4,0)</f>
        <v>0</v>
      </c>
      <c r="E30" s="47"/>
      <c r="F30" s="21" t="n">
        <f aca="false">IFERROR(E30/C30,0)</f>
        <v>0</v>
      </c>
      <c r="G30" s="29" t="n">
        <f aca="false">C30-E30</f>
        <v>0</v>
      </c>
      <c r="H30" s="29" t="n">
        <f aca="false">E30*INPUTS!$C$29</f>
        <v>0</v>
      </c>
    </row>
    <row r="31" customFormat="false" ht="15" hidden="false" customHeight="false" outlineLevel="0" collapsed="false">
      <c r="A31" s="19" t="s">
        <v>527</v>
      </c>
      <c r="B31" s="19" t="str">
        <f aca="false">"P - "&amp;INPUTS!$B$45&amp;" Finishing"</f>
        <v>P - L-03 Finishing</v>
      </c>
      <c r="C31" s="29" t="n">
        <f aca="false">BUDGET!$J$19*INPUTS!$E$45*$J$9</f>
        <v>0</v>
      </c>
      <c r="D31" s="21" t="n">
        <f aca="false">IFERROR(C31/$C$4,0)</f>
        <v>0</v>
      </c>
      <c r="E31" s="47"/>
      <c r="F31" s="21" t="n">
        <f aca="false">IFERROR(E31/C31,0)</f>
        <v>0</v>
      </c>
      <c r="G31" s="29" t="n">
        <f aca="false">C31-E31</f>
        <v>0</v>
      </c>
      <c r="H31" s="29" t="n">
        <f aca="false">E31*INPUTS!$C$29</f>
        <v>0</v>
      </c>
    </row>
    <row r="32" customFormat="false" ht="15" hidden="false" customHeight="false" outlineLevel="0" collapsed="false">
      <c r="A32" s="19" t="s">
        <v>528</v>
      </c>
      <c r="B32" s="19" t="str">
        <f aca="false">"P - "&amp;INPUTS!$B$46&amp;" Finishing"</f>
        <v>P - L-04 Finishing</v>
      </c>
      <c r="C32" s="29" t="n">
        <f aca="false">BUDGET!$J$19*INPUTS!$E$46*$J$9</f>
        <v>0</v>
      </c>
      <c r="D32" s="21" t="n">
        <f aca="false">IFERROR(C32/$C$4,0)</f>
        <v>0</v>
      </c>
      <c r="E32" s="47"/>
      <c r="F32" s="21" t="n">
        <f aca="false">IFERROR(E32/C32,0)</f>
        <v>0</v>
      </c>
      <c r="G32" s="29" t="n">
        <f aca="false">C32-E32</f>
        <v>0</v>
      </c>
      <c r="H32" s="29" t="n">
        <f aca="false">E32*INPUTS!$C$29</f>
        <v>0</v>
      </c>
    </row>
    <row r="33" customFormat="false" ht="15" hidden="false" customHeight="false" outlineLevel="0" collapsed="false">
      <c r="A33" s="19" t="s">
        <v>529</v>
      </c>
      <c r="B33" s="19" t="str">
        <f aca="false">"P - "&amp;INPUTS!$B$47&amp;" Finishing"</f>
        <v>P - L-05 Finishing</v>
      </c>
      <c r="C33" s="29" t="n">
        <f aca="false">BUDGET!$J$19*INPUTS!$E$47*$J$9</f>
        <v>0</v>
      </c>
      <c r="D33" s="21" t="n">
        <f aca="false">IFERROR(C33/$C$4,0)</f>
        <v>0</v>
      </c>
      <c r="E33" s="47"/>
      <c r="F33" s="21" t="n">
        <f aca="false">IFERROR(E33/C33,0)</f>
        <v>0</v>
      </c>
      <c r="G33" s="29" t="n">
        <f aca="false">C33-E33</f>
        <v>0</v>
      </c>
      <c r="H33" s="29" t="n">
        <f aca="false">E33*INPUTS!$C$29</f>
        <v>0</v>
      </c>
    </row>
    <row r="34" customFormat="false" ht="15" hidden="false" customHeight="false" outlineLevel="0" collapsed="false">
      <c r="A34" s="19" t="s">
        <v>530</v>
      </c>
      <c r="B34" s="19" t="str">
        <f aca="false">"P - "&amp;INPUTS!$B$48&amp;" Finishing"</f>
        <v>P - L-06 Finishing</v>
      </c>
      <c r="C34" s="29" t="n">
        <f aca="false">BUDGET!$J$19*INPUTS!$E$48*$J$9</f>
        <v>0</v>
      </c>
      <c r="D34" s="21" t="n">
        <f aca="false">IFERROR(C34/$C$4,0)</f>
        <v>0</v>
      </c>
      <c r="E34" s="47"/>
      <c r="F34" s="21" t="n">
        <f aca="false">IFERROR(E34/C34,0)</f>
        <v>0</v>
      </c>
      <c r="G34" s="29" t="n">
        <f aca="false">C34-E34</f>
        <v>0</v>
      </c>
      <c r="H34" s="29" t="n">
        <f aca="false">E34*INPUTS!$C$29</f>
        <v>0</v>
      </c>
    </row>
    <row r="35" customFormat="false" ht="15" hidden="false" customHeight="false" outlineLevel="0" collapsed="false">
      <c r="A35" s="19" t="s">
        <v>531</v>
      </c>
      <c r="B35" s="19" t="str">
        <f aca="false">"P - "&amp;INPUTS!$B$49&amp;" Finishing"</f>
        <v>P - L-07 Finishing</v>
      </c>
      <c r="C35" s="29" t="n">
        <f aca="false">BUDGET!$J$19*INPUTS!$E$49*$J$9</f>
        <v>0</v>
      </c>
      <c r="D35" s="21" t="n">
        <f aca="false">IFERROR(C35/$C$4,0)</f>
        <v>0</v>
      </c>
      <c r="E35" s="47"/>
      <c r="F35" s="21" t="n">
        <f aca="false">IFERROR(E35/C35,0)</f>
        <v>0</v>
      </c>
      <c r="G35" s="29" t="n">
        <f aca="false">C35-E35</f>
        <v>0</v>
      </c>
      <c r="H35" s="29" t="n">
        <f aca="false">E35*INPUTS!$C$29</f>
        <v>0</v>
      </c>
    </row>
    <row r="36" customFormat="false" ht="15" hidden="false" customHeight="false" outlineLevel="0" collapsed="false">
      <c r="A36" s="19" t="s">
        <v>532</v>
      </c>
      <c r="B36" s="19" t="str">
        <f aca="false">"P - "&amp;INPUTS!$B$50&amp;" Finishing"</f>
        <v>P - L-08 Finishing</v>
      </c>
      <c r="C36" s="29" t="n">
        <f aca="false">BUDGET!$J$19*INPUTS!$E$50*$J$9</f>
        <v>0</v>
      </c>
      <c r="D36" s="21" t="n">
        <f aca="false">IFERROR(C36/$C$4,0)</f>
        <v>0</v>
      </c>
      <c r="E36" s="47"/>
      <c r="F36" s="21" t="n">
        <f aca="false">IFERROR(E36/C36,0)</f>
        <v>0</v>
      </c>
      <c r="G36" s="29" t="n">
        <f aca="false">C36-E36</f>
        <v>0</v>
      </c>
      <c r="H36" s="29" t="n">
        <f aca="false">E36*INPUTS!$C$29</f>
        <v>0</v>
      </c>
    </row>
    <row r="37" customFormat="false" ht="15" hidden="false" customHeight="false" outlineLevel="0" collapsed="false">
      <c r="A37" s="19" t="s">
        <v>533</v>
      </c>
      <c r="B37" s="19" t="str">
        <f aca="false">"P - "&amp;INPUTS!$B$51&amp;" Finishing"</f>
        <v>P - L-09 Finishing</v>
      </c>
      <c r="C37" s="29" t="n">
        <f aca="false">BUDGET!$J$19*INPUTS!$E$51*$J$9</f>
        <v>0</v>
      </c>
      <c r="D37" s="21" t="n">
        <f aca="false">IFERROR(C37/$C$4,0)</f>
        <v>0</v>
      </c>
      <c r="E37" s="47"/>
      <c r="F37" s="21" t="n">
        <f aca="false">IFERROR(E37/C37,0)</f>
        <v>0</v>
      </c>
      <c r="G37" s="29" t="n">
        <f aca="false">C37-E37</f>
        <v>0</v>
      </c>
      <c r="H37" s="29" t="n">
        <f aca="false">E37*INPUTS!$C$29</f>
        <v>0</v>
      </c>
    </row>
    <row r="38" customFormat="false" ht="15" hidden="false" customHeight="false" outlineLevel="0" collapsed="false">
      <c r="A38" s="19" t="s">
        <v>534</v>
      </c>
      <c r="B38" s="19" t="str">
        <f aca="false">"P - "&amp;INPUTS!$B$52&amp;" Finishing"</f>
        <v>P - L-10 Finishing</v>
      </c>
      <c r="C38" s="29" t="n">
        <f aca="false">BUDGET!$J$19*INPUTS!$E$52*$J$9</f>
        <v>0</v>
      </c>
      <c r="D38" s="21" t="n">
        <f aca="false">IFERROR(C38/$C$4,0)</f>
        <v>0</v>
      </c>
      <c r="E38" s="47"/>
      <c r="F38" s="21" t="n">
        <f aca="false">IFERROR(E38/C38,0)</f>
        <v>0</v>
      </c>
      <c r="G38" s="29" t="n">
        <f aca="false">C38-E38</f>
        <v>0</v>
      </c>
      <c r="H38" s="29" t="n">
        <f aca="false">E38*INPUTS!$C$29</f>
        <v>0</v>
      </c>
    </row>
    <row r="39" customFormat="false" ht="15" hidden="false" customHeight="false" outlineLevel="0" collapsed="false">
      <c r="A39" s="19" t="s">
        <v>535</v>
      </c>
      <c r="B39" s="19" t="str">
        <f aca="false">"P - "&amp;INPUTS!$B$53&amp;" Finishing"</f>
        <v>P - ROOF Finishing</v>
      </c>
      <c r="C39" s="29" t="n">
        <f aca="false">BUDGET!$J$19*INPUTS!$E$53*$J$9</f>
        <v>0</v>
      </c>
      <c r="D39" s="21" t="n">
        <f aca="false">IFERROR(C39/$C$4,0)</f>
        <v>0</v>
      </c>
      <c r="E39" s="47"/>
      <c r="F39" s="21" t="n">
        <f aca="false">IFERROR(E39/C39,0)</f>
        <v>0</v>
      </c>
      <c r="G39" s="29" t="n">
        <f aca="false">C39-E39</f>
        <v>0</v>
      </c>
      <c r="H39" s="29" t="n">
        <f aca="false">E39*INPUTS!$C$29</f>
        <v>0</v>
      </c>
    </row>
    <row r="40" customFormat="false" ht="15" hidden="false" customHeight="false" outlineLevel="0" collapsed="false">
      <c r="A40" s="19" t="s">
        <v>536</v>
      </c>
      <c r="B40" s="19" t="str">
        <f aca="false">"P - "&amp;MID(INPUTS!$B$62,4,60)</f>
        <v>P - Equipment &amp; Fixtures</v>
      </c>
      <c r="C40" s="29" t="n">
        <f aca="false">BUDGET!$J$20*$J$9</f>
        <v>0</v>
      </c>
      <c r="D40" s="21" t="n">
        <f aca="false">IFERROR(C40/$C$4,0)</f>
        <v>0</v>
      </c>
      <c r="E40" s="47"/>
      <c r="F40" s="21" t="n">
        <f aca="false">IFERROR(E40/C40,0)</f>
        <v>0</v>
      </c>
      <c r="G40" s="29" t="n">
        <f aca="false">C40-E40</f>
        <v>0</v>
      </c>
      <c r="H40" s="29" t="n">
        <f aca="false">E40*INPUTS!$C$29</f>
        <v>0</v>
      </c>
    </row>
    <row r="41" customFormat="false" ht="15" hidden="false" customHeight="false" outlineLevel="0" collapsed="false">
      <c r="A41" s="19" t="s">
        <v>537</v>
      </c>
      <c r="B41" s="19" t="str">
        <f aca="false">"P - "&amp;MID(INPUTS!$B$63,4,60)</f>
        <v>P - Testing, Balancing &amp; Commissioning</v>
      </c>
      <c r="C41" s="29" t="n">
        <f aca="false">BUDGET!$J$21*$J$9</f>
        <v>0</v>
      </c>
      <c r="D41" s="21" t="n">
        <f aca="false">IFERROR(C41/$C$4,0)</f>
        <v>0</v>
      </c>
      <c r="E41" s="47"/>
      <c r="F41" s="21" t="n">
        <f aca="false">IFERROR(E41/C41,0)</f>
        <v>0</v>
      </c>
      <c r="G41" s="29" t="n">
        <f aca="false">C41-E41</f>
        <v>0</v>
      </c>
      <c r="H41" s="29" t="n">
        <f aca="false">E41*INPUTS!$C$29</f>
        <v>0</v>
      </c>
    </row>
    <row r="42" customFormat="false" ht="15" hidden="false" customHeight="false" outlineLevel="0" collapsed="false">
      <c r="A42" s="19" t="s">
        <v>538</v>
      </c>
      <c r="B42" s="19" t="str">
        <f aca="false">"P - "&amp;MID(INPUTS!$B$64,4,60)</f>
        <v>P - Closeout &amp; Warranty</v>
      </c>
      <c r="C42" s="29" t="n">
        <f aca="false">BUDGET!$J$22*$J$9</f>
        <v>0</v>
      </c>
      <c r="D42" s="21" t="n">
        <f aca="false">IFERROR(C42/$C$4,0)</f>
        <v>0</v>
      </c>
      <c r="E42" s="47"/>
      <c r="F42" s="21" t="n">
        <f aca="false">IFERROR(E42/C42,0)</f>
        <v>0</v>
      </c>
      <c r="G42" s="29" t="n">
        <f aca="false">C42-E42</f>
        <v>0</v>
      </c>
      <c r="H42" s="29" t="n">
        <f aca="false">E42*INPUTS!$C$29</f>
        <v>0</v>
      </c>
    </row>
    <row r="43" customFormat="false" ht="15" hidden="false" customHeight="false" outlineLevel="0" collapsed="false">
      <c r="A43" s="19" t="s">
        <v>539</v>
      </c>
      <c r="B43" s="19" t="str">
        <f aca="false">"P - "&amp;MID(INPUTS!$B$65,4,60)</f>
        <v>P - General Conditions</v>
      </c>
      <c r="C43" s="29" t="n">
        <f aca="false">BUDGET!$J$23*$J$9</f>
        <v>212869.518562718</v>
      </c>
      <c r="D43" s="21" t="n">
        <f aca="false">IFERROR(C43/$C$4,0)</f>
        <v>0.435494105079211</v>
      </c>
      <c r="E43" s="47"/>
      <c r="F43" s="21" t="n">
        <f aca="false">IFERROR(E43/C43,0)</f>
        <v>0</v>
      </c>
      <c r="G43" s="29" t="n">
        <f aca="false">C43-E43</f>
        <v>212869.518562718</v>
      </c>
      <c r="H43" s="29" t="n">
        <f aca="false">E43*INPUTS!$C$29</f>
        <v>0</v>
      </c>
    </row>
    <row r="45" customFormat="false" ht="15" hidden="false" customHeight="false" outlineLevel="0" collapsed="false">
      <c r="A45" s="77" t="s">
        <v>98</v>
      </c>
      <c r="B45" s="77" t="s">
        <v>540</v>
      </c>
      <c r="C45" s="78" t="n">
        <f aca="false">SUM(C46:C79)</f>
        <v>0</v>
      </c>
      <c r="D45" s="79" t="n">
        <f aca="false">IFERROR(C45/$C$4,0)</f>
        <v>0</v>
      </c>
      <c r="E45" s="78" t="n">
        <f aca="false">SUM(E46:E79)</f>
        <v>0</v>
      </c>
      <c r="G45" s="78" t="n">
        <f aca="false">SUM(G46:G79)</f>
        <v>0</v>
      </c>
      <c r="H45" s="78" t="n">
        <f aca="false">SUM(H46:H79)</f>
        <v>0</v>
      </c>
      <c r="J45" s="80" t="n">
        <f aca="false">IFERROR('BID SUMMARY'!N7/(BUDGET!$J$33+BUDGET!$J$34+BUDGET!$J$35+BUDGET!$J$36+BUDGET!$J$37+BUDGET!$J$38+BUDGET!$J$39+BUDGET!$J$40),0)</f>
        <v>0</v>
      </c>
    </row>
    <row r="46" customFormat="false" ht="15" hidden="false" customHeight="false" outlineLevel="0" collapsed="false">
      <c r="A46" s="19" t="s">
        <v>541</v>
      </c>
      <c r="B46" s="19" t="str">
        <f aca="false">"H - "&amp;MID(INPUTS!$B$58,4,60)</f>
        <v>H - Mobilization &amp; Submittals</v>
      </c>
      <c r="C46" s="29" t="n">
        <f aca="false">BUDGET!$J$33*$J$45</f>
        <v>0</v>
      </c>
      <c r="D46" s="21" t="n">
        <f aca="false">IFERROR(C46/$C$4,0)</f>
        <v>0</v>
      </c>
      <c r="E46" s="47"/>
      <c r="F46" s="21" t="n">
        <f aca="false">IFERROR(E46/C46,0)</f>
        <v>0</v>
      </c>
      <c r="G46" s="29" t="n">
        <f aca="false">C46-E46</f>
        <v>0</v>
      </c>
      <c r="H46" s="29" t="n">
        <f aca="false">E46*INPUTS!$C$29</f>
        <v>0</v>
      </c>
    </row>
    <row r="47" customFormat="false" ht="15" hidden="false" customHeight="false" outlineLevel="0" collapsed="false">
      <c r="A47" s="19" t="s">
        <v>542</v>
      </c>
      <c r="B47" s="19" t="str">
        <f aca="false">"H - "&amp;MID(INPUTS!$B$59,4,60)</f>
        <v>H - Underground</v>
      </c>
      <c r="C47" s="29" t="n">
        <f aca="false">BUDGET!$J$34*$J$45</f>
        <v>0</v>
      </c>
      <c r="D47" s="21" t="n">
        <f aca="false">IFERROR(C47/$C$4,0)</f>
        <v>0</v>
      </c>
      <c r="E47" s="47"/>
      <c r="F47" s="21" t="n">
        <f aca="false">IFERROR(E47/C47,0)</f>
        <v>0</v>
      </c>
      <c r="G47" s="29" t="n">
        <f aca="false">C47-E47</f>
        <v>0</v>
      </c>
      <c r="H47" s="29" t="n">
        <f aca="false">E47*INPUTS!$C$29</f>
        <v>0</v>
      </c>
    </row>
    <row r="48" customFormat="false" ht="15" hidden="false" customHeight="false" outlineLevel="0" collapsed="false">
      <c r="A48" s="19" t="s">
        <v>543</v>
      </c>
      <c r="B48" s="19" t="str">
        <f aca="false">"H - "&amp;INPUTS!$B$40&amp;" Rough-in"</f>
        <v>H - U/G Rough-in</v>
      </c>
      <c r="C48" s="29" t="n">
        <f aca="false">BUDGET!$J$35*INPUTS!$E$40*$J$45</f>
        <v>0</v>
      </c>
      <c r="D48" s="21" t="n">
        <f aca="false">IFERROR(C48/$C$4,0)</f>
        <v>0</v>
      </c>
      <c r="E48" s="47"/>
      <c r="F48" s="21" t="n">
        <f aca="false">IFERROR(E48/C48,0)</f>
        <v>0</v>
      </c>
      <c r="G48" s="29" t="n">
        <f aca="false">C48-E48</f>
        <v>0</v>
      </c>
      <c r="H48" s="29" t="n">
        <f aca="false">E48*INPUTS!$C$29</f>
        <v>0</v>
      </c>
    </row>
    <row r="49" customFormat="false" ht="15" hidden="false" customHeight="false" outlineLevel="0" collapsed="false">
      <c r="A49" s="19" t="s">
        <v>544</v>
      </c>
      <c r="B49" s="19" t="str">
        <f aca="false">"H - "&amp;INPUTS!$B$41&amp;" Rough-in"</f>
        <v>H - P-02 Rough-in</v>
      </c>
      <c r="C49" s="29" t="n">
        <f aca="false">BUDGET!$J$35*INPUTS!$E$41*$J$45</f>
        <v>0</v>
      </c>
      <c r="D49" s="21" t="n">
        <f aca="false">IFERROR(C49/$C$4,0)</f>
        <v>0</v>
      </c>
      <c r="E49" s="47"/>
      <c r="F49" s="21" t="n">
        <f aca="false">IFERROR(E49/C49,0)</f>
        <v>0</v>
      </c>
      <c r="G49" s="29" t="n">
        <f aca="false">C49-E49</f>
        <v>0</v>
      </c>
      <c r="H49" s="29" t="n">
        <f aca="false">E49*INPUTS!$C$29</f>
        <v>0</v>
      </c>
    </row>
    <row r="50" customFormat="false" ht="15" hidden="false" customHeight="false" outlineLevel="0" collapsed="false">
      <c r="A50" s="19" t="s">
        <v>545</v>
      </c>
      <c r="B50" s="19" t="str">
        <f aca="false">"H - "&amp;INPUTS!$B$42&amp;" Rough-in"</f>
        <v>H - PRKG Rough-in</v>
      </c>
      <c r="C50" s="29" t="n">
        <f aca="false">BUDGET!$J$35*INPUTS!$E$42*$J$45</f>
        <v>0</v>
      </c>
      <c r="D50" s="21" t="n">
        <f aca="false">IFERROR(C50/$C$4,0)</f>
        <v>0</v>
      </c>
      <c r="E50" s="47"/>
      <c r="F50" s="21" t="n">
        <f aca="false">IFERROR(E50/C50,0)</f>
        <v>0</v>
      </c>
      <c r="G50" s="29" t="n">
        <f aca="false">C50-E50</f>
        <v>0</v>
      </c>
      <c r="H50" s="29" t="n">
        <f aca="false">E50*INPUTS!$C$29</f>
        <v>0</v>
      </c>
    </row>
    <row r="51" customFormat="false" ht="15" hidden="false" customHeight="false" outlineLevel="0" collapsed="false">
      <c r="A51" s="19" t="s">
        <v>546</v>
      </c>
      <c r="B51" s="19" t="str">
        <f aca="false">"H - "&amp;INPUTS!$B$43&amp;" Rough-in"</f>
        <v>H - L-01 Rough-in</v>
      </c>
      <c r="C51" s="29" t="n">
        <f aca="false">BUDGET!$J$35*INPUTS!$E$43*$J$45</f>
        <v>0</v>
      </c>
      <c r="D51" s="21" t="n">
        <f aca="false">IFERROR(C51/$C$4,0)</f>
        <v>0</v>
      </c>
      <c r="E51" s="47"/>
      <c r="F51" s="21" t="n">
        <f aca="false">IFERROR(E51/C51,0)</f>
        <v>0</v>
      </c>
      <c r="G51" s="29" t="n">
        <f aca="false">C51-E51</f>
        <v>0</v>
      </c>
      <c r="H51" s="29" t="n">
        <f aca="false">E51*INPUTS!$C$29</f>
        <v>0</v>
      </c>
    </row>
    <row r="52" customFormat="false" ht="15" hidden="false" customHeight="false" outlineLevel="0" collapsed="false">
      <c r="A52" s="19" t="s">
        <v>547</v>
      </c>
      <c r="B52" s="19" t="str">
        <f aca="false">"H - "&amp;INPUTS!$B$44&amp;" Rough-in"</f>
        <v>H - L-02 Rough-in</v>
      </c>
      <c r="C52" s="29" t="n">
        <f aca="false">BUDGET!$J$35*INPUTS!$E$44*$J$45</f>
        <v>0</v>
      </c>
      <c r="D52" s="21" t="n">
        <f aca="false">IFERROR(C52/$C$4,0)</f>
        <v>0</v>
      </c>
      <c r="E52" s="47"/>
      <c r="F52" s="21" t="n">
        <f aca="false">IFERROR(E52/C52,0)</f>
        <v>0</v>
      </c>
      <c r="G52" s="29" t="n">
        <f aca="false">C52-E52</f>
        <v>0</v>
      </c>
      <c r="H52" s="29" t="n">
        <f aca="false">E52*INPUTS!$C$29</f>
        <v>0</v>
      </c>
    </row>
    <row r="53" customFormat="false" ht="15" hidden="false" customHeight="false" outlineLevel="0" collapsed="false">
      <c r="A53" s="19" t="s">
        <v>548</v>
      </c>
      <c r="B53" s="19" t="str">
        <f aca="false">"H - "&amp;INPUTS!$B$45&amp;" Rough-in"</f>
        <v>H - L-03 Rough-in</v>
      </c>
      <c r="C53" s="29" t="n">
        <f aca="false">BUDGET!$J$35*INPUTS!$E$45*$J$45</f>
        <v>0</v>
      </c>
      <c r="D53" s="21" t="n">
        <f aca="false">IFERROR(C53/$C$4,0)</f>
        <v>0</v>
      </c>
      <c r="E53" s="47"/>
      <c r="F53" s="21" t="n">
        <f aca="false">IFERROR(E53/C53,0)</f>
        <v>0</v>
      </c>
      <c r="G53" s="29" t="n">
        <f aca="false">C53-E53</f>
        <v>0</v>
      </c>
      <c r="H53" s="29" t="n">
        <f aca="false">E53*INPUTS!$C$29</f>
        <v>0</v>
      </c>
    </row>
    <row r="54" customFormat="false" ht="15" hidden="false" customHeight="false" outlineLevel="0" collapsed="false">
      <c r="A54" s="19" t="s">
        <v>549</v>
      </c>
      <c r="B54" s="19" t="str">
        <f aca="false">"H - "&amp;INPUTS!$B$46&amp;" Rough-in"</f>
        <v>H - L-04 Rough-in</v>
      </c>
      <c r="C54" s="29" t="n">
        <f aca="false">BUDGET!$J$35*INPUTS!$E$46*$J$45</f>
        <v>0</v>
      </c>
      <c r="D54" s="21" t="n">
        <f aca="false">IFERROR(C54/$C$4,0)</f>
        <v>0</v>
      </c>
      <c r="E54" s="47"/>
      <c r="F54" s="21" t="n">
        <f aca="false">IFERROR(E54/C54,0)</f>
        <v>0</v>
      </c>
      <c r="G54" s="29" t="n">
        <f aca="false">C54-E54</f>
        <v>0</v>
      </c>
      <c r="H54" s="29" t="n">
        <f aca="false">E54*INPUTS!$C$29</f>
        <v>0</v>
      </c>
    </row>
    <row r="55" customFormat="false" ht="15" hidden="false" customHeight="false" outlineLevel="0" collapsed="false">
      <c r="A55" s="19" t="s">
        <v>550</v>
      </c>
      <c r="B55" s="19" t="str">
        <f aca="false">"H - "&amp;INPUTS!$B$47&amp;" Rough-in"</f>
        <v>H - L-05 Rough-in</v>
      </c>
      <c r="C55" s="29" t="n">
        <f aca="false">BUDGET!$J$35*INPUTS!$E$47*$J$45</f>
        <v>0</v>
      </c>
      <c r="D55" s="21" t="n">
        <f aca="false">IFERROR(C55/$C$4,0)</f>
        <v>0</v>
      </c>
      <c r="E55" s="47"/>
      <c r="F55" s="21" t="n">
        <f aca="false">IFERROR(E55/C55,0)</f>
        <v>0</v>
      </c>
      <c r="G55" s="29" t="n">
        <f aca="false">C55-E55</f>
        <v>0</v>
      </c>
      <c r="H55" s="29" t="n">
        <f aca="false">E55*INPUTS!$C$29</f>
        <v>0</v>
      </c>
    </row>
    <row r="56" customFormat="false" ht="15" hidden="false" customHeight="false" outlineLevel="0" collapsed="false">
      <c r="A56" s="19" t="s">
        <v>551</v>
      </c>
      <c r="B56" s="19" t="str">
        <f aca="false">"H - "&amp;INPUTS!$B$48&amp;" Rough-in"</f>
        <v>H - L-06 Rough-in</v>
      </c>
      <c r="C56" s="29" t="n">
        <f aca="false">BUDGET!$J$35*INPUTS!$E$48*$J$45</f>
        <v>0</v>
      </c>
      <c r="D56" s="21" t="n">
        <f aca="false">IFERROR(C56/$C$4,0)</f>
        <v>0</v>
      </c>
      <c r="E56" s="47"/>
      <c r="F56" s="21" t="n">
        <f aca="false">IFERROR(E56/C56,0)</f>
        <v>0</v>
      </c>
      <c r="G56" s="29" t="n">
        <f aca="false">C56-E56</f>
        <v>0</v>
      </c>
      <c r="H56" s="29" t="n">
        <f aca="false">E56*INPUTS!$C$29</f>
        <v>0</v>
      </c>
    </row>
    <row r="57" customFormat="false" ht="15" hidden="false" customHeight="false" outlineLevel="0" collapsed="false">
      <c r="A57" s="19" t="s">
        <v>552</v>
      </c>
      <c r="B57" s="19" t="str">
        <f aca="false">"H - "&amp;INPUTS!$B$49&amp;" Rough-in"</f>
        <v>H - L-07 Rough-in</v>
      </c>
      <c r="C57" s="29" t="n">
        <f aca="false">BUDGET!$J$35*INPUTS!$E$49*$J$45</f>
        <v>0</v>
      </c>
      <c r="D57" s="21" t="n">
        <f aca="false">IFERROR(C57/$C$4,0)</f>
        <v>0</v>
      </c>
      <c r="E57" s="47"/>
      <c r="F57" s="21" t="n">
        <f aca="false">IFERROR(E57/C57,0)</f>
        <v>0</v>
      </c>
      <c r="G57" s="29" t="n">
        <f aca="false">C57-E57</f>
        <v>0</v>
      </c>
      <c r="H57" s="29" t="n">
        <f aca="false">E57*INPUTS!$C$29</f>
        <v>0</v>
      </c>
    </row>
    <row r="58" customFormat="false" ht="15" hidden="false" customHeight="false" outlineLevel="0" collapsed="false">
      <c r="A58" s="19" t="s">
        <v>553</v>
      </c>
      <c r="B58" s="19" t="str">
        <f aca="false">"H - "&amp;INPUTS!$B$50&amp;" Rough-in"</f>
        <v>H - L-08 Rough-in</v>
      </c>
      <c r="C58" s="29" t="n">
        <f aca="false">BUDGET!$J$35*INPUTS!$E$50*$J$45</f>
        <v>0</v>
      </c>
      <c r="D58" s="21" t="n">
        <f aca="false">IFERROR(C58/$C$4,0)</f>
        <v>0</v>
      </c>
      <c r="E58" s="47"/>
      <c r="F58" s="21" t="n">
        <f aca="false">IFERROR(E58/C58,0)</f>
        <v>0</v>
      </c>
      <c r="G58" s="29" t="n">
        <f aca="false">C58-E58</f>
        <v>0</v>
      </c>
      <c r="H58" s="29" t="n">
        <f aca="false">E58*INPUTS!$C$29</f>
        <v>0</v>
      </c>
    </row>
    <row r="59" customFormat="false" ht="15" hidden="false" customHeight="false" outlineLevel="0" collapsed="false">
      <c r="A59" s="19" t="s">
        <v>554</v>
      </c>
      <c r="B59" s="19" t="str">
        <f aca="false">"H - "&amp;INPUTS!$B$51&amp;" Rough-in"</f>
        <v>H - L-09 Rough-in</v>
      </c>
      <c r="C59" s="29" t="n">
        <f aca="false">BUDGET!$J$35*INPUTS!$E$51*$J$45</f>
        <v>0</v>
      </c>
      <c r="D59" s="21" t="n">
        <f aca="false">IFERROR(C59/$C$4,0)</f>
        <v>0</v>
      </c>
      <c r="E59" s="47"/>
      <c r="F59" s="21" t="n">
        <f aca="false">IFERROR(E59/C59,0)</f>
        <v>0</v>
      </c>
      <c r="G59" s="29" t="n">
        <f aca="false">C59-E59</f>
        <v>0</v>
      </c>
      <c r="H59" s="29" t="n">
        <f aca="false">E59*INPUTS!$C$29</f>
        <v>0</v>
      </c>
    </row>
    <row r="60" customFormat="false" ht="15" hidden="false" customHeight="false" outlineLevel="0" collapsed="false">
      <c r="A60" s="19" t="s">
        <v>555</v>
      </c>
      <c r="B60" s="19" t="str">
        <f aca="false">"H - "&amp;INPUTS!$B$52&amp;" Rough-in"</f>
        <v>H - L-10 Rough-in</v>
      </c>
      <c r="C60" s="29" t="n">
        <f aca="false">BUDGET!$J$35*INPUTS!$E$52*$J$45</f>
        <v>0</v>
      </c>
      <c r="D60" s="21" t="n">
        <f aca="false">IFERROR(C60/$C$4,0)</f>
        <v>0</v>
      </c>
      <c r="E60" s="47"/>
      <c r="F60" s="21" t="n">
        <f aca="false">IFERROR(E60/C60,0)</f>
        <v>0</v>
      </c>
      <c r="G60" s="29" t="n">
        <f aca="false">C60-E60</f>
        <v>0</v>
      </c>
      <c r="H60" s="29" t="n">
        <f aca="false">E60*INPUTS!$C$29</f>
        <v>0</v>
      </c>
    </row>
    <row r="61" customFormat="false" ht="15" hidden="false" customHeight="false" outlineLevel="0" collapsed="false">
      <c r="A61" s="19" t="s">
        <v>556</v>
      </c>
      <c r="B61" s="19" t="str">
        <f aca="false">"H - "&amp;INPUTS!$B$53&amp;" Rough-in"</f>
        <v>H - ROOF Rough-in</v>
      </c>
      <c r="C61" s="29" t="n">
        <f aca="false">BUDGET!$J$35*INPUTS!$E$53*$J$45</f>
        <v>0</v>
      </c>
      <c r="D61" s="21" t="n">
        <f aca="false">IFERROR(C61/$C$4,0)</f>
        <v>0</v>
      </c>
      <c r="E61" s="47"/>
      <c r="F61" s="21" t="n">
        <f aca="false">IFERROR(E61/C61,0)</f>
        <v>0</v>
      </c>
      <c r="G61" s="29" t="n">
        <f aca="false">C61-E61</f>
        <v>0</v>
      </c>
      <c r="H61" s="29" t="n">
        <f aca="false">E61*INPUTS!$C$29</f>
        <v>0</v>
      </c>
    </row>
    <row r="62" customFormat="false" ht="15" hidden="false" customHeight="false" outlineLevel="0" collapsed="false">
      <c r="A62" s="19" t="s">
        <v>557</v>
      </c>
      <c r="B62" s="19" t="str">
        <f aca="false">"H - "&amp;INPUTS!$B$40&amp;" Finishing"</f>
        <v>H - U/G Finishing</v>
      </c>
      <c r="C62" s="29" t="n">
        <f aca="false">BUDGET!$J$36*INPUTS!$E$40*$J$45</f>
        <v>0</v>
      </c>
      <c r="D62" s="21" t="n">
        <f aca="false">IFERROR(C62/$C$4,0)</f>
        <v>0</v>
      </c>
      <c r="E62" s="47"/>
      <c r="F62" s="21" t="n">
        <f aca="false">IFERROR(E62/C62,0)</f>
        <v>0</v>
      </c>
      <c r="G62" s="29" t="n">
        <f aca="false">C62-E62</f>
        <v>0</v>
      </c>
      <c r="H62" s="29" t="n">
        <f aca="false">E62*INPUTS!$C$29</f>
        <v>0</v>
      </c>
    </row>
    <row r="63" customFormat="false" ht="15" hidden="false" customHeight="false" outlineLevel="0" collapsed="false">
      <c r="A63" s="19" t="s">
        <v>558</v>
      </c>
      <c r="B63" s="19" t="str">
        <f aca="false">"H - "&amp;INPUTS!$B$41&amp;" Finishing"</f>
        <v>H - P-02 Finishing</v>
      </c>
      <c r="C63" s="29" t="n">
        <f aca="false">BUDGET!$J$36*INPUTS!$E$41*$J$45</f>
        <v>0</v>
      </c>
      <c r="D63" s="21" t="n">
        <f aca="false">IFERROR(C63/$C$4,0)</f>
        <v>0</v>
      </c>
      <c r="E63" s="47"/>
      <c r="F63" s="21" t="n">
        <f aca="false">IFERROR(E63/C63,0)</f>
        <v>0</v>
      </c>
      <c r="G63" s="29" t="n">
        <f aca="false">C63-E63</f>
        <v>0</v>
      </c>
      <c r="H63" s="29" t="n">
        <f aca="false">E63*INPUTS!$C$29</f>
        <v>0</v>
      </c>
    </row>
    <row r="64" customFormat="false" ht="15" hidden="false" customHeight="false" outlineLevel="0" collapsed="false">
      <c r="A64" s="19" t="s">
        <v>559</v>
      </c>
      <c r="B64" s="19" t="str">
        <f aca="false">"H - "&amp;INPUTS!$B$42&amp;" Finishing"</f>
        <v>H - PRKG Finishing</v>
      </c>
      <c r="C64" s="29" t="n">
        <f aca="false">BUDGET!$J$36*INPUTS!$E$42*$J$45</f>
        <v>0</v>
      </c>
      <c r="D64" s="21" t="n">
        <f aca="false">IFERROR(C64/$C$4,0)</f>
        <v>0</v>
      </c>
      <c r="E64" s="47"/>
      <c r="F64" s="21" t="n">
        <f aca="false">IFERROR(E64/C64,0)</f>
        <v>0</v>
      </c>
      <c r="G64" s="29" t="n">
        <f aca="false">C64-E64</f>
        <v>0</v>
      </c>
      <c r="H64" s="29" t="n">
        <f aca="false">E64*INPUTS!$C$29</f>
        <v>0</v>
      </c>
    </row>
    <row r="65" customFormat="false" ht="15" hidden="false" customHeight="false" outlineLevel="0" collapsed="false">
      <c r="A65" s="19" t="s">
        <v>560</v>
      </c>
      <c r="B65" s="19" t="str">
        <f aca="false">"H - "&amp;INPUTS!$B$43&amp;" Finishing"</f>
        <v>H - L-01 Finishing</v>
      </c>
      <c r="C65" s="29" t="n">
        <f aca="false">BUDGET!$J$36*INPUTS!$E$43*$J$45</f>
        <v>0</v>
      </c>
      <c r="D65" s="21" t="n">
        <f aca="false">IFERROR(C65/$C$4,0)</f>
        <v>0</v>
      </c>
      <c r="E65" s="47"/>
      <c r="F65" s="21" t="n">
        <f aca="false">IFERROR(E65/C65,0)</f>
        <v>0</v>
      </c>
      <c r="G65" s="29" t="n">
        <f aca="false">C65-E65</f>
        <v>0</v>
      </c>
      <c r="H65" s="29" t="n">
        <f aca="false">E65*INPUTS!$C$29</f>
        <v>0</v>
      </c>
    </row>
    <row r="66" customFormat="false" ht="15" hidden="false" customHeight="false" outlineLevel="0" collapsed="false">
      <c r="A66" s="19" t="s">
        <v>561</v>
      </c>
      <c r="B66" s="19" t="str">
        <f aca="false">"H - "&amp;INPUTS!$B$44&amp;" Finishing"</f>
        <v>H - L-02 Finishing</v>
      </c>
      <c r="C66" s="29" t="n">
        <f aca="false">BUDGET!$J$36*INPUTS!$E$44*$J$45</f>
        <v>0</v>
      </c>
      <c r="D66" s="21" t="n">
        <f aca="false">IFERROR(C66/$C$4,0)</f>
        <v>0</v>
      </c>
      <c r="E66" s="47"/>
      <c r="F66" s="21" t="n">
        <f aca="false">IFERROR(E66/C66,0)</f>
        <v>0</v>
      </c>
      <c r="G66" s="29" t="n">
        <f aca="false">C66-E66</f>
        <v>0</v>
      </c>
      <c r="H66" s="29" t="n">
        <f aca="false">E66*INPUTS!$C$29</f>
        <v>0</v>
      </c>
    </row>
    <row r="67" customFormat="false" ht="15" hidden="false" customHeight="false" outlineLevel="0" collapsed="false">
      <c r="A67" s="19" t="s">
        <v>562</v>
      </c>
      <c r="B67" s="19" t="str">
        <f aca="false">"H - "&amp;INPUTS!$B$45&amp;" Finishing"</f>
        <v>H - L-03 Finishing</v>
      </c>
      <c r="C67" s="29" t="n">
        <f aca="false">BUDGET!$J$36*INPUTS!$E$45*$J$45</f>
        <v>0</v>
      </c>
      <c r="D67" s="21" t="n">
        <f aca="false">IFERROR(C67/$C$4,0)</f>
        <v>0</v>
      </c>
      <c r="E67" s="47"/>
      <c r="F67" s="21" t="n">
        <f aca="false">IFERROR(E67/C67,0)</f>
        <v>0</v>
      </c>
      <c r="G67" s="29" t="n">
        <f aca="false">C67-E67</f>
        <v>0</v>
      </c>
      <c r="H67" s="29" t="n">
        <f aca="false">E67*INPUTS!$C$29</f>
        <v>0</v>
      </c>
    </row>
    <row r="68" customFormat="false" ht="15" hidden="false" customHeight="false" outlineLevel="0" collapsed="false">
      <c r="A68" s="19" t="s">
        <v>563</v>
      </c>
      <c r="B68" s="19" t="str">
        <f aca="false">"H - "&amp;INPUTS!$B$46&amp;" Finishing"</f>
        <v>H - L-04 Finishing</v>
      </c>
      <c r="C68" s="29" t="n">
        <f aca="false">BUDGET!$J$36*INPUTS!$E$46*$J$45</f>
        <v>0</v>
      </c>
      <c r="D68" s="21" t="n">
        <f aca="false">IFERROR(C68/$C$4,0)</f>
        <v>0</v>
      </c>
      <c r="E68" s="47"/>
      <c r="F68" s="21" t="n">
        <f aca="false">IFERROR(E68/C68,0)</f>
        <v>0</v>
      </c>
      <c r="G68" s="29" t="n">
        <f aca="false">C68-E68</f>
        <v>0</v>
      </c>
      <c r="H68" s="29" t="n">
        <f aca="false">E68*INPUTS!$C$29</f>
        <v>0</v>
      </c>
    </row>
    <row r="69" customFormat="false" ht="15" hidden="false" customHeight="false" outlineLevel="0" collapsed="false">
      <c r="A69" s="19" t="s">
        <v>564</v>
      </c>
      <c r="B69" s="19" t="str">
        <f aca="false">"H - "&amp;INPUTS!$B$47&amp;" Finishing"</f>
        <v>H - L-05 Finishing</v>
      </c>
      <c r="C69" s="29" t="n">
        <f aca="false">BUDGET!$J$36*INPUTS!$E$47*$J$45</f>
        <v>0</v>
      </c>
      <c r="D69" s="21" t="n">
        <f aca="false">IFERROR(C69/$C$4,0)</f>
        <v>0</v>
      </c>
      <c r="E69" s="47"/>
      <c r="F69" s="21" t="n">
        <f aca="false">IFERROR(E69/C69,0)</f>
        <v>0</v>
      </c>
      <c r="G69" s="29" t="n">
        <f aca="false">C69-E69</f>
        <v>0</v>
      </c>
      <c r="H69" s="29" t="n">
        <f aca="false">E69*INPUTS!$C$29</f>
        <v>0</v>
      </c>
    </row>
    <row r="70" customFormat="false" ht="15" hidden="false" customHeight="false" outlineLevel="0" collapsed="false">
      <c r="A70" s="19" t="s">
        <v>565</v>
      </c>
      <c r="B70" s="19" t="str">
        <f aca="false">"H - "&amp;INPUTS!$B$48&amp;" Finishing"</f>
        <v>H - L-06 Finishing</v>
      </c>
      <c r="C70" s="29" t="n">
        <f aca="false">BUDGET!$J$36*INPUTS!$E$48*$J$45</f>
        <v>0</v>
      </c>
      <c r="D70" s="21" t="n">
        <f aca="false">IFERROR(C70/$C$4,0)</f>
        <v>0</v>
      </c>
      <c r="E70" s="47"/>
      <c r="F70" s="21" t="n">
        <f aca="false">IFERROR(E70/C70,0)</f>
        <v>0</v>
      </c>
      <c r="G70" s="29" t="n">
        <f aca="false">C70-E70</f>
        <v>0</v>
      </c>
      <c r="H70" s="29" t="n">
        <f aca="false">E70*INPUTS!$C$29</f>
        <v>0</v>
      </c>
    </row>
    <row r="71" customFormat="false" ht="15" hidden="false" customHeight="false" outlineLevel="0" collapsed="false">
      <c r="A71" s="19" t="s">
        <v>566</v>
      </c>
      <c r="B71" s="19" t="str">
        <f aca="false">"H - "&amp;INPUTS!$B$49&amp;" Finishing"</f>
        <v>H - L-07 Finishing</v>
      </c>
      <c r="C71" s="29" t="n">
        <f aca="false">BUDGET!$J$36*INPUTS!$E$49*$J$45</f>
        <v>0</v>
      </c>
      <c r="D71" s="21" t="n">
        <f aca="false">IFERROR(C71/$C$4,0)</f>
        <v>0</v>
      </c>
      <c r="E71" s="47"/>
      <c r="F71" s="21" t="n">
        <f aca="false">IFERROR(E71/C71,0)</f>
        <v>0</v>
      </c>
      <c r="G71" s="29" t="n">
        <f aca="false">C71-E71</f>
        <v>0</v>
      </c>
      <c r="H71" s="29" t="n">
        <f aca="false">E71*INPUTS!$C$29</f>
        <v>0</v>
      </c>
    </row>
    <row r="72" customFormat="false" ht="15" hidden="false" customHeight="false" outlineLevel="0" collapsed="false">
      <c r="A72" s="19" t="s">
        <v>567</v>
      </c>
      <c r="B72" s="19" t="str">
        <f aca="false">"H - "&amp;INPUTS!$B$50&amp;" Finishing"</f>
        <v>H - L-08 Finishing</v>
      </c>
      <c r="C72" s="29" t="n">
        <f aca="false">BUDGET!$J$36*INPUTS!$E$50*$J$45</f>
        <v>0</v>
      </c>
      <c r="D72" s="21" t="n">
        <f aca="false">IFERROR(C72/$C$4,0)</f>
        <v>0</v>
      </c>
      <c r="E72" s="47"/>
      <c r="F72" s="21" t="n">
        <f aca="false">IFERROR(E72/C72,0)</f>
        <v>0</v>
      </c>
      <c r="G72" s="29" t="n">
        <f aca="false">C72-E72</f>
        <v>0</v>
      </c>
      <c r="H72" s="29" t="n">
        <f aca="false">E72*INPUTS!$C$29</f>
        <v>0</v>
      </c>
    </row>
    <row r="73" customFormat="false" ht="15" hidden="false" customHeight="false" outlineLevel="0" collapsed="false">
      <c r="A73" s="19" t="s">
        <v>568</v>
      </c>
      <c r="B73" s="19" t="str">
        <f aca="false">"H - "&amp;INPUTS!$B$51&amp;" Finishing"</f>
        <v>H - L-09 Finishing</v>
      </c>
      <c r="C73" s="29" t="n">
        <f aca="false">BUDGET!$J$36*INPUTS!$E$51*$J$45</f>
        <v>0</v>
      </c>
      <c r="D73" s="21" t="n">
        <f aca="false">IFERROR(C73/$C$4,0)</f>
        <v>0</v>
      </c>
      <c r="E73" s="47"/>
      <c r="F73" s="21" t="n">
        <f aca="false">IFERROR(E73/C73,0)</f>
        <v>0</v>
      </c>
      <c r="G73" s="29" t="n">
        <f aca="false">C73-E73</f>
        <v>0</v>
      </c>
      <c r="H73" s="29" t="n">
        <f aca="false">E73*INPUTS!$C$29</f>
        <v>0</v>
      </c>
    </row>
    <row r="74" customFormat="false" ht="15" hidden="false" customHeight="false" outlineLevel="0" collapsed="false">
      <c r="A74" s="19" t="s">
        <v>569</v>
      </c>
      <c r="B74" s="19" t="str">
        <f aca="false">"H - "&amp;INPUTS!$B$52&amp;" Finishing"</f>
        <v>H - L-10 Finishing</v>
      </c>
      <c r="C74" s="29" t="n">
        <f aca="false">BUDGET!$J$36*INPUTS!$E$52*$J$45</f>
        <v>0</v>
      </c>
      <c r="D74" s="21" t="n">
        <f aca="false">IFERROR(C74/$C$4,0)</f>
        <v>0</v>
      </c>
      <c r="E74" s="47"/>
      <c r="F74" s="21" t="n">
        <f aca="false">IFERROR(E74/C74,0)</f>
        <v>0</v>
      </c>
      <c r="G74" s="29" t="n">
        <f aca="false">C74-E74</f>
        <v>0</v>
      </c>
      <c r="H74" s="29" t="n">
        <f aca="false">E74*INPUTS!$C$29</f>
        <v>0</v>
      </c>
    </row>
    <row r="75" customFormat="false" ht="15" hidden="false" customHeight="false" outlineLevel="0" collapsed="false">
      <c r="A75" s="19" t="s">
        <v>570</v>
      </c>
      <c r="B75" s="19" t="str">
        <f aca="false">"H - "&amp;INPUTS!$B$53&amp;" Finishing"</f>
        <v>H - ROOF Finishing</v>
      </c>
      <c r="C75" s="29" t="n">
        <f aca="false">BUDGET!$J$36*INPUTS!$E$53*$J$45</f>
        <v>0</v>
      </c>
      <c r="D75" s="21" t="n">
        <f aca="false">IFERROR(C75/$C$4,0)</f>
        <v>0</v>
      </c>
      <c r="E75" s="47"/>
      <c r="F75" s="21" t="n">
        <f aca="false">IFERROR(E75/C75,0)</f>
        <v>0</v>
      </c>
      <c r="G75" s="29" t="n">
        <f aca="false">C75-E75</f>
        <v>0</v>
      </c>
      <c r="H75" s="29" t="n">
        <f aca="false">E75*INPUTS!$C$29</f>
        <v>0</v>
      </c>
    </row>
    <row r="76" customFormat="false" ht="15" hidden="false" customHeight="false" outlineLevel="0" collapsed="false">
      <c r="A76" s="19" t="s">
        <v>571</v>
      </c>
      <c r="B76" s="19" t="str">
        <f aca="false">"H - "&amp;MID(INPUTS!$B$62,4,60)</f>
        <v>H - Equipment &amp; Fixtures</v>
      </c>
      <c r="C76" s="29" t="n">
        <f aca="false">BUDGET!$J$37*$J$45</f>
        <v>0</v>
      </c>
      <c r="D76" s="21" t="n">
        <f aca="false">IFERROR(C76/$C$4,0)</f>
        <v>0</v>
      </c>
      <c r="E76" s="47"/>
      <c r="F76" s="21" t="n">
        <f aca="false">IFERROR(E76/C76,0)</f>
        <v>0</v>
      </c>
      <c r="G76" s="29" t="n">
        <f aca="false">C76-E76</f>
        <v>0</v>
      </c>
      <c r="H76" s="29" t="n">
        <f aca="false">E76*INPUTS!$C$29</f>
        <v>0</v>
      </c>
    </row>
    <row r="77" customFormat="false" ht="15" hidden="false" customHeight="false" outlineLevel="0" collapsed="false">
      <c r="A77" s="19" t="s">
        <v>572</v>
      </c>
      <c r="B77" s="19" t="str">
        <f aca="false">"H - "&amp;MID(INPUTS!$B$63,4,60)</f>
        <v>H - Testing, Balancing &amp; Commissioning</v>
      </c>
      <c r="C77" s="29" t="n">
        <f aca="false">BUDGET!$J$38*$J$45</f>
        <v>0</v>
      </c>
      <c r="D77" s="21" t="n">
        <f aca="false">IFERROR(C77/$C$4,0)</f>
        <v>0</v>
      </c>
      <c r="E77" s="47"/>
      <c r="F77" s="21" t="n">
        <f aca="false">IFERROR(E77/C77,0)</f>
        <v>0</v>
      </c>
      <c r="G77" s="29" t="n">
        <f aca="false">C77-E77</f>
        <v>0</v>
      </c>
      <c r="H77" s="29" t="n">
        <f aca="false">E77*INPUTS!$C$29</f>
        <v>0</v>
      </c>
    </row>
    <row r="78" customFormat="false" ht="15" hidden="false" customHeight="false" outlineLevel="0" collapsed="false">
      <c r="A78" s="19" t="s">
        <v>573</v>
      </c>
      <c r="B78" s="19" t="str">
        <f aca="false">"H - "&amp;MID(INPUTS!$B$64,4,60)</f>
        <v>H - Closeout &amp; Warranty</v>
      </c>
      <c r="C78" s="29" t="n">
        <f aca="false">BUDGET!$J$39*$J$45</f>
        <v>0</v>
      </c>
      <c r="D78" s="21" t="n">
        <f aca="false">IFERROR(C78/$C$4,0)</f>
        <v>0</v>
      </c>
      <c r="E78" s="47"/>
      <c r="F78" s="21" t="n">
        <f aca="false">IFERROR(E78/C78,0)</f>
        <v>0</v>
      </c>
      <c r="G78" s="29" t="n">
        <f aca="false">C78-E78</f>
        <v>0</v>
      </c>
      <c r="H78" s="29" t="n">
        <f aca="false">E78*INPUTS!$C$29</f>
        <v>0</v>
      </c>
    </row>
    <row r="79" customFormat="false" ht="15" hidden="false" customHeight="false" outlineLevel="0" collapsed="false">
      <c r="A79" s="19" t="s">
        <v>574</v>
      </c>
      <c r="B79" s="19" t="str">
        <f aca="false">"H - "&amp;MID(INPUTS!$B$65,4,60)</f>
        <v>H - General Conditions</v>
      </c>
      <c r="C79" s="29" t="n">
        <f aca="false">BUDGET!$J$40*$J$45</f>
        <v>0</v>
      </c>
      <c r="D79" s="21" t="n">
        <f aca="false">IFERROR(C79/$C$4,0)</f>
        <v>0</v>
      </c>
      <c r="E79" s="47"/>
      <c r="F79" s="21" t="n">
        <f aca="false">IFERROR(E79/C79,0)</f>
        <v>0</v>
      </c>
      <c r="G79" s="29" t="n">
        <f aca="false">C79-E79</f>
        <v>0</v>
      </c>
      <c r="H79" s="29" t="n">
        <f aca="false">E79*INPUTS!$C$29</f>
        <v>0</v>
      </c>
    </row>
    <row r="81" customFormat="false" ht="15" hidden="false" customHeight="false" outlineLevel="0" collapsed="false">
      <c r="A81" s="77" t="s">
        <v>100</v>
      </c>
      <c r="B81" s="77" t="s">
        <v>575</v>
      </c>
      <c r="C81" s="78" t="n">
        <f aca="false">SUM(C82:C115)</f>
        <v>0</v>
      </c>
      <c r="D81" s="79" t="n">
        <f aca="false">IFERROR(C81/$C$4,0)</f>
        <v>0</v>
      </c>
      <c r="E81" s="78" t="n">
        <f aca="false">SUM(E82:E115)</f>
        <v>0</v>
      </c>
      <c r="G81" s="78" t="n">
        <f aca="false">SUM(G82:G115)</f>
        <v>0</v>
      </c>
      <c r="H81" s="78" t="n">
        <f aca="false">SUM(H82:H115)</f>
        <v>0</v>
      </c>
      <c r="J81" s="80" t="n">
        <f aca="false">IFERROR('BID SUMMARY'!N8/(BUDGET!$J$50+BUDGET!$J$51+BUDGET!$J$52+BUDGET!$J$53+BUDGET!$J$54+BUDGET!$J$55+BUDGET!$J$56+BUDGET!$J$57),0)</f>
        <v>0</v>
      </c>
    </row>
    <row r="82" customFormat="false" ht="15" hidden="false" customHeight="false" outlineLevel="0" collapsed="false">
      <c r="A82" s="19" t="s">
        <v>576</v>
      </c>
      <c r="B82" s="19" t="str">
        <f aca="false">"V - "&amp;MID(INPUTS!$B$58,4,60)</f>
        <v>V - Mobilization &amp; Submittals</v>
      </c>
      <c r="C82" s="29" t="n">
        <f aca="false">BUDGET!$J$50*$J$81</f>
        <v>0</v>
      </c>
      <c r="D82" s="21" t="n">
        <f aca="false">IFERROR(C82/$C$4,0)</f>
        <v>0</v>
      </c>
      <c r="E82" s="47"/>
      <c r="F82" s="21" t="n">
        <f aca="false">IFERROR(E82/C82,0)</f>
        <v>0</v>
      </c>
      <c r="G82" s="29" t="n">
        <f aca="false">C82-E82</f>
        <v>0</v>
      </c>
      <c r="H82" s="29" t="n">
        <f aca="false">E82*INPUTS!$C$29</f>
        <v>0</v>
      </c>
    </row>
    <row r="83" customFormat="false" ht="15" hidden="false" customHeight="false" outlineLevel="0" collapsed="false">
      <c r="A83" s="19" t="s">
        <v>577</v>
      </c>
      <c r="B83" s="19" t="str">
        <f aca="false">"V - "&amp;MID(INPUTS!$B$59,4,60)</f>
        <v>V - Underground</v>
      </c>
      <c r="C83" s="29" t="n">
        <f aca="false">BUDGET!$J$51*$J$81</f>
        <v>0</v>
      </c>
      <c r="D83" s="21" t="n">
        <f aca="false">IFERROR(C83/$C$4,0)</f>
        <v>0</v>
      </c>
      <c r="E83" s="47"/>
      <c r="F83" s="21" t="n">
        <f aca="false">IFERROR(E83/C83,0)</f>
        <v>0</v>
      </c>
      <c r="G83" s="29" t="n">
        <f aca="false">C83-E83</f>
        <v>0</v>
      </c>
      <c r="H83" s="29" t="n">
        <f aca="false">E83*INPUTS!$C$29</f>
        <v>0</v>
      </c>
    </row>
    <row r="84" customFormat="false" ht="15" hidden="false" customHeight="false" outlineLevel="0" collapsed="false">
      <c r="A84" s="19" t="s">
        <v>578</v>
      </c>
      <c r="B84" s="19" t="str">
        <f aca="false">"V - "&amp;INPUTS!$B$40&amp;" Rough-in"</f>
        <v>V - U/G Rough-in</v>
      </c>
      <c r="C84" s="29" t="n">
        <f aca="false">BUDGET!$J$52*INPUTS!$E$40*$J$81</f>
        <v>0</v>
      </c>
      <c r="D84" s="21" t="n">
        <f aca="false">IFERROR(C84/$C$4,0)</f>
        <v>0</v>
      </c>
      <c r="E84" s="47"/>
      <c r="F84" s="21" t="n">
        <f aca="false">IFERROR(E84/C84,0)</f>
        <v>0</v>
      </c>
      <c r="G84" s="29" t="n">
        <f aca="false">C84-E84</f>
        <v>0</v>
      </c>
      <c r="H84" s="29" t="n">
        <f aca="false">E84*INPUTS!$C$29</f>
        <v>0</v>
      </c>
    </row>
    <row r="85" customFormat="false" ht="15" hidden="false" customHeight="false" outlineLevel="0" collapsed="false">
      <c r="A85" s="19" t="s">
        <v>579</v>
      </c>
      <c r="B85" s="19" t="str">
        <f aca="false">"V - "&amp;INPUTS!$B$41&amp;" Rough-in"</f>
        <v>V - P-02 Rough-in</v>
      </c>
      <c r="C85" s="29" t="n">
        <f aca="false">BUDGET!$J$52*INPUTS!$E$41*$J$81</f>
        <v>0</v>
      </c>
      <c r="D85" s="21" t="n">
        <f aca="false">IFERROR(C85/$C$4,0)</f>
        <v>0</v>
      </c>
      <c r="E85" s="47"/>
      <c r="F85" s="21" t="n">
        <f aca="false">IFERROR(E85/C85,0)</f>
        <v>0</v>
      </c>
      <c r="G85" s="29" t="n">
        <f aca="false">C85-E85</f>
        <v>0</v>
      </c>
      <c r="H85" s="29" t="n">
        <f aca="false">E85*INPUTS!$C$29</f>
        <v>0</v>
      </c>
    </row>
    <row r="86" customFormat="false" ht="15" hidden="false" customHeight="false" outlineLevel="0" collapsed="false">
      <c r="A86" s="19" t="s">
        <v>580</v>
      </c>
      <c r="B86" s="19" t="str">
        <f aca="false">"V - "&amp;INPUTS!$B$42&amp;" Rough-in"</f>
        <v>V - PRKG Rough-in</v>
      </c>
      <c r="C86" s="29" t="n">
        <f aca="false">BUDGET!$J$52*INPUTS!$E$42*$J$81</f>
        <v>0</v>
      </c>
      <c r="D86" s="21" t="n">
        <f aca="false">IFERROR(C86/$C$4,0)</f>
        <v>0</v>
      </c>
      <c r="E86" s="47"/>
      <c r="F86" s="21" t="n">
        <f aca="false">IFERROR(E86/C86,0)</f>
        <v>0</v>
      </c>
      <c r="G86" s="29" t="n">
        <f aca="false">C86-E86</f>
        <v>0</v>
      </c>
      <c r="H86" s="29" t="n">
        <f aca="false">E86*INPUTS!$C$29</f>
        <v>0</v>
      </c>
    </row>
    <row r="87" customFormat="false" ht="15" hidden="false" customHeight="false" outlineLevel="0" collapsed="false">
      <c r="A87" s="19" t="s">
        <v>581</v>
      </c>
      <c r="B87" s="19" t="str">
        <f aca="false">"V - "&amp;INPUTS!$B$43&amp;" Rough-in"</f>
        <v>V - L-01 Rough-in</v>
      </c>
      <c r="C87" s="29" t="n">
        <f aca="false">BUDGET!$J$52*INPUTS!$E$43*$J$81</f>
        <v>0</v>
      </c>
      <c r="D87" s="21" t="n">
        <f aca="false">IFERROR(C87/$C$4,0)</f>
        <v>0</v>
      </c>
      <c r="E87" s="47"/>
      <c r="F87" s="21" t="n">
        <f aca="false">IFERROR(E87/C87,0)</f>
        <v>0</v>
      </c>
      <c r="G87" s="29" t="n">
        <f aca="false">C87-E87</f>
        <v>0</v>
      </c>
      <c r="H87" s="29" t="n">
        <f aca="false">E87*INPUTS!$C$29</f>
        <v>0</v>
      </c>
    </row>
    <row r="88" customFormat="false" ht="15" hidden="false" customHeight="false" outlineLevel="0" collapsed="false">
      <c r="A88" s="19" t="s">
        <v>582</v>
      </c>
      <c r="B88" s="19" t="str">
        <f aca="false">"V - "&amp;INPUTS!$B$44&amp;" Rough-in"</f>
        <v>V - L-02 Rough-in</v>
      </c>
      <c r="C88" s="29" t="n">
        <f aca="false">BUDGET!$J$52*INPUTS!$E$44*$J$81</f>
        <v>0</v>
      </c>
      <c r="D88" s="21" t="n">
        <f aca="false">IFERROR(C88/$C$4,0)</f>
        <v>0</v>
      </c>
      <c r="E88" s="47"/>
      <c r="F88" s="21" t="n">
        <f aca="false">IFERROR(E88/C88,0)</f>
        <v>0</v>
      </c>
      <c r="G88" s="29" t="n">
        <f aca="false">C88-E88</f>
        <v>0</v>
      </c>
      <c r="H88" s="29" t="n">
        <f aca="false">E88*INPUTS!$C$29</f>
        <v>0</v>
      </c>
    </row>
    <row r="89" customFormat="false" ht="15" hidden="false" customHeight="false" outlineLevel="0" collapsed="false">
      <c r="A89" s="19" t="s">
        <v>583</v>
      </c>
      <c r="B89" s="19" t="str">
        <f aca="false">"V - "&amp;INPUTS!$B$45&amp;" Rough-in"</f>
        <v>V - L-03 Rough-in</v>
      </c>
      <c r="C89" s="29" t="n">
        <f aca="false">BUDGET!$J$52*INPUTS!$E$45*$J$81</f>
        <v>0</v>
      </c>
      <c r="D89" s="21" t="n">
        <f aca="false">IFERROR(C89/$C$4,0)</f>
        <v>0</v>
      </c>
      <c r="E89" s="47"/>
      <c r="F89" s="21" t="n">
        <f aca="false">IFERROR(E89/C89,0)</f>
        <v>0</v>
      </c>
      <c r="G89" s="29" t="n">
        <f aca="false">C89-E89</f>
        <v>0</v>
      </c>
      <c r="H89" s="29" t="n">
        <f aca="false">E89*INPUTS!$C$29</f>
        <v>0</v>
      </c>
    </row>
    <row r="90" customFormat="false" ht="15" hidden="false" customHeight="false" outlineLevel="0" collapsed="false">
      <c r="A90" s="19" t="s">
        <v>584</v>
      </c>
      <c r="B90" s="19" t="str">
        <f aca="false">"V - "&amp;INPUTS!$B$46&amp;" Rough-in"</f>
        <v>V - L-04 Rough-in</v>
      </c>
      <c r="C90" s="29" t="n">
        <f aca="false">BUDGET!$J$52*INPUTS!$E$46*$J$81</f>
        <v>0</v>
      </c>
      <c r="D90" s="21" t="n">
        <f aca="false">IFERROR(C90/$C$4,0)</f>
        <v>0</v>
      </c>
      <c r="E90" s="47"/>
      <c r="F90" s="21" t="n">
        <f aca="false">IFERROR(E90/C90,0)</f>
        <v>0</v>
      </c>
      <c r="G90" s="29" t="n">
        <f aca="false">C90-E90</f>
        <v>0</v>
      </c>
      <c r="H90" s="29" t="n">
        <f aca="false">E90*INPUTS!$C$29</f>
        <v>0</v>
      </c>
    </row>
    <row r="91" customFormat="false" ht="15" hidden="false" customHeight="false" outlineLevel="0" collapsed="false">
      <c r="A91" s="19" t="s">
        <v>585</v>
      </c>
      <c r="B91" s="19" t="str">
        <f aca="false">"V - "&amp;INPUTS!$B$47&amp;" Rough-in"</f>
        <v>V - L-05 Rough-in</v>
      </c>
      <c r="C91" s="29" t="n">
        <f aca="false">BUDGET!$J$52*INPUTS!$E$47*$J$81</f>
        <v>0</v>
      </c>
      <c r="D91" s="21" t="n">
        <f aca="false">IFERROR(C91/$C$4,0)</f>
        <v>0</v>
      </c>
      <c r="E91" s="47"/>
      <c r="F91" s="21" t="n">
        <f aca="false">IFERROR(E91/C91,0)</f>
        <v>0</v>
      </c>
      <c r="G91" s="29" t="n">
        <f aca="false">C91-E91</f>
        <v>0</v>
      </c>
      <c r="H91" s="29" t="n">
        <f aca="false">E91*INPUTS!$C$29</f>
        <v>0</v>
      </c>
    </row>
    <row r="92" customFormat="false" ht="15" hidden="false" customHeight="false" outlineLevel="0" collapsed="false">
      <c r="A92" s="19" t="s">
        <v>586</v>
      </c>
      <c r="B92" s="19" t="str">
        <f aca="false">"V - "&amp;INPUTS!$B$48&amp;" Rough-in"</f>
        <v>V - L-06 Rough-in</v>
      </c>
      <c r="C92" s="29" t="n">
        <f aca="false">BUDGET!$J$52*INPUTS!$E$48*$J$81</f>
        <v>0</v>
      </c>
      <c r="D92" s="21" t="n">
        <f aca="false">IFERROR(C92/$C$4,0)</f>
        <v>0</v>
      </c>
      <c r="E92" s="47"/>
      <c r="F92" s="21" t="n">
        <f aca="false">IFERROR(E92/C92,0)</f>
        <v>0</v>
      </c>
      <c r="G92" s="29" t="n">
        <f aca="false">C92-E92</f>
        <v>0</v>
      </c>
      <c r="H92" s="29" t="n">
        <f aca="false">E92*INPUTS!$C$29</f>
        <v>0</v>
      </c>
    </row>
    <row r="93" customFormat="false" ht="15" hidden="false" customHeight="false" outlineLevel="0" collapsed="false">
      <c r="A93" s="19" t="s">
        <v>587</v>
      </c>
      <c r="B93" s="19" t="str">
        <f aca="false">"V - "&amp;INPUTS!$B$49&amp;" Rough-in"</f>
        <v>V - L-07 Rough-in</v>
      </c>
      <c r="C93" s="29" t="n">
        <f aca="false">BUDGET!$J$52*INPUTS!$E$49*$J$81</f>
        <v>0</v>
      </c>
      <c r="D93" s="21" t="n">
        <f aca="false">IFERROR(C93/$C$4,0)</f>
        <v>0</v>
      </c>
      <c r="E93" s="47"/>
      <c r="F93" s="21" t="n">
        <f aca="false">IFERROR(E93/C93,0)</f>
        <v>0</v>
      </c>
      <c r="G93" s="29" t="n">
        <f aca="false">C93-E93</f>
        <v>0</v>
      </c>
      <c r="H93" s="29" t="n">
        <f aca="false">E93*INPUTS!$C$29</f>
        <v>0</v>
      </c>
    </row>
    <row r="94" customFormat="false" ht="15" hidden="false" customHeight="false" outlineLevel="0" collapsed="false">
      <c r="A94" s="19" t="s">
        <v>588</v>
      </c>
      <c r="B94" s="19" t="str">
        <f aca="false">"V - "&amp;INPUTS!$B$50&amp;" Rough-in"</f>
        <v>V - L-08 Rough-in</v>
      </c>
      <c r="C94" s="29" t="n">
        <f aca="false">BUDGET!$J$52*INPUTS!$E$50*$J$81</f>
        <v>0</v>
      </c>
      <c r="D94" s="21" t="n">
        <f aca="false">IFERROR(C94/$C$4,0)</f>
        <v>0</v>
      </c>
      <c r="E94" s="47"/>
      <c r="F94" s="21" t="n">
        <f aca="false">IFERROR(E94/C94,0)</f>
        <v>0</v>
      </c>
      <c r="G94" s="29" t="n">
        <f aca="false">C94-E94</f>
        <v>0</v>
      </c>
      <c r="H94" s="29" t="n">
        <f aca="false">E94*INPUTS!$C$29</f>
        <v>0</v>
      </c>
    </row>
    <row r="95" customFormat="false" ht="15" hidden="false" customHeight="false" outlineLevel="0" collapsed="false">
      <c r="A95" s="19" t="s">
        <v>589</v>
      </c>
      <c r="B95" s="19" t="str">
        <f aca="false">"V - "&amp;INPUTS!$B$51&amp;" Rough-in"</f>
        <v>V - L-09 Rough-in</v>
      </c>
      <c r="C95" s="29" t="n">
        <f aca="false">BUDGET!$J$52*INPUTS!$E$51*$J$81</f>
        <v>0</v>
      </c>
      <c r="D95" s="21" t="n">
        <f aca="false">IFERROR(C95/$C$4,0)</f>
        <v>0</v>
      </c>
      <c r="E95" s="47"/>
      <c r="F95" s="21" t="n">
        <f aca="false">IFERROR(E95/C95,0)</f>
        <v>0</v>
      </c>
      <c r="G95" s="29" t="n">
        <f aca="false">C95-E95</f>
        <v>0</v>
      </c>
      <c r="H95" s="29" t="n">
        <f aca="false">E95*INPUTS!$C$29</f>
        <v>0</v>
      </c>
    </row>
    <row r="96" customFormat="false" ht="15" hidden="false" customHeight="false" outlineLevel="0" collapsed="false">
      <c r="A96" s="19" t="s">
        <v>590</v>
      </c>
      <c r="B96" s="19" t="str">
        <f aca="false">"V - "&amp;INPUTS!$B$52&amp;" Rough-in"</f>
        <v>V - L-10 Rough-in</v>
      </c>
      <c r="C96" s="29" t="n">
        <f aca="false">BUDGET!$J$52*INPUTS!$E$52*$J$81</f>
        <v>0</v>
      </c>
      <c r="D96" s="21" t="n">
        <f aca="false">IFERROR(C96/$C$4,0)</f>
        <v>0</v>
      </c>
      <c r="E96" s="47"/>
      <c r="F96" s="21" t="n">
        <f aca="false">IFERROR(E96/C96,0)</f>
        <v>0</v>
      </c>
      <c r="G96" s="29" t="n">
        <f aca="false">C96-E96</f>
        <v>0</v>
      </c>
      <c r="H96" s="29" t="n">
        <f aca="false">E96*INPUTS!$C$29</f>
        <v>0</v>
      </c>
    </row>
    <row r="97" customFormat="false" ht="15" hidden="false" customHeight="false" outlineLevel="0" collapsed="false">
      <c r="A97" s="19" t="s">
        <v>591</v>
      </c>
      <c r="B97" s="19" t="str">
        <f aca="false">"V - "&amp;INPUTS!$B$53&amp;" Rough-in"</f>
        <v>V - ROOF Rough-in</v>
      </c>
      <c r="C97" s="29" t="n">
        <f aca="false">BUDGET!$J$52*INPUTS!$E$53*$J$81</f>
        <v>0</v>
      </c>
      <c r="D97" s="21" t="n">
        <f aca="false">IFERROR(C97/$C$4,0)</f>
        <v>0</v>
      </c>
      <c r="E97" s="47"/>
      <c r="F97" s="21" t="n">
        <f aca="false">IFERROR(E97/C97,0)</f>
        <v>0</v>
      </c>
      <c r="G97" s="29" t="n">
        <f aca="false">C97-E97</f>
        <v>0</v>
      </c>
      <c r="H97" s="29" t="n">
        <f aca="false">E97*INPUTS!$C$29</f>
        <v>0</v>
      </c>
    </row>
    <row r="98" customFormat="false" ht="15" hidden="false" customHeight="false" outlineLevel="0" collapsed="false">
      <c r="A98" s="19" t="s">
        <v>592</v>
      </c>
      <c r="B98" s="19" t="str">
        <f aca="false">"V - "&amp;INPUTS!$B$40&amp;" Finishing"</f>
        <v>V - U/G Finishing</v>
      </c>
      <c r="C98" s="29" t="n">
        <f aca="false">BUDGET!$J$53*INPUTS!$E$40*$J$81</f>
        <v>0</v>
      </c>
      <c r="D98" s="21" t="n">
        <f aca="false">IFERROR(C98/$C$4,0)</f>
        <v>0</v>
      </c>
      <c r="E98" s="47"/>
      <c r="F98" s="21" t="n">
        <f aca="false">IFERROR(E98/C98,0)</f>
        <v>0</v>
      </c>
      <c r="G98" s="29" t="n">
        <f aca="false">C98-E98</f>
        <v>0</v>
      </c>
      <c r="H98" s="29" t="n">
        <f aca="false">E98*INPUTS!$C$29</f>
        <v>0</v>
      </c>
    </row>
    <row r="99" customFormat="false" ht="15" hidden="false" customHeight="false" outlineLevel="0" collapsed="false">
      <c r="A99" s="19" t="s">
        <v>593</v>
      </c>
      <c r="B99" s="19" t="str">
        <f aca="false">"V - "&amp;INPUTS!$B$41&amp;" Finishing"</f>
        <v>V - P-02 Finishing</v>
      </c>
      <c r="C99" s="29" t="n">
        <f aca="false">BUDGET!$J$53*INPUTS!$E$41*$J$81</f>
        <v>0</v>
      </c>
      <c r="D99" s="21" t="n">
        <f aca="false">IFERROR(C99/$C$4,0)</f>
        <v>0</v>
      </c>
      <c r="E99" s="47"/>
      <c r="F99" s="21" t="n">
        <f aca="false">IFERROR(E99/C99,0)</f>
        <v>0</v>
      </c>
      <c r="G99" s="29" t="n">
        <f aca="false">C99-E99</f>
        <v>0</v>
      </c>
      <c r="H99" s="29" t="n">
        <f aca="false">E99*INPUTS!$C$29</f>
        <v>0</v>
      </c>
    </row>
    <row r="100" customFormat="false" ht="15" hidden="false" customHeight="false" outlineLevel="0" collapsed="false">
      <c r="A100" s="19" t="s">
        <v>594</v>
      </c>
      <c r="B100" s="19" t="str">
        <f aca="false">"V - "&amp;INPUTS!$B$42&amp;" Finishing"</f>
        <v>V - PRKG Finishing</v>
      </c>
      <c r="C100" s="29" t="n">
        <f aca="false">BUDGET!$J$53*INPUTS!$E$42*$J$81</f>
        <v>0</v>
      </c>
      <c r="D100" s="21" t="n">
        <f aca="false">IFERROR(C100/$C$4,0)</f>
        <v>0</v>
      </c>
      <c r="E100" s="47"/>
      <c r="F100" s="21" t="n">
        <f aca="false">IFERROR(E100/C100,0)</f>
        <v>0</v>
      </c>
      <c r="G100" s="29" t="n">
        <f aca="false">C100-E100</f>
        <v>0</v>
      </c>
      <c r="H100" s="29" t="n">
        <f aca="false">E100*INPUTS!$C$29</f>
        <v>0</v>
      </c>
    </row>
    <row r="101" customFormat="false" ht="15" hidden="false" customHeight="false" outlineLevel="0" collapsed="false">
      <c r="A101" s="19" t="s">
        <v>595</v>
      </c>
      <c r="B101" s="19" t="str">
        <f aca="false">"V - "&amp;INPUTS!$B$43&amp;" Finishing"</f>
        <v>V - L-01 Finishing</v>
      </c>
      <c r="C101" s="29" t="n">
        <f aca="false">BUDGET!$J$53*INPUTS!$E$43*$J$81</f>
        <v>0</v>
      </c>
      <c r="D101" s="21" t="n">
        <f aca="false">IFERROR(C101/$C$4,0)</f>
        <v>0</v>
      </c>
      <c r="E101" s="47"/>
      <c r="F101" s="21" t="n">
        <f aca="false">IFERROR(E101/C101,0)</f>
        <v>0</v>
      </c>
      <c r="G101" s="29" t="n">
        <f aca="false">C101-E101</f>
        <v>0</v>
      </c>
      <c r="H101" s="29" t="n">
        <f aca="false">E101*INPUTS!$C$29</f>
        <v>0</v>
      </c>
    </row>
    <row r="102" customFormat="false" ht="15" hidden="false" customHeight="false" outlineLevel="0" collapsed="false">
      <c r="A102" s="19" t="s">
        <v>596</v>
      </c>
      <c r="B102" s="19" t="str">
        <f aca="false">"V - "&amp;INPUTS!$B$44&amp;" Finishing"</f>
        <v>V - L-02 Finishing</v>
      </c>
      <c r="C102" s="29" t="n">
        <f aca="false">BUDGET!$J$53*INPUTS!$E$44*$J$81</f>
        <v>0</v>
      </c>
      <c r="D102" s="21" t="n">
        <f aca="false">IFERROR(C102/$C$4,0)</f>
        <v>0</v>
      </c>
      <c r="E102" s="47"/>
      <c r="F102" s="21" t="n">
        <f aca="false">IFERROR(E102/C102,0)</f>
        <v>0</v>
      </c>
      <c r="G102" s="29" t="n">
        <f aca="false">C102-E102</f>
        <v>0</v>
      </c>
      <c r="H102" s="29" t="n">
        <f aca="false">E102*INPUTS!$C$29</f>
        <v>0</v>
      </c>
    </row>
    <row r="103" customFormat="false" ht="15" hidden="false" customHeight="false" outlineLevel="0" collapsed="false">
      <c r="A103" s="19" t="s">
        <v>597</v>
      </c>
      <c r="B103" s="19" t="str">
        <f aca="false">"V - "&amp;INPUTS!$B$45&amp;" Finishing"</f>
        <v>V - L-03 Finishing</v>
      </c>
      <c r="C103" s="29" t="n">
        <f aca="false">BUDGET!$J$53*INPUTS!$E$45*$J$81</f>
        <v>0</v>
      </c>
      <c r="D103" s="21" t="n">
        <f aca="false">IFERROR(C103/$C$4,0)</f>
        <v>0</v>
      </c>
      <c r="E103" s="47"/>
      <c r="F103" s="21" t="n">
        <f aca="false">IFERROR(E103/C103,0)</f>
        <v>0</v>
      </c>
      <c r="G103" s="29" t="n">
        <f aca="false">C103-E103</f>
        <v>0</v>
      </c>
      <c r="H103" s="29" t="n">
        <f aca="false">E103*INPUTS!$C$29</f>
        <v>0</v>
      </c>
    </row>
    <row r="104" customFormat="false" ht="15" hidden="false" customHeight="false" outlineLevel="0" collapsed="false">
      <c r="A104" s="19" t="s">
        <v>598</v>
      </c>
      <c r="B104" s="19" t="str">
        <f aca="false">"V - "&amp;INPUTS!$B$46&amp;" Finishing"</f>
        <v>V - L-04 Finishing</v>
      </c>
      <c r="C104" s="29" t="n">
        <f aca="false">BUDGET!$J$53*INPUTS!$E$46*$J$81</f>
        <v>0</v>
      </c>
      <c r="D104" s="21" t="n">
        <f aca="false">IFERROR(C104/$C$4,0)</f>
        <v>0</v>
      </c>
      <c r="E104" s="47"/>
      <c r="F104" s="21" t="n">
        <f aca="false">IFERROR(E104/C104,0)</f>
        <v>0</v>
      </c>
      <c r="G104" s="29" t="n">
        <f aca="false">C104-E104</f>
        <v>0</v>
      </c>
      <c r="H104" s="29" t="n">
        <f aca="false">E104*INPUTS!$C$29</f>
        <v>0</v>
      </c>
    </row>
    <row r="105" customFormat="false" ht="15" hidden="false" customHeight="false" outlineLevel="0" collapsed="false">
      <c r="A105" s="19" t="s">
        <v>599</v>
      </c>
      <c r="B105" s="19" t="str">
        <f aca="false">"V - "&amp;INPUTS!$B$47&amp;" Finishing"</f>
        <v>V - L-05 Finishing</v>
      </c>
      <c r="C105" s="29" t="n">
        <f aca="false">BUDGET!$J$53*INPUTS!$E$47*$J$81</f>
        <v>0</v>
      </c>
      <c r="D105" s="21" t="n">
        <f aca="false">IFERROR(C105/$C$4,0)</f>
        <v>0</v>
      </c>
      <c r="E105" s="47"/>
      <c r="F105" s="21" t="n">
        <f aca="false">IFERROR(E105/C105,0)</f>
        <v>0</v>
      </c>
      <c r="G105" s="29" t="n">
        <f aca="false">C105-E105</f>
        <v>0</v>
      </c>
      <c r="H105" s="29" t="n">
        <f aca="false">E105*INPUTS!$C$29</f>
        <v>0</v>
      </c>
    </row>
    <row r="106" customFormat="false" ht="15" hidden="false" customHeight="false" outlineLevel="0" collapsed="false">
      <c r="A106" s="19" t="s">
        <v>600</v>
      </c>
      <c r="B106" s="19" t="str">
        <f aca="false">"V - "&amp;INPUTS!$B$48&amp;" Finishing"</f>
        <v>V - L-06 Finishing</v>
      </c>
      <c r="C106" s="29" t="n">
        <f aca="false">BUDGET!$J$53*INPUTS!$E$48*$J$81</f>
        <v>0</v>
      </c>
      <c r="D106" s="21" t="n">
        <f aca="false">IFERROR(C106/$C$4,0)</f>
        <v>0</v>
      </c>
      <c r="E106" s="47"/>
      <c r="F106" s="21" t="n">
        <f aca="false">IFERROR(E106/C106,0)</f>
        <v>0</v>
      </c>
      <c r="G106" s="29" t="n">
        <f aca="false">C106-E106</f>
        <v>0</v>
      </c>
      <c r="H106" s="29" t="n">
        <f aca="false">E106*INPUTS!$C$29</f>
        <v>0</v>
      </c>
    </row>
    <row r="107" customFormat="false" ht="15" hidden="false" customHeight="false" outlineLevel="0" collapsed="false">
      <c r="A107" s="19" t="s">
        <v>601</v>
      </c>
      <c r="B107" s="19" t="str">
        <f aca="false">"V - "&amp;INPUTS!$B$49&amp;" Finishing"</f>
        <v>V - L-07 Finishing</v>
      </c>
      <c r="C107" s="29" t="n">
        <f aca="false">BUDGET!$J$53*INPUTS!$E$49*$J$81</f>
        <v>0</v>
      </c>
      <c r="D107" s="21" t="n">
        <f aca="false">IFERROR(C107/$C$4,0)</f>
        <v>0</v>
      </c>
      <c r="E107" s="47"/>
      <c r="F107" s="21" t="n">
        <f aca="false">IFERROR(E107/C107,0)</f>
        <v>0</v>
      </c>
      <c r="G107" s="29" t="n">
        <f aca="false">C107-E107</f>
        <v>0</v>
      </c>
      <c r="H107" s="29" t="n">
        <f aca="false">E107*INPUTS!$C$29</f>
        <v>0</v>
      </c>
    </row>
    <row r="108" customFormat="false" ht="15" hidden="false" customHeight="false" outlineLevel="0" collapsed="false">
      <c r="A108" s="19" t="s">
        <v>602</v>
      </c>
      <c r="B108" s="19" t="str">
        <f aca="false">"V - "&amp;INPUTS!$B$50&amp;" Finishing"</f>
        <v>V - L-08 Finishing</v>
      </c>
      <c r="C108" s="29" t="n">
        <f aca="false">BUDGET!$J$53*INPUTS!$E$50*$J$81</f>
        <v>0</v>
      </c>
      <c r="D108" s="21" t="n">
        <f aca="false">IFERROR(C108/$C$4,0)</f>
        <v>0</v>
      </c>
      <c r="E108" s="47"/>
      <c r="F108" s="21" t="n">
        <f aca="false">IFERROR(E108/C108,0)</f>
        <v>0</v>
      </c>
      <c r="G108" s="29" t="n">
        <f aca="false">C108-E108</f>
        <v>0</v>
      </c>
      <c r="H108" s="29" t="n">
        <f aca="false">E108*INPUTS!$C$29</f>
        <v>0</v>
      </c>
    </row>
    <row r="109" customFormat="false" ht="15" hidden="false" customHeight="false" outlineLevel="0" collapsed="false">
      <c r="A109" s="19" t="s">
        <v>603</v>
      </c>
      <c r="B109" s="19" t="str">
        <f aca="false">"V - "&amp;INPUTS!$B$51&amp;" Finishing"</f>
        <v>V - L-09 Finishing</v>
      </c>
      <c r="C109" s="29" t="n">
        <f aca="false">BUDGET!$J$53*INPUTS!$E$51*$J$81</f>
        <v>0</v>
      </c>
      <c r="D109" s="21" t="n">
        <f aca="false">IFERROR(C109/$C$4,0)</f>
        <v>0</v>
      </c>
      <c r="E109" s="47"/>
      <c r="F109" s="21" t="n">
        <f aca="false">IFERROR(E109/C109,0)</f>
        <v>0</v>
      </c>
      <c r="G109" s="29" t="n">
        <f aca="false">C109-E109</f>
        <v>0</v>
      </c>
      <c r="H109" s="29" t="n">
        <f aca="false">E109*INPUTS!$C$29</f>
        <v>0</v>
      </c>
    </row>
    <row r="110" customFormat="false" ht="15" hidden="false" customHeight="false" outlineLevel="0" collapsed="false">
      <c r="A110" s="19" t="s">
        <v>604</v>
      </c>
      <c r="B110" s="19" t="str">
        <f aca="false">"V - "&amp;INPUTS!$B$52&amp;" Finishing"</f>
        <v>V - L-10 Finishing</v>
      </c>
      <c r="C110" s="29" t="n">
        <f aca="false">BUDGET!$J$53*INPUTS!$E$52*$J$81</f>
        <v>0</v>
      </c>
      <c r="D110" s="21" t="n">
        <f aca="false">IFERROR(C110/$C$4,0)</f>
        <v>0</v>
      </c>
      <c r="E110" s="47"/>
      <c r="F110" s="21" t="n">
        <f aca="false">IFERROR(E110/C110,0)</f>
        <v>0</v>
      </c>
      <c r="G110" s="29" t="n">
        <f aca="false">C110-E110</f>
        <v>0</v>
      </c>
      <c r="H110" s="29" t="n">
        <f aca="false">E110*INPUTS!$C$29</f>
        <v>0</v>
      </c>
    </row>
    <row r="111" customFormat="false" ht="15" hidden="false" customHeight="false" outlineLevel="0" collapsed="false">
      <c r="A111" s="19" t="s">
        <v>605</v>
      </c>
      <c r="B111" s="19" t="str">
        <f aca="false">"V - "&amp;INPUTS!$B$53&amp;" Finishing"</f>
        <v>V - ROOF Finishing</v>
      </c>
      <c r="C111" s="29" t="n">
        <f aca="false">BUDGET!$J$53*INPUTS!$E$53*$J$81</f>
        <v>0</v>
      </c>
      <c r="D111" s="21" t="n">
        <f aca="false">IFERROR(C111/$C$4,0)</f>
        <v>0</v>
      </c>
      <c r="E111" s="47"/>
      <c r="F111" s="21" t="n">
        <f aca="false">IFERROR(E111/C111,0)</f>
        <v>0</v>
      </c>
      <c r="G111" s="29" t="n">
        <f aca="false">C111-E111</f>
        <v>0</v>
      </c>
      <c r="H111" s="29" t="n">
        <f aca="false">E111*INPUTS!$C$29</f>
        <v>0</v>
      </c>
    </row>
    <row r="112" customFormat="false" ht="15" hidden="false" customHeight="false" outlineLevel="0" collapsed="false">
      <c r="A112" s="19" t="s">
        <v>606</v>
      </c>
      <c r="B112" s="19" t="str">
        <f aca="false">"V - "&amp;MID(INPUTS!$B$62,4,60)</f>
        <v>V - Equipment &amp; Fixtures</v>
      </c>
      <c r="C112" s="29" t="n">
        <f aca="false">BUDGET!$J$54*$J$81</f>
        <v>0</v>
      </c>
      <c r="D112" s="21" t="n">
        <f aca="false">IFERROR(C112/$C$4,0)</f>
        <v>0</v>
      </c>
      <c r="E112" s="47"/>
      <c r="F112" s="21" t="n">
        <f aca="false">IFERROR(E112/C112,0)</f>
        <v>0</v>
      </c>
      <c r="G112" s="29" t="n">
        <f aca="false">C112-E112</f>
        <v>0</v>
      </c>
      <c r="H112" s="29" t="n">
        <f aca="false">E112*INPUTS!$C$29</f>
        <v>0</v>
      </c>
    </row>
    <row r="113" customFormat="false" ht="15" hidden="false" customHeight="false" outlineLevel="0" collapsed="false">
      <c r="A113" s="19" t="s">
        <v>607</v>
      </c>
      <c r="B113" s="19" t="str">
        <f aca="false">"V - "&amp;MID(INPUTS!$B$63,4,60)</f>
        <v>V - Testing, Balancing &amp; Commissioning</v>
      </c>
      <c r="C113" s="29" t="n">
        <f aca="false">BUDGET!$J$55*$J$81</f>
        <v>0</v>
      </c>
      <c r="D113" s="21" t="n">
        <f aca="false">IFERROR(C113/$C$4,0)</f>
        <v>0</v>
      </c>
      <c r="E113" s="47"/>
      <c r="F113" s="21" t="n">
        <f aca="false">IFERROR(E113/C113,0)</f>
        <v>0</v>
      </c>
      <c r="G113" s="29" t="n">
        <f aca="false">C113-E113</f>
        <v>0</v>
      </c>
      <c r="H113" s="29" t="n">
        <f aca="false">E113*INPUTS!$C$29</f>
        <v>0</v>
      </c>
    </row>
    <row r="114" customFormat="false" ht="15" hidden="false" customHeight="false" outlineLevel="0" collapsed="false">
      <c r="A114" s="19" t="s">
        <v>608</v>
      </c>
      <c r="B114" s="19" t="str">
        <f aca="false">"V - "&amp;MID(INPUTS!$B$64,4,60)</f>
        <v>V - Closeout &amp; Warranty</v>
      </c>
      <c r="C114" s="29" t="n">
        <f aca="false">BUDGET!$J$56*$J$81</f>
        <v>0</v>
      </c>
      <c r="D114" s="21" t="n">
        <f aca="false">IFERROR(C114/$C$4,0)</f>
        <v>0</v>
      </c>
      <c r="E114" s="47"/>
      <c r="F114" s="21" t="n">
        <f aca="false">IFERROR(E114/C114,0)</f>
        <v>0</v>
      </c>
      <c r="G114" s="29" t="n">
        <f aca="false">C114-E114</f>
        <v>0</v>
      </c>
      <c r="H114" s="29" t="n">
        <f aca="false">E114*INPUTS!$C$29</f>
        <v>0</v>
      </c>
    </row>
    <row r="115" customFormat="false" ht="15" hidden="false" customHeight="false" outlineLevel="0" collapsed="false">
      <c r="A115" s="19" t="s">
        <v>609</v>
      </c>
      <c r="B115" s="19" t="str">
        <f aca="false">"V - "&amp;MID(INPUTS!$B$65,4,60)</f>
        <v>V - General Conditions</v>
      </c>
      <c r="C115" s="29" t="n">
        <f aca="false">BUDGET!$J$57*$J$81</f>
        <v>0</v>
      </c>
      <c r="D115" s="21" t="n">
        <f aca="false">IFERROR(C115/$C$4,0)</f>
        <v>0</v>
      </c>
      <c r="E115" s="47"/>
      <c r="F115" s="21" t="n">
        <f aca="false">IFERROR(E115/C115,0)</f>
        <v>0</v>
      </c>
      <c r="G115" s="29" t="n">
        <f aca="false">C115-E115</f>
        <v>0</v>
      </c>
      <c r="H115" s="29" t="n">
        <f aca="false">E115*INPUTS!$C$29</f>
        <v>0</v>
      </c>
    </row>
    <row r="117" customFormat="false" ht="15" hidden="false" customHeight="false" outlineLevel="0" collapsed="false">
      <c r="A117" s="77" t="s">
        <v>103</v>
      </c>
      <c r="B117" s="77" t="s">
        <v>610</v>
      </c>
      <c r="C117" s="78" t="n">
        <f aca="false">SUM(C118:C151)</f>
        <v>0</v>
      </c>
      <c r="D117" s="79" t="n">
        <f aca="false">IFERROR(C117/$C$4,0)</f>
        <v>0</v>
      </c>
      <c r="E117" s="78" t="n">
        <f aca="false">SUM(E118:E151)</f>
        <v>0</v>
      </c>
      <c r="G117" s="78" t="n">
        <f aca="false">SUM(G118:G151)</f>
        <v>0</v>
      </c>
      <c r="H117" s="78" t="n">
        <f aca="false">SUM(H118:H151)</f>
        <v>0</v>
      </c>
      <c r="J117" s="80" t="n">
        <f aca="false">IFERROR('BID SUMMARY'!N9/(BUDGET!$J$67+BUDGET!$J$68+BUDGET!$J$69+BUDGET!$J$70+BUDGET!$J$71+BUDGET!$J$72+BUDGET!$J$73+BUDGET!$J$74),0)</f>
        <v>0</v>
      </c>
    </row>
    <row r="118" customFormat="false" ht="15" hidden="false" customHeight="false" outlineLevel="0" collapsed="false">
      <c r="A118" s="19" t="s">
        <v>611</v>
      </c>
      <c r="B118" s="19" t="str">
        <f aca="false">"AC - "&amp;MID(INPUTS!$B$58,4,60)</f>
        <v>AC - Mobilization &amp; Submittals</v>
      </c>
      <c r="C118" s="29" t="n">
        <f aca="false">BUDGET!$J$67*$J$117</f>
        <v>0</v>
      </c>
      <c r="D118" s="21" t="n">
        <f aca="false">IFERROR(C118/$C$4,0)</f>
        <v>0</v>
      </c>
      <c r="E118" s="47"/>
      <c r="F118" s="21" t="n">
        <f aca="false">IFERROR(E118/C118,0)</f>
        <v>0</v>
      </c>
      <c r="G118" s="29" t="n">
        <f aca="false">C118-E118</f>
        <v>0</v>
      </c>
      <c r="H118" s="29" t="n">
        <f aca="false">E118*INPUTS!$C$29</f>
        <v>0</v>
      </c>
    </row>
    <row r="119" customFormat="false" ht="15" hidden="false" customHeight="false" outlineLevel="0" collapsed="false">
      <c r="A119" s="19" t="s">
        <v>612</v>
      </c>
      <c r="B119" s="19" t="str">
        <f aca="false">"AC - "&amp;MID(INPUTS!$B$59,4,60)</f>
        <v>AC - Underground</v>
      </c>
      <c r="C119" s="29" t="n">
        <f aca="false">BUDGET!$J$68*$J$117</f>
        <v>0</v>
      </c>
      <c r="D119" s="21" t="n">
        <f aca="false">IFERROR(C119/$C$4,0)</f>
        <v>0</v>
      </c>
      <c r="E119" s="47"/>
      <c r="F119" s="21" t="n">
        <f aca="false">IFERROR(E119/C119,0)</f>
        <v>0</v>
      </c>
      <c r="G119" s="29" t="n">
        <f aca="false">C119-E119</f>
        <v>0</v>
      </c>
      <c r="H119" s="29" t="n">
        <f aca="false">E119*INPUTS!$C$29</f>
        <v>0</v>
      </c>
    </row>
    <row r="120" customFormat="false" ht="15" hidden="false" customHeight="false" outlineLevel="0" collapsed="false">
      <c r="A120" s="19" t="s">
        <v>613</v>
      </c>
      <c r="B120" s="19" t="str">
        <f aca="false">"AC - "&amp;INPUTS!$B$40&amp;" Rough-in"</f>
        <v>AC - U/G Rough-in</v>
      </c>
      <c r="C120" s="29" t="n">
        <f aca="false">BUDGET!$J$69*INPUTS!$E$40*$J$117</f>
        <v>0</v>
      </c>
      <c r="D120" s="21" t="n">
        <f aca="false">IFERROR(C120/$C$4,0)</f>
        <v>0</v>
      </c>
      <c r="E120" s="47"/>
      <c r="F120" s="21" t="n">
        <f aca="false">IFERROR(E120/C120,0)</f>
        <v>0</v>
      </c>
      <c r="G120" s="29" t="n">
        <f aca="false">C120-E120</f>
        <v>0</v>
      </c>
      <c r="H120" s="29" t="n">
        <f aca="false">E120*INPUTS!$C$29</f>
        <v>0</v>
      </c>
    </row>
    <row r="121" customFormat="false" ht="15" hidden="false" customHeight="false" outlineLevel="0" collapsed="false">
      <c r="A121" s="19" t="s">
        <v>614</v>
      </c>
      <c r="B121" s="19" t="str">
        <f aca="false">"AC - "&amp;INPUTS!$B$41&amp;" Rough-in"</f>
        <v>AC - P-02 Rough-in</v>
      </c>
      <c r="C121" s="29" t="n">
        <f aca="false">BUDGET!$J$69*INPUTS!$E$41*$J$117</f>
        <v>0</v>
      </c>
      <c r="D121" s="21" t="n">
        <f aca="false">IFERROR(C121/$C$4,0)</f>
        <v>0</v>
      </c>
      <c r="E121" s="47"/>
      <c r="F121" s="21" t="n">
        <f aca="false">IFERROR(E121/C121,0)</f>
        <v>0</v>
      </c>
      <c r="G121" s="29" t="n">
        <f aca="false">C121-E121</f>
        <v>0</v>
      </c>
      <c r="H121" s="29" t="n">
        <f aca="false">E121*INPUTS!$C$29</f>
        <v>0</v>
      </c>
    </row>
    <row r="122" customFormat="false" ht="15" hidden="false" customHeight="false" outlineLevel="0" collapsed="false">
      <c r="A122" s="19" t="s">
        <v>615</v>
      </c>
      <c r="B122" s="19" t="str">
        <f aca="false">"AC - "&amp;INPUTS!$B$42&amp;" Rough-in"</f>
        <v>AC - PRKG Rough-in</v>
      </c>
      <c r="C122" s="29" t="n">
        <f aca="false">BUDGET!$J$69*INPUTS!$E$42*$J$117</f>
        <v>0</v>
      </c>
      <c r="D122" s="21" t="n">
        <f aca="false">IFERROR(C122/$C$4,0)</f>
        <v>0</v>
      </c>
      <c r="E122" s="47"/>
      <c r="F122" s="21" t="n">
        <f aca="false">IFERROR(E122/C122,0)</f>
        <v>0</v>
      </c>
      <c r="G122" s="29" t="n">
        <f aca="false">C122-E122</f>
        <v>0</v>
      </c>
      <c r="H122" s="29" t="n">
        <f aca="false">E122*INPUTS!$C$29</f>
        <v>0</v>
      </c>
    </row>
    <row r="123" customFormat="false" ht="15" hidden="false" customHeight="false" outlineLevel="0" collapsed="false">
      <c r="A123" s="19" t="s">
        <v>616</v>
      </c>
      <c r="B123" s="19" t="str">
        <f aca="false">"AC - "&amp;INPUTS!$B$43&amp;" Rough-in"</f>
        <v>AC - L-01 Rough-in</v>
      </c>
      <c r="C123" s="29" t="n">
        <f aca="false">BUDGET!$J$69*INPUTS!$E$43*$J$117</f>
        <v>0</v>
      </c>
      <c r="D123" s="21" t="n">
        <f aca="false">IFERROR(C123/$C$4,0)</f>
        <v>0</v>
      </c>
      <c r="E123" s="47"/>
      <c r="F123" s="21" t="n">
        <f aca="false">IFERROR(E123/C123,0)</f>
        <v>0</v>
      </c>
      <c r="G123" s="29" t="n">
        <f aca="false">C123-E123</f>
        <v>0</v>
      </c>
      <c r="H123" s="29" t="n">
        <f aca="false">E123*INPUTS!$C$29</f>
        <v>0</v>
      </c>
    </row>
    <row r="124" customFormat="false" ht="15" hidden="false" customHeight="false" outlineLevel="0" collapsed="false">
      <c r="A124" s="19" t="s">
        <v>617</v>
      </c>
      <c r="B124" s="19" t="str">
        <f aca="false">"AC - "&amp;INPUTS!$B$44&amp;" Rough-in"</f>
        <v>AC - L-02 Rough-in</v>
      </c>
      <c r="C124" s="29" t="n">
        <f aca="false">BUDGET!$J$69*INPUTS!$E$44*$J$117</f>
        <v>0</v>
      </c>
      <c r="D124" s="21" t="n">
        <f aca="false">IFERROR(C124/$C$4,0)</f>
        <v>0</v>
      </c>
      <c r="E124" s="47"/>
      <c r="F124" s="21" t="n">
        <f aca="false">IFERROR(E124/C124,0)</f>
        <v>0</v>
      </c>
      <c r="G124" s="29" t="n">
        <f aca="false">C124-E124</f>
        <v>0</v>
      </c>
      <c r="H124" s="29" t="n">
        <f aca="false">E124*INPUTS!$C$29</f>
        <v>0</v>
      </c>
    </row>
    <row r="125" customFormat="false" ht="15" hidden="false" customHeight="false" outlineLevel="0" collapsed="false">
      <c r="A125" s="19" t="s">
        <v>618</v>
      </c>
      <c r="B125" s="19" t="str">
        <f aca="false">"AC - "&amp;INPUTS!$B$45&amp;" Rough-in"</f>
        <v>AC - L-03 Rough-in</v>
      </c>
      <c r="C125" s="29" t="n">
        <f aca="false">BUDGET!$J$69*INPUTS!$E$45*$J$117</f>
        <v>0</v>
      </c>
      <c r="D125" s="21" t="n">
        <f aca="false">IFERROR(C125/$C$4,0)</f>
        <v>0</v>
      </c>
      <c r="E125" s="47"/>
      <c r="F125" s="21" t="n">
        <f aca="false">IFERROR(E125/C125,0)</f>
        <v>0</v>
      </c>
      <c r="G125" s="29" t="n">
        <f aca="false">C125-E125</f>
        <v>0</v>
      </c>
      <c r="H125" s="29" t="n">
        <f aca="false">E125*INPUTS!$C$29</f>
        <v>0</v>
      </c>
    </row>
    <row r="126" customFormat="false" ht="15" hidden="false" customHeight="false" outlineLevel="0" collapsed="false">
      <c r="A126" s="19" t="s">
        <v>619</v>
      </c>
      <c r="B126" s="19" t="str">
        <f aca="false">"AC - "&amp;INPUTS!$B$46&amp;" Rough-in"</f>
        <v>AC - L-04 Rough-in</v>
      </c>
      <c r="C126" s="29" t="n">
        <f aca="false">BUDGET!$J$69*INPUTS!$E$46*$J$117</f>
        <v>0</v>
      </c>
      <c r="D126" s="21" t="n">
        <f aca="false">IFERROR(C126/$C$4,0)</f>
        <v>0</v>
      </c>
      <c r="E126" s="47"/>
      <c r="F126" s="21" t="n">
        <f aca="false">IFERROR(E126/C126,0)</f>
        <v>0</v>
      </c>
      <c r="G126" s="29" t="n">
        <f aca="false">C126-E126</f>
        <v>0</v>
      </c>
      <c r="H126" s="29" t="n">
        <f aca="false">E126*INPUTS!$C$29</f>
        <v>0</v>
      </c>
    </row>
    <row r="127" customFormat="false" ht="15" hidden="false" customHeight="false" outlineLevel="0" collapsed="false">
      <c r="A127" s="19" t="s">
        <v>620</v>
      </c>
      <c r="B127" s="19" t="str">
        <f aca="false">"AC - "&amp;INPUTS!$B$47&amp;" Rough-in"</f>
        <v>AC - L-05 Rough-in</v>
      </c>
      <c r="C127" s="29" t="n">
        <f aca="false">BUDGET!$J$69*INPUTS!$E$47*$J$117</f>
        <v>0</v>
      </c>
      <c r="D127" s="21" t="n">
        <f aca="false">IFERROR(C127/$C$4,0)</f>
        <v>0</v>
      </c>
      <c r="E127" s="47"/>
      <c r="F127" s="21" t="n">
        <f aca="false">IFERROR(E127/C127,0)</f>
        <v>0</v>
      </c>
      <c r="G127" s="29" t="n">
        <f aca="false">C127-E127</f>
        <v>0</v>
      </c>
      <c r="H127" s="29" t="n">
        <f aca="false">E127*INPUTS!$C$29</f>
        <v>0</v>
      </c>
    </row>
    <row r="128" customFormat="false" ht="15" hidden="false" customHeight="false" outlineLevel="0" collapsed="false">
      <c r="A128" s="19" t="s">
        <v>621</v>
      </c>
      <c r="B128" s="19" t="str">
        <f aca="false">"AC - "&amp;INPUTS!$B$48&amp;" Rough-in"</f>
        <v>AC - L-06 Rough-in</v>
      </c>
      <c r="C128" s="29" t="n">
        <f aca="false">BUDGET!$J$69*INPUTS!$E$48*$J$117</f>
        <v>0</v>
      </c>
      <c r="D128" s="21" t="n">
        <f aca="false">IFERROR(C128/$C$4,0)</f>
        <v>0</v>
      </c>
      <c r="E128" s="47"/>
      <c r="F128" s="21" t="n">
        <f aca="false">IFERROR(E128/C128,0)</f>
        <v>0</v>
      </c>
      <c r="G128" s="29" t="n">
        <f aca="false">C128-E128</f>
        <v>0</v>
      </c>
      <c r="H128" s="29" t="n">
        <f aca="false">E128*INPUTS!$C$29</f>
        <v>0</v>
      </c>
    </row>
    <row r="129" customFormat="false" ht="15" hidden="false" customHeight="false" outlineLevel="0" collapsed="false">
      <c r="A129" s="19" t="s">
        <v>622</v>
      </c>
      <c r="B129" s="19" t="str">
        <f aca="false">"AC - "&amp;INPUTS!$B$49&amp;" Rough-in"</f>
        <v>AC - L-07 Rough-in</v>
      </c>
      <c r="C129" s="29" t="n">
        <f aca="false">BUDGET!$J$69*INPUTS!$E$49*$J$117</f>
        <v>0</v>
      </c>
      <c r="D129" s="21" t="n">
        <f aca="false">IFERROR(C129/$C$4,0)</f>
        <v>0</v>
      </c>
      <c r="E129" s="47"/>
      <c r="F129" s="21" t="n">
        <f aca="false">IFERROR(E129/C129,0)</f>
        <v>0</v>
      </c>
      <c r="G129" s="29" t="n">
        <f aca="false">C129-E129</f>
        <v>0</v>
      </c>
      <c r="H129" s="29" t="n">
        <f aca="false">E129*INPUTS!$C$29</f>
        <v>0</v>
      </c>
    </row>
    <row r="130" customFormat="false" ht="15" hidden="false" customHeight="false" outlineLevel="0" collapsed="false">
      <c r="A130" s="19" t="s">
        <v>623</v>
      </c>
      <c r="B130" s="19" t="str">
        <f aca="false">"AC - "&amp;INPUTS!$B$50&amp;" Rough-in"</f>
        <v>AC - L-08 Rough-in</v>
      </c>
      <c r="C130" s="29" t="n">
        <f aca="false">BUDGET!$J$69*INPUTS!$E$50*$J$117</f>
        <v>0</v>
      </c>
      <c r="D130" s="21" t="n">
        <f aca="false">IFERROR(C130/$C$4,0)</f>
        <v>0</v>
      </c>
      <c r="E130" s="47"/>
      <c r="F130" s="21" t="n">
        <f aca="false">IFERROR(E130/C130,0)</f>
        <v>0</v>
      </c>
      <c r="G130" s="29" t="n">
        <f aca="false">C130-E130</f>
        <v>0</v>
      </c>
      <c r="H130" s="29" t="n">
        <f aca="false">E130*INPUTS!$C$29</f>
        <v>0</v>
      </c>
    </row>
    <row r="131" customFormat="false" ht="15" hidden="false" customHeight="false" outlineLevel="0" collapsed="false">
      <c r="A131" s="19" t="s">
        <v>624</v>
      </c>
      <c r="B131" s="19" t="str">
        <f aca="false">"AC - "&amp;INPUTS!$B$51&amp;" Rough-in"</f>
        <v>AC - L-09 Rough-in</v>
      </c>
      <c r="C131" s="29" t="n">
        <f aca="false">BUDGET!$J$69*INPUTS!$E$51*$J$117</f>
        <v>0</v>
      </c>
      <c r="D131" s="21" t="n">
        <f aca="false">IFERROR(C131/$C$4,0)</f>
        <v>0</v>
      </c>
      <c r="E131" s="47"/>
      <c r="F131" s="21" t="n">
        <f aca="false">IFERROR(E131/C131,0)</f>
        <v>0</v>
      </c>
      <c r="G131" s="29" t="n">
        <f aca="false">C131-E131</f>
        <v>0</v>
      </c>
      <c r="H131" s="29" t="n">
        <f aca="false">E131*INPUTS!$C$29</f>
        <v>0</v>
      </c>
    </row>
    <row r="132" customFormat="false" ht="15" hidden="false" customHeight="false" outlineLevel="0" collapsed="false">
      <c r="A132" s="19" t="s">
        <v>625</v>
      </c>
      <c r="B132" s="19" t="str">
        <f aca="false">"AC - "&amp;INPUTS!$B$52&amp;" Rough-in"</f>
        <v>AC - L-10 Rough-in</v>
      </c>
      <c r="C132" s="29" t="n">
        <f aca="false">BUDGET!$J$69*INPUTS!$E$52*$J$117</f>
        <v>0</v>
      </c>
      <c r="D132" s="21" t="n">
        <f aca="false">IFERROR(C132/$C$4,0)</f>
        <v>0</v>
      </c>
      <c r="E132" s="47"/>
      <c r="F132" s="21" t="n">
        <f aca="false">IFERROR(E132/C132,0)</f>
        <v>0</v>
      </c>
      <c r="G132" s="29" t="n">
        <f aca="false">C132-E132</f>
        <v>0</v>
      </c>
      <c r="H132" s="29" t="n">
        <f aca="false">E132*INPUTS!$C$29</f>
        <v>0</v>
      </c>
    </row>
    <row r="133" customFormat="false" ht="15" hidden="false" customHeight="false" outlineLevel="0" collapsed="false">
      <c r="A133" s="19" t="s">
        <v>626</v>
      </c>
      <c r="B133" s="19" t="str">
        <f aca="false">"AC - "&amp;INPUTS!$B$53&amp;" Rough-in"</f>
        <v>AC - ROOF Rough-in</v>
      </c>
      <c r="C133" s="29" t="n">
        <f aca="false">BUDGET!$J$69*INPUTS!$E$53*$J$117</f>
        <v>0</v>
      </c>
      <c r="D133" s="21" t="n">
        <f aca="false">IFERROR(C133/$C$4,0)</f>
        <v>0</v>
      </c>
      <c r="E133" s="47"/>
      <c r="F133" s="21" t="n">
        <f aca="false">IFERROR(E133/C133,0)</f>
        <v>0</v>
      </c>
      <c r="G133" s="29" t="n">
        <f aca="false">C133-E133</f>
        <v>0</v>
      </c>
      <c r="H133" s="29" t="n">
        <f aca="false">E133*INPUTS!$C$29</f>
        <v>0</v>
      </c>
    </row>
    <row r="134" customFormat="false" ht="15" hidden="false" customHeight="false" outlineLevel="0" collapsed="false">
      <c r="A134" s="19" t="s">
        <v>627</v>
      </c>
      <c r="B134" s="19" t="str">
        <f aca="false">"AC - "&amp;INPUTS!$B$40&amp;" Finishing"</f>
        <v>AC - U/G Finishing</v>
      </c>
      <c r="C134" s="29" t="n">
        <f aca="false">BUDGET!$J$70*INPUTS!$E$40*$J$117</f>
        <v>0</v>
      </c>
      <c r="D134" s="21" t="n">
        <f aca="false">IFERROR(C134/$C$4,0)</f>
        <v>0</v>
      </c>
      <c r="E134" s="47"/>
      <c r="F134" s="21" t="n">
        <f aca="false">IFERROR(E134/C134,0)</f>
        <v>0</v>
      </c>
      <c r="G134" s="29" t="n">
        <f aca="false">C134-E134</f>
        <v>0</v>
      </c>
      <c r="H134" s="29" t="n">
        <f aca="false">E134*INPUTS!$C$29</f>
        <v>0</v>
      </c>
    </row>
    <row r="135" customFormat="false" ht="15" hidden="false" customHeight="false" outlineLevel="0" collapsed="false">
      <c r="A135" s="19" t="s">
        <v>628</v>
      </c>
      <c r="B135" s="19" t="str">
        <f aca="false">"AC - "&amp;INPUTS!$B$41&amp;" Finishing"</f>
        <v>AC - P-02 Finishing</v>
      </c>
      <c r="C135" s="29" t="n">
        <f aca="false">BUDGET!$J$70*INPUTS!$E$41*$J$117</f>
        <v>0</v>
      </c>
      <c r="D135" s="21" t="n">
        <f aca="false">IFERROR(C135/$C$4,0)</f>
        <v>0</v>
      </c>
      <c r="E135" s="47"/>
      <c r="F135" s="21" t="n">
        <f aca="false">IFERROR(E135/C135,0)</f>
        <v>0</v>
      </c>
      <c r="G135" s="29" t="n">
        <f aca="false">C135-E135</f>
        <v>0</v>
      </c>
      <c r="H135" s="29" t="n">
        <f aca="false">E135*INPUTS!$C$29</f>
        <v>0</v>
      </c>
    </row>
    <row r="136" customFormat="false" ht="15" hidden="false" customHeight="false" outlineLevel="0" collapsed="false">
      <c r="A136" s="19" t="s">
        <v>629</v>
      </c>
      <c r="B136" s="19" t="str">
        <f aca="false">"AC - "&amp;INPUTS!$B$42&amp;" Finishing"</f>
        <v>AC - PRKG Finishing</v>
      </c>
      <c r="C136" s="29" t="n">
        <f aca="false">BUDGET!$J$70*INPUTS!$E$42*$J$117</f>
        <v>0</v>
      </c>
      <c r="D136" s="21" t="n">
        <f aca="false">IFERROR(C136/$C$4,0)</f>
        <v>0</v>
      </c>
      <c r="E136" s="47"/>
      <c r="F136" s="21" t="n">
        <f aca="false">IFERROR(E136/C136,0)</f>
        <v>0</v>
      </c>
      <c r="G136" s="29" t="n">
        <f aca="false">C136-E136</f>
        <v>0</v>
      </c>
      <c r="H136" s="29" t="n">
        <f aca="false">E136*INPUTS!$C$29</f>
        <v>0</v>
      </c>
    </row>
    <row r="137" customFormat="false" ht="15" hidden="false" customHeight="false" outlineLevel="0" collapsed="false">
      <c r="A137" s="19" t="s">
        <v>630</v>
      </c>
      <c r="B137" s="19" t="str">
        <f aca="false">"AC - "&amp;INPUTS!$B$43&amp;" Finishing"</f>
        <v>AC - L-01 Finishing</v>
      </c>
      <c r="C137" s="29" t="n">
        <f aca="false">BUDGET!$J$70*INPUTS!$E$43*$J$117</f>
        <v>0</v>
      </c>
      <c r="D137" s="21" t="n">
        <f aca="false">IFERROR(C137/$C$4,0)</f>
        <v>0</v>
      </c>
      <c r="E137" s="47"/>
      <c r="F137" s="21" t="n">
        <f aca="false">IFERROR(E137/C137,0)</f>
        <v>0</v>
      </c>
      <c r="G137" s="29" t="n">
        <f aca="false">C137-E137</f>
        <v>0</v>
      </c>
      <c r="H137" s="29" t="n">
        <f aca="false">E137*INPUTS!$C$29</f>
        <v>0</v>
      </c>
    </row>
    <row r="138" customFormat="false" ht="15" hidden="false" customHeight="false" outlineLevel="0" collapsed="false">
      <c r="A138" s="19" t="s">
        <v>631</v>
      </c>
      <c r="B138" s="19" t="str">
        <f aca="false">"AC - "&amp;INPUTS!$B$44&amp;" Finishing"</f>
        <v>AC - L-02 Finishing</v>
      </c>
      <c r="C138" s="29" t="n">
        <f aca="false">BUDGET!$J$70*INPUTS!$E$44*$J$117</f>
        <v>0</v>
      </c>
      <c r="D138" s="21" t="n">
        <f aca="false">IFERROR(C138/$C$4,0)</f>
        <v>0</v>
      </c>
      <c r="E138" s="47"/>
      <c r="F138" s="21" t="n">
        <f aca="false">IFERROR(E138/C138,0)</f>
        <v>0</v>
      </c>
      <c r="G138" s="29" t="n">
        <f aca="false">C138-E138</f>
        <v>0</v>
      </c>
      <c r="H138" s="29" t="n">
        <f aca="false">E138*INPUTS!$C$29</f>
        <v>0</v>
      </c>
    </row>
    <row r="139" customFormat="false" ht="15" hidden="false" customHeight="false" outlineLevel="0" collapsed="false">
      <c r="A139" s="19" t="s">
        <v>632</v>
      </c>
      <c r="B139" s="19" t="str">
        <f aca="false">"AC - "&amp;INPUTS!$B$45&amp;" Finishing"</f>
        <v>AC - L-03 Finishing</v>
      </c>
      <c r="C139" s="29" t="n">
        <f aca="false">BUDGET!$J$70*INPUTS!$E$45*$J$117</f>
        <v>0</v>
      </c>
      <c r="D139" s="21" t="n">
        <f aca="false">IFERROR(C139/$C$4,0)</f>
        <v>0</v>
      </c>
      <c r="E139" s="47"/>
      <c r="F139" s="21" t="n">
        <f aca="false">IFERROR(E139/C139,0)</f>
        <v>0</v>
      </c>
      <c r="G139" s="29" t="n">
        <f aca="false">C139-E139</f>
        <v>0</v>
      </c>
      <c r="H139" s="29" t="n">
        <f aca="false">E139*INPUTS!$C$29</f>
        <v>0</v>
      </c>
    </row>
    <row r="140" customFormat="false" ht="15" hidden="false" customHeight="false" outlineLevel="0" collapsed="false">
      <c r="A140" s="19" t="s">
        <v>633</v>
      </c>
      <c r="B140" s="19" t="str">
        <f aca="false">"AC - "&amp;INPUTS!$B$46&amp;" Finishing"</f>
        <v>AC - L-04 Finishing</v>
      </c>
      <c r="C140" s="29" t="n">
        <f aca="false">BUDGET!$J$70*INPUTS!$E$46*$J$117</f>
        <v>0</v>
      </c>
      <c r="D140" s="21" t="n">
        <f aca="false">IFERROR(C140/$C$4,0)</f>
        <v>0</v>
      </c>
      <c r="E140" s="47"/>
      <c r="F140" s="21" t="n">
        <f aca="false">IFERROR(E140/C140,0)</f>
        <v>0</v>
      </c>
      <c r="G140" s="29" t="n">
        <f aca="false">C140-E140</f>
        <v>0</v>
      </c>
      <c r="H140" s="29" t="n">
        <f aca="false">E140*INPUTS!$C$29</f>
        <v>0</v>
      </c>
    </row>
    <row r="141" customFormat="false" ht="15" hidden="false" customHeight="false" outlineLevel="0" collapsed="false">
      <c r="A141" s="19" t="s">
        <v>634</v>
      </c>
      <c r="B141" s="19" t="str">
        <f aca="false">"AC - "&amp;INPUTS!$B$47&amp;" Finishing"</f>
        <v>AC - L-05 Finishing</v>
      </c>
      <c r="C141" s="29" t="n">
        <f aca="false">BUDGET!$J$70*INPUTS!$E$47*$J$117</f>
        <v>0</v>
      </c>
      <c r="D141" s="21" t="n">
        <f aca="false">IFERROR(C141/$C$4,0)</f>
        <v>0</v>
      </c>
      <c r="E141" s="47"/>
      <c r="F141" s="21" t="n">
        <f aca="false">IFERROR(E141/C141,0)</f>
        <v>0</v>
      </c>
      <c r="G141" s="29" t="n">
        <f aca="false">C141-E141</f>
        <v>0</v>
      </c>
      <c r="H141" s="29" t="n">
        <f aca="false">E141*INPUTS!$C$29</f>
        <v>0</v>
      </c>
    </row>
    <row r="142" customFormat="false" ht="15" hidden="false" customHeight="false" outlineLevel="0" collapsed="false">
      <c r="A142" s="19" t="s">
        <v>635</v>
      </c>
      <c r="B142" s="19" t="str">
        <f aca="false">"AC - "&amp;INPUTS!$B$48&amp;" Finishing"</f>
        <v>AC - L-06 Finishing</v>
      </c>
      <c r="C142" s="29" t="n">
        <f aca="false">BUDGET!$J$70*INPUTS!$E$48*$J$117</f>
        <v>0</v>
      </c>
      <c r="D142" s="21" t="n">
        <f aca="false">IFERROR(C142/$C$4,0)</f>
        <v>0</v>
      </c>
      <c r="E142" s="47"/>
      <c r="F142" s="21" t="n">
        <f aca="false">IFERROR(E142/C142,0)</f>
        <v>0</v>
      </c>
      <c r="G142" s="29" t="n">
        <f aca="false">C142-E142</f>
        <v>0</v>
      </c>
      <c r="H142" s="29" t="n">
        <f aca="false">E142*INPUTS!$C$29</f>
        <v>0</v>
      </c>
    </row>
    <row r="143" customFormat="false" ht="15" hidden="false" customHeight="false" outlineLevel="0" collapsed="false">
      <c r="A143" s="19" t="s">
        <v>636</v>
      </c>
      <c r="B143" s="19" t="str">
        <f aca="false">"AC - "&amp;INPUTS!$B$49&amp;" Finishing"</f>
        <v>AC - L-07 Finishing</v>
      </c>
      <c r="C143" s="29" t="n">
        <f aca="false">BUDGET!$J$70*INPUTS!$E$49*$J$117</f>
        <v>0</v>
      </c>
      <c r="D143" s="21" t="n">
        <f aca="false">IFERROR(C143/$C$4,0)</f>
        <v>0</v>
      </c>
      <c r="E143" s="47"/>
      <c r="F143" s="21" t="n">
        <f aca="false">IFERROR(E143/C143,0)</f>
        <v>0</v>
      </c>
      <c r="G143" s="29" t="n">
        <f aca="false">C143-E143</f>
        <v>0</v>
      </c>
      <c r="H143" s="29" t="n">
        <f aca="false">E143*INPUTS!$C$29</f>
        <v>0</v>
      </c>
    </row>
    <row r="144" customFormat="false" ht="15" hidden="false" customHeight="false" outlineLevel="0" collapsed="false">
      <c r="A144" s="19" t="s">
        <v>637</v>
      </c>
      <c r="B144" s="19" t="str">
        <f aca="false">"AC - "&amp;INPUTS!$B$50&amp;" Finishing"</f>
        <v>AC - L-08 Finishing</v>
      </c>
      <c r="C144" s="29" t="n">
        <f aca="false">BUDGET!$J$70*INPUTS!$E$50*$J$117</f>
        <v>0</v>
      </c>
      <c r="D144" s="21" t="n">
        <f aca="false">IFERROR(C144/$C$4,0)</f>
        <v>0</v>
      </c>
      <c r="E144" s="47"/>
      <c r="F144" s="21" t="n">
        <f aca="false">IFERROR(E144/C144,0)</f>
        <v>0</v>
      </c>
      <c r="G144" s="29" t="n">
        <f aca="false">C144-E144</f>
        <v>0</v>
      </c>
      <c r="H144" s="29" t="n">
        <f aca="false">E144*INPUTS!$C$29</f>
        <v>0</v>
      </c>
    </row>
    <row r="145" customFormat="false" ht="15" hidden="false" customHeight="false" outlineLevel="0" collapsed="false">
      <c r="A145" s="19" t="s">
        <v>638</v>
      </c>
      <c r="B145" s="19" t="str">
        <f aca="false">"AC - "&amp;INPUTS!$B$51&amp;" Finishing"</f>
        <v>AC - L-09 Finishing</v>
      </c>
      <c r="C145" s="29" t="n">
        <f aca="false">BUDGET!$J$70*INPUTS!$E$51*$J$117</f>
        <v>0</v>
      </c>
      <c r="D145" s="21" t="n">
        <f aca="false">IFERROR(C145/$C$4,0)</f>
        <v>0</v>
      </c>
      <c r="E145" s="47"/>
      <c r="F145" s="21" t="n">
        <f aca="false">IFERROR(E145/C145,0)</f>
        <v>0</v>
      </c>
      <c r="G145" s="29" t="n">
        <f aca="false">C145-E145</f>
        <v>0</v>
      </c>
      <c r="H145" s="29" t="n">
        <f aca="false">E145*INPUTS!$C$29</f>
        <v>0</v>
      </c>
    </row>
    <row r="146" customFormat="false" ht="15" hidden="false" customHeight="false" outlineLevel="0" collapsed="false">
      <c r="A146" s="19" t="s">
        <v>639</v>
      </c>
      <c r="B146" s="19" t="str">
        <f aca="false">"AC - "&amp;INPUTS!$B$52&amp;" Finishing"</f>
        <v>AC - L-10 Finishing</v>
      </c>
      <c r="C146" s="29" t="n">
        <f aca="false">BUDGET!$J$70*INPUTS!$E$52*$J$117</f>
        <v>0</v>
      </c>
      <c r="D146" s="21" t="n">
        <f aca="false">IFERROR(C146/$C$4,0)</f>
        <v>0</v>
      </c>
      <c r="E146" s="47"/>
      <c r="F146" s="21" t="n">
        <f aca="false">IFERROR(E146/C146,0)</f>
        <v>0</v>
      </c>
      <c r="G146" s="29" t="n">
        <f aca="false">C146-E146</f>
        <v>0</v>
      </c>
      <c r="H146" s="29" t="n">
        <f aca="false">E146*INPUTS!$C$29</f>
        <v>0</v>
      </c>
    </row>
    <row r="147" customFormat="false" ht="15" hidden="false" customHeight="false" outlineLevel="0" collapsed="false">
      <c r="A147" s="19" t="s">
        <v>640</v>
      </c>
      <c r="B147" s="19" t="str">
        <f aca="false">"AC - "&amp;INPUTS!$B$53&amp;" Finishing"</f>
        <v>AC - ROOF Finishing</v>
      </c>
      <c r="C147" s="29" t="n">
        <f aca="false">BUDGET!$J$70*INPUTS!$E$53*$J$117</f>
        <v>0</v>
      </c>
      <c r="D147" s="21" t="n">
        <f aca="false">IFERROR(C147/$C$4,0)</f>
        <v>0</v>
      </c>
      <c r="E147" s="47"/>
      <c r="F147" s="21" t="n">
        <f aca="false">IFERROR(E147/C147,0)</f>
        <v>0</v>
      </c>
      <c r="G147" s="29" t="n">
        <f aca="false">C147-E147</f>
        <v>0</v>
      </c>
      <c r="H147" s="29" t="n">
        <f aca="false">E147*INPUTS!$C$29</f>
        <v>0</v>
      </c>
    </row>
    <row r="148" customFormat="false" ht="15" hidden="false" customHeight="false" outlineLevel="0" collapsed="false">
      <c r="A148" s="19" t="s">
        <v>641</v>
      </c>
      <c r="B148" s="19" t="str">
        <f aca="false">"AC - "&amp;MID(INPUTS!$B$62,4,60)</f>
        <v>AC - Equipment &amp; Fixtures</v>
      </c>
      <c r="C148" s="29" t="n">
        <f aca="false">BUDGET!$J$71*$J$117</f>
        <v>0</v>
      </c>
      <c r="D148" s="21" t="n">
        <f aca="false">IFERROR(C148/$C$4,0)</f>
        <v>0</v>
      </c>
      <c r="E148" s="47"/>
      <c r="F148" s="21" t="n">
        <f aca="false">IFERROR(E148/C148,0)</f>
        <v>0</v>
      </c>
      <c r="G148" s="29" t="n">
        <f aca="false">C148-E148</f>
        <v>0</v>
      </c>
      <c r="H148" s="29" t="n">
        <f aca="false">E148*INPUTS!$C$29</f>
        <v>0</v>
      </c>
    </row>
    <row r="149" customFormat="false" ht="15" hidden="false" customHeight="false" outlineLevel="0" collapsed="false">
      <c r="A149" s="19" t="s">
        <v>642</v>
      </c>
      <c r="B149" s="19" t="str">
        <f aca="false">"AC - "&amp;MID(INPUTS!$B$63,4,60)</f>
        <v>AC - Testing, Balancing &amp; Commissioning</v>
      </c>
      <c r="C149" s="29" t="n">
        <f aca="false">BUDGET!$J$72*$J$117</f>
        <v>0</v>
      </c>
      <c r="D149" s="21" t="n">
        <f aca="false">IFERROR(C149/$C$4,0)</f>
        <v>0</v>
      </c>
      <c r="E149" s="47"/>
      <c r="F149" s="21" t="n">
        <f aca="false">IFERROR(E149/C149,0)</f>
        <v>0</v>
      </c>
      <c r="G149" s="29" t="n">
        <f aca="false">C149-E149</f>
        <v>0</v>
      </c>
      <c r="H149" s="29" t="n">
        <f aca="false">E149*INPUTS!$C$29</f>
        <v>0</v>
      </c>
    </row>
    <row r="150" customFormat="false" ht="15" hidden="false" customHeight="false" outlineLevel="0" collapsed="false">
      <c r="A150" s="19" t="s">
        <v>643</v>
      </c>
      <c r="B150" s="19" t="str">
        <f aca="false">"AC - "&amp;MID(INPUTS!$B$64,4,60)</f>
        <v>AC - Closeout &amp; Warranty</v>
      </c>
      <c r="C150" s="29" t="n">
        <f aca="false">BUDGET!$J$73*$J$117</f>
        <v>0</v>
      </c>
      <c r="D150" s="21" t="n">
        <f aca="false">IFERROR(C150/$C$4,0)</f>
        <v>0</v>
      </c>
      <c r="E150" s="47"/>
      <c r="F150" s="21" t="n">
        <f aca="false">IFERROR(E150/C150,0)</f>
        <v>0</v>
      </c>
      <c r="G150" s="29" t="n">
        <f aca="false">C150-E150</f>
        <v>0</v>
      </c>
      <c r="H150" s="29" t="n">
        <f aca="false">E150*INPUTS!$C$29</f>
        <v>0</v>
      </c>
    </row>
    <row r="151" customFormat="false" ht="15" hidden="false" customHeight="false" outlineLevel="0" collapsed="false">
      <c r="A151" s="19" t="s">
        <v>644</v>
      </c>
      <c r="B151" s="19" t="str">
        <f aca="false">"AC - "&amp;MID(INPUTS!$B$65,4,60)</f>
        <v>AC - General Conditions</v>
      </c>
      <c r="C151" s="29" t="n">
        <f aca="false">BUDGET!$J$74*$J$117</f>
        <v>0</v>
      </c>
      <c r="D151" s="21" t="n">
        <f aca="false">IFERROR(C151/$C$4,0)</f>
        <v>0</v>
      </c>
      <c r="E151" s="47"/>
      <c r="F151" s="21" t="n">
        <f aca="false">IFERROR(E151/C151,0)</f>
        <v>0</v>
      </c>
      <c r="G151" s="29" t="n">
        <f aca="false">C151-E151</f>
        <v>0</v>
      </c>
      <c r="H151" s="29" t="n">
        <f aca="false">E151*INPUTS!$C$29</f>
        <v>0</v>
      </c>
    </row>
    <row r="153" customFormat="false" ht="15" hidden="false" customHeight="false" outlineLevel="0" collapsed="false">
      <c r="B153" s="4" t="s">
        <v>645</v>
      </c>
      <c r="C153" s="50" t="n">
        <f aca="false">C9+C45+C81+C117</f>
        <v>488800</v>
      </c>
      <c r="D153" s="24" t="n">
        <f aca="false">IFERROR(C153/$C$4,0)</f>
        <v>1</v>
      </c>
      <c r="E153" s="50" t="n">
        <f aca="false">E9+E45+E81+E117</f>
        <v>0</v>
      </c>
      <c r="F153" s="24" t="n">
        <f aca="false">IFERROR(E153/C153,0)</f>
        <v>0</v>
      </c>
      <c r="G153" s="50" t="n">
        <f aca="false">G9+G45+G81+G117</f>
        <v>488800</v>
      </c>
      <c r="H153" s="50" t="n">
        <f aca="false">H9+H45+H81+H117</f>
        <v>0</v>
      </c>
    </row>
  </sheetData>
  <autoFilter ref="A8:H152"/>
  <conditionalFormatting sqref="D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46"/>
  </cols>
  <sheetData>
    <row r="1" customFormat="false" ht="17.3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2" t="s">
        <v>647</v>
      </c>
    </row>
    <row r="4" customFormat="false" ht="30" hidden="false" customHeight="true" outlineLevel="0" collapsed="false">
      <c r="A4" s="18" t="s">
        <v>356</v>
      </c>
      <c r="B4" s="18" t="s">
        <v>648</v>
      </c>
      <c r="C4" s="18" t="s">
        <v>649</v>
      </c>
      <c r="D4" s="18" t="s">
        <v>650</v>
      </c>
      <c r="E4" s="18" t="s">
        <v>651</v>
      </c>
      <c r="F4" s="18" t="s">
        <v>652</v>
      </c>
    </row>
    <row r="5" customFormat="false" ht="35.05" hidden="false" customHeight="false" outlineLevel="0" collapsed="false">
      <c r="A5" s="81" t="n">
        <v>1</v>
      </c>
      <c r="B5" s="82" t="s">
        <v>653</v>
      </c>
      <c r="C5" s="83" t="s">
        <v>654</v>
      </c>
      <c r="D5" s="83" t="s">
        <v>655</v>
      </c>
      <c r="E5" s="83" t="s">
        <v>656</v>
      </c>
      <c r="F5" s="83" t="s">
        <v>657</v>
      </c>
    </row>
    <row r="6" customFormat="false" ht="35.05" hidden="false" customHeight="false" outlineLevel="0" collapsed="false">
      <c r="A6" s="81" t="n">
        <v>2</v>
      </c>
      <c r="B6" s="82" t="s">
        <v>653</v>
      </c>
      <c r="C6" s="83" t="s">
        <v>658</v>
      </c>
      <c r="D6" s="83" t="s">
        <v>659</v>
      </c>
      <c r="E6" s="83" t="s">
        <v>660</v>
      </c>
      <c r="F6" s="83" t="s">
        <v>661</v>
      </c>
    </row>
    <row r="7" customFormat="false" ht="57.45" hidden="false" customHeight="false" outlineLevel="0" collapsed="false">
      <c r="A7" s="81" t="n">
        <v>3</v>
      </c>
      <c r="B7" s="82" t="s">
        <v>653</v>
      </c>
      <c r="C7" s="83" t="s">
        <v>662</v>
      </c>
      <c r="D7" s="83" t="s">
        <v>663</v>
      </c>
      <c r="E7" s="83" t="s">
        <v>664</v>
      </c>
      <c r="F7" s="83" t="s">
        <v>665</v>
      </c>
    </row>
    <row r="8" customFormat="false" ht="23.85" hidden="false" customHeight="false" outlineLevel="0" collapsed="false">
      <c r="A8" s="81" t="n">
        <v>4</v>
      </c>
      <c r="B8" s="82" t="s">
        <v>653</v>
      </c>
      <c r="C8" s="83" t="s">
        <v>666</v>
      </c>
      <c r="D8" s="83" t="s">
        <v>667</v>
      </c>
      <c r="E8" s="83" t="s">
        <v>668</v>
      </c>
      <c r="F8" s="83" t="s">
        <v>669</v>
      </c>
    </row>
    <row r="9" customFormat="false" ht="23.85" hidden="false" customHeight="false" outlineLevel="0" collapsed="false">
      <c r="A9" s="81" t="n">
        <v>5</v>
      </c>
      <c r="B9" s="82" t="s">
        <v>653</v>
      </c>
      <c r="C9" s="83" t="s">
        <v>670</v>
      </c>
      <c r="D9" s="83" t="s">
        <v>671</v>
      </c>
      <c r="E9" s="83" t="s">
        <v>672</v>
      </c>
      <c r="F9" s="83" t="s">
        <v>673</v>
      </c>
    </row>
    <row r="10" customFormat="false" ht="23.85" hidden="false" customHeight="false" outlineLevel="0" collapsed="false">
      <c r="A10" s="81" t="n">
        <v>6</v>
      </c>
      <c r="B10" s="84" t="s">
        <v>674</v>
      </c>
      <c r="C10" s="83" t="s">
        <v>675</v>
      </c>
      <c r="D10" s="83" t="s">
        <v>676</v>
      </c>
      <c r="E10" s="83" t="s">
        <v>677</v>
      </c>
      <c r="F10" s="83" t="s">
        <v>678</v>
      </c>
    </row>
    <row r="11" customFormat="false" ht="23.85" hidden="false" customHeight="false" outlineLevel="0" collapsed="false">
      <c r="A11" s="81" t="n">
        <v>7</v>
      </c>
      <c r="B11" s="84" t="s">
        <v>674</v>
      </c>
      <c r="C11" s="83" t="s">
        <v>679</v>
      </c>
      <c r="D11" s="83" t="s">
        <v>680</v>
      </c>
      <c r="E11" s="83" t="s">
        <v>681</v>
      </c>
      <c r="F11" s="83" t="s">
        <v>682</v>
      </c>
    </row>
    <row r="12" customFormat="false" ht="23.85" hidden="false" customHeight="false" outlineLevel="0" collapsed="false">
      <c r="A12" s="81" t="n">
        <v>8</v>
      </c>
      <c r="B12" s="82" t="s">
        <v>653</v>
      </c>
      <c r="C12" s="83" t="s">
        <v>683</v>
      </c>
      <c r="D12" s="83" t="s">
        <v>684</v>
      </c>
      <c r="E12" s="83" t="s">
        <v>685</v>
      </c>
      <c r="F12" s="83" t="s">
        <v>686</v>
      </c>
    </row>
    <row r="13" customFormat="false" ht="35.05" hidden="false" customHeight="false" outlineLevel="0" collapsed="false">
      <c r="A13" s="81" t="n">
        <v>9</v>
      </c>
      <c r="B13" s="84" t="s">
        <v>674</v>
      </c>
      <c r="C13" s="83" t="s">
        <v>687</v>
      </c>
      <c r="D13" s="83" t="s">
        <v>688</v>
      </c>
      <c r="E13" s="83" t="s">
        <v>689</v>
      </c>
      <c r="F13" s="83" t="s">
        <v>690</v>
      </c>
    </row>
    <row r="14" customFormat="false" ht="35.05" hidden="false" customHeight="false" outlineLevel="0" collapsed="false">
      <c r="A14" s="81" t="n">
        <v>10</v>
      </c>
      <c r="B14" s="82" t="s">
        <v>653</v>
      </c>
      <c r="C14" s="83" t="s">
        <v>691</v>
      </c>
      <c r="D14" s="83" t="s">
        <v>692</v>
      </c>
      <c r="E14" s="83" t="s">
        <v>693</v>
      </c>
      <c r="F14" s="83" t="s">
        <v>694</v>
      </c>
    </row>
    <row r="15" customFormat="false" ht="23.85" hidden="false" customHeight="false" outlineLevel="0" collapsed="false">
      <c r="A15" s="81" t="n">
        <v>11</v>
      </c>
      <c r="B15" s="84" t="s">
        <v>674</v>
      </c>
      <c r="C15" s="83" t="s">
        <v>695</v>
      </c>
      <c r="D15" s="83" t="s">
        <v>696</v>
      </c>
      <c r="E15" s="83" t="s">
        <v>697</v>
      </c>
      <c r="F15" s="83" t="s">
        <v>698</v>
      </c>
    </row>
    <row r="16" customFormat="false" ht="23.85" hidden="false" customHeight="false" outlineLevel="0" collapsed="false">
      <c r="A16" s="81" t="n">
        <v>12</v>
      </c>
      <c r="B16" s="84" t="s">
        <v>674</v>
      </c>
      <c r="C16" s="83" t="s">
        <v>699</v>
      </c>
      <c r="D16" s="83" t="s">
        <v>700</v>
      </c>
      <c r="E16" s="83" t="s">
        <v>701</v>
      </c>
      <c r="F16" s="83" t="s">
        <v>702</v>
      </c>
    </row>
    <row r="17" customFormat="false" ht="23.85" hidden="false" customHeight="false" outlineLevel="0" collapsed="false">
      <c r="A17" s="81" t="n">
        <v>13</v>
      </c>
      <c r="B17" s="84" t="s">
        <v>674</v>
      </c>
      <c r="C17" s="83" t="s">
        <v>703</v>
      </c>
      <c r="D17" s="83" t="s">
        <v>704</v>
      </c>
      <c r="E17" s="83" t="s">
        <v>705</v>
      </c>
      <c r="F17" s="83" t="s">
        <v>706</v>
      </c>
    </row>
    <row r="18" customFormat="false" ht="23.85" hidden="false" customHeight="false" outlineLevel="0" collapsed="false">
      <c r="A18" s="81" t="n">
        <v>14</v>
      </c>
      <c r="B18" s="85" t="s">
        <v>707</v>
      </c>
      <c r="C18" s="83" t="s">
        <v>708</v>
      </c>
      <c r="D18" s="83" t="s">
        <v>709</v>
      </c>
      <c r="E18" s="83" t="s">
        <v>710</v>
      </c>
      <c r="F18" s="83" t="s">
        <v>711</v>
      </c>
    </row>
    <row r="19" customFormat="false" ht="23.85" hidden="false" customHeight="false" outlineLevel="0" collapsed="false">
      <c r="A19" s="81" t="n">
        <v>15</v>
      </c>
      <c r="B19" s="85" t="s">
        <v>707</v>
      </c>
      <c r="C19" s="83" t="s">
        <v>712</v>
      </c>
      <c r="D19" s="83" t="s">
        <v>713</v>
      </c>
      <c r="E19" s="83" t="s">
        <v>714</v>
      </c>
      <c r="F19" s="83" t="s">
        <v>715</v>
      </c>
    </row>
    <row r="20" customFormat="false" ht="35.05" hidden="false" customHeight="false" outlineLevel="0" collapsed="false">
      <c r="A20" s="81" t="n">
        <v>16</v>
      </c>
      <c r="B20" s="86" t="s">
        <v>716</v>
      </c>
      <c r="C20" s="83" t="s">
        <v>717</v>
      </c>
      <c r="D20" s="83" t="s">
        <v>718</v>
      </c>
      <c r="E20" s="83" t="s">
        <v>719</v>
      </c>
      <c r="F20" s="83" t="s">
        <v>720</v>
      </c>
    </row>
    <row r="21" customFormat="false" ht="23.85" hidden="false" customHeight="false" outlineLevel="0" collapsed="false">
      <c r="A21" s="81" t="n">
        <v>17</v>
      </c>
      <c r="B21" s="85" t="s">
        <v>707</v>
      </c>
      <c r="C21" s="83" t="s">
        <v>721</v>
      </c>
      <c r="D21" s="83" t="s">
        <v>722</v>
      </c>
      <c r="E21" s="83" t="s">
        <v>723</v>
      </c>
      <c r="F21" s="83" t="s">
        <v>724</v>
      </c>
    </row>
    <row r="22" customFormat="false" ht="23.85" hidden="false" customHeight="false" outlineLevel="0" collapsed="false">
      <c r="A22" s="81" t="n">
        <v>18</v>
      </c>
      <c r="B22" s="85" t="s">
        <v>707</v>
      </c>
      <c r="C22" s="83" t="s">
        <v>725</v>
      </c>
      <c r="D22" s="83" t="s">
        <v>726</v>
      </c>
      <c r="E22" s="83" t="s">
        <v>727</v>
      </c>
      <c r="F22" s="83" t="s">
        <v>728</v>
      </c>
    </row>
    <row r="25" customFormat="false" ht="15" hidden="false" customHeight="false" outlineLevel="0" collapsed="false">
      <c r="B25" s="3" t="s">
        <v>729</v>
      </c>
    </row>
    <row r="26" customFormat="false" ht="27.75" hidden="false" customHeight="true" outlineLevel="0" collapsed="false">
      <c r="B26" s="87" t="n">
        <v>1</v>
      </c>
      <c r="C26" s="88" t="s">
        <v>730</v>
      </c>
      <c r="D26" s="88"/>
      <c r="E26" s="88"/>
      <c r="F26" s="88"/>
    </row>
    <row r="27" customFormat="false" ht="27.75" hidden="false" customHeight="true" outlineLevel="0" collapsed="false">
      <c r="B27" s="87" t="n">
        <v>2</v>
      </c>
      <c r="C27" s="88" t="s">
        <v>731</v>
      </c>
      <c r="D27" s="88"/>
      <c r="E27" s="88"/>
      <c r="F27" s="88"/>
    </row>
    <row r="28" customFormat="false" ht="27.75" hidden="false" customHeight="true" outlineLevel="0" collapsed="false">
      <c r="B28" s="87" t="n">
        <v>3</v>
      </c>
      <c r="C28" s="88" t="s">
        <v>732</v>
      </c>
      <c r="D28" s="88"/>
      <c r="E28" s="88"/>
      <c r="F28" s="88"/>
    </row>
    <row r="29" customFormat="false" ht="27.75" hidden="false" customHeight="true" outlineLevel="0" collapsed="false">
      <c r="B29" s="87" t="n">
        <v>4</v>
      </c>
      <c r="C29" s="88" t="s">
        <v>733</v>
      </c>
      <c r="D29" s="88"/>
      <c r="E29" s="88"/>
      <c r="F29" s="88"/>
    </row>
    <row r="30" customFormat="false" ht="27.75" hidden="false" customHeight="true" outlineLevel="0" collapsed="false">
      <c r="B30" s="87" t="n">
        <v>5</v>
      </c>
      <c r="C30" s="88" t="s">
        <v>734</v>
      </c>
      <c r="D30" s="88"/>
      <c r="E30" s="88"/>
      <c r="F30" s="88"/>
    </row>
    <row r="32" customFormat="false" ht="15" hidden="false" customHeight="false" outlineLevel="0" collapsed="false">
      <c r="B32" s="3" t="s">
        <v>735</v>
      </c>
    </row>
    <row r="33" customFormat="false" ht="27.75" hidden="false" customHeight="true" outlineLevel="0" collapsed="false">
      <c r="B33" s="89" t="s">
        <v>716</v>
      </c>
      <c r="C33" s="88" t="s">
        <v>736</v>
      </c>
      <c r="D33" s="88"/>
      <c r="E33" s="88"/>
      <c r="F33" s="88"/>
    </row>
    <row r="34" customFormat="false" ht="27.75" hidden="false" customHeight="true" outlineLevel="0" collapsed="false">
      <c r="B34" s="89" t="s">
        <v>716</v>
      </c>
      <c r="C34" s="88" t="s">
        <v>737</v>
      </c>
      <c r="D34" s="88"/>
      <c r="E34" s="88"/>
      <c r="F34" s="88"/>
    </row>
    <row r="35" customFormat="false" ht="27.75" hidden="false" customHeight="true" outlineLevel="0" collapsed="false">
      <c r="B35" s="89" t="s">
        <v>716</v>
      </c>
      <c r="C35" s="88" t="s">
        <v>738</v>
      </c>
      <c r="D35" s="88"/>
      <c r="E35" s="88"/>
      <c r="F35" s="88"/>
    </row>
  </sheetData>
  <mergeCells count="8">
    <mergeCell ref="C26:F26"/>
    <mergeCell ref="C27:F27"/>
    <mergeCell ref="C28:F28"/>
    <mergeCell ref="C29:F29"/>
    <mergeCell ref="C30:F30"/>
    <mergeCell ref="C33:F33"/>
    <mergeCell ref="C34:F34"/>
    <mergeCell ref="C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2026-10-06T19:44:27Z</dcterms:created>
  <dc:creator>openpyxl</dc:creator>
  <dc:description/>
  <dc:language>en-US</dc:language>
  <cp:lastModifiedBy/>
  <dcterms:modified xsi:type="dcterms:W3CDTF">2026-10-06T19:44:28Z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